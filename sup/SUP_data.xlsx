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Инструкция" sheetId="1" state="hidden" r:id="rId4"/>
    <sheet name="Справочник" sheetId="2" r:id="rId5"/>
    <sheet name="Вып_списки" sheetId="3" r:id="rId6"/>
    <sheet name="Список сотрудников" sheetId="4" r:id="rId7"/>
    <sheet name="Реальные причины увольнения" sheetId="5" state="hidden" r:id="rId8"/>
    <sheet name="Расшифровка статей увольнения" sheetId="6" state="hidden" r:id="rId9"/>
    <sheet name="Включаем не включаем" sheetId="7" state="hidden" r:id="rId10"/>
    <sheet name="Свод по списку" sheetId="8" r:id="rId11"/>
    <sheet name="Список уволенных" sheetId="9" r:id="rId12"/>
    <sheet name="Свод по уволенным" sheetId="10" r:id="rId13"/>
    <sheet name="Текучесть" sheetId="11" r:id="rId14"/>
    <sheet name="Обучение" sheetId="12" state="hidden" r:id="rId15"/>
    <sheet name="Нетрудоспособность " sheetId="13" state="hidden" r:id="rId16"/>
    <sheet name="Пенсия" sheetId="14" state="hidden" r:id="rId17"/>
    <sheet name="Декретчицы" sheetId="15" r:id="rId18"/>
    <sheet name="Срочники" sheetId="16" r:id="rId19"/>
    <sheet name="Мобилизация" sheetId="17" r:id="rId20"/>
    <sheet name="ЭТК" sheetId="18" state="hidden" r:id="rId21"/>
    <sheet name="Инвалиды" sheetId="19" r:id="rId22"/>
    <sheet name="Вакансии" sheetId="20" r:id="rId23"/>
    <sheet name="Лист2" sheetId="21" r:id="rId24"/>
    <sheet name="обучение кадровый резерв" sheetId="22" r:id="rId25"/>
    <sheet name="Вакансии_срок" sheetId="23" state="hidden" r:id="rId26"/>
    <sheet name="Вакансии_план" sheetId="24" state="hidden" r:id="rId27"/>
  </sheets>
  <definedNames>
    <definedName name="Excel_BuiltIn__FilterDatabase" localSheetId="14">'Декретчицы'!$B$4:$N$5</definedName>
    <definedName name="Excel_BuiltIn__FilterDatabase" localSheetId="18">'Инвалиды'!$A$4:$H$4</definedName>
    <definedName name="Excel_BuiltIn__FilterDatabase" localSheetId="12">'Нетрудоспособность '!$A$2:$L$2</definedName>
    <definedName name="Excel_BuiltIn__FilterDatabase" localSheetId="3">'Список сотрудников'!$A$2:$AO$2</definedName>
    <definedName name="Excel_BuiltIn__FilterDatabase" localSheetId="8">'Список уволенных'!$A$2:$W$2</definedName>
    <definedName name="Excel_BuiltIn__FilterDatabase" localSheetId="1">'Справочник'!$A$1:$E$143</definedName>
    <definedName name="Excel_BuiltIn__FilterDatabase" localSheetId="15">'Срочники'!$A$4:$I$4</definedName>
    <definedName name="Excel_BuiltIn__FilterDatabase" localSheetId="10">'Текучесть'!$A$2:$AR$10</definedName>
    <definedName name="Вид_занятости">'Вып_списки'!$H$2:$H$3</definedName>
    <definedName name="Вид_обучения">'Вып_списки'!$M$2:$M$3</definedName>
    <definedName name="Город">'Вып_списки'!$F$2:$F$12</definedName>
    <definedName name="Категория_должности">'Вып_списки'!$E$2:$E$7</definedName>
    <definedName name="Компания">'Вып_списки'!$B$2:$B$8</definedName>
    <definedName name="Месяц">'Вып_списки'!$A$2:$A$13</definedName>
    <definedName name="Направление_обучения">'Вып_списки'!$N$2:$N$4</definedName>
    <definedName name="Приоритет_закрытия">'Вып_списки'!$P$2:$P$4</definedName>
    <definedName name="Причина_нетрудоспособности">'Вып_списки'!$L$2:$L$8</definedName>
    <definedName name="Причины_изменения">'Вып_списки'!$J$2:$J$11</definedName>
    <definedName name="Причины_невключения">'Вып_списки'!$I$2:$I$10</definedName>
    <definedName name="Продуктивный">'Вып_списки'!$O$2:$O$3</definedName>
    <definedName name="Рабочий_день">'Вып_списки'!$D$2:$D$4</definedName>
    <definedName name="Расшифровка_статей_увольнения">'Расшифровка статей увольнения'!$B$2:$B$36</definedName>
    <definedName name="Реальные_причины_увольнения">'Реальные причины увольнения'!$A$2:$A$29</definedName>
    <definedName name="Статьи_увольнения">'Расшифровка статей увольнения'!$A$2:$A$36</definedName>
    <definedName name="Тип_договора">'Вып_списки'!$C$2:$C$3</definedName>
    <definedName name="Функция">'Вып_списки'!$G$2:$G$6</definedName>
    <definedName name="ЦФО">'Вып_списки'!$R$2:$R$24</definedName>
    <definedName name="_xlnm.Print_Area" localSheetId="19">'Вакансии'!$A$1:$T$14</definedName>
    <definedName name="_xlnm.Print_Area" localSheetId="21">'обучение кадровый резерв'!$A$1:$T$14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/>
  </authors>
  <commentList>
    <comment ref="A124" authorId="0">
      <text>
        <r>
          <t xml:space="preserve">Автор:
включаем в численность
</t>
        </r>
      </text>
    </comment>
    <comment ref="A125" authorId="0">
      <text>
        <r>
          <t xml:space="preserve">Автор:
исключаем из численности</t>
        </r>
      </text>
    </comment>
  </commentList>
</comments>
</file>

<file path=xl/sharedStrings.xml><?xml version="1.0" encoding="utf-8"?>
<sst xmlns="http://schemas.openxmlformats.org/spreadsheetml/2006/main" uniqueCount="3500">
  <si>
    <t>Инструкция по заполнению отчета</t>
  </si>
  <si>
    <t>Отчет заполняется на ежемесячной основе в 1 рабочий день месяца, следующего за отчетным</t>
  </si>
  <si>
    <t xml:space="preserve">Все листы, кроме "Список сотрудников" заполняются нарастающим итогом с начала года </t>
  </si>
  <si>
    <t xml:space="preserve">Лист "Список сотрудников" заполняются на последний календарный день месяца </t>
  </si>
  <si>
    <t xml:space="preserve">Лист "Список сотрудников" </t>
  </si>
  <si>
    <t>Заполняется вручную</t>
  </si>
  <si>
    <t xml:space="preserve">Ежемесячно отражается численность работающих  сотрудников (списочная) на последнюю дату месяца, включая своместителей, декретчиц, прогульщиков и т.д. </t>
  </si>
  <si>
    <r>
      <t xml:space="preserve">за ИСКЮЧЕНИЕМ </t>
    </r>
    <r>
      <rPr>
        <rFont val="Calibri"/>
        <b val="true"/>
        <i val="false"/>
        <strike val="false"/>
        <color rgb="FF000000"/>
        <sz val="11"/>
        <u val="none"/>
      </rPr>
      <t xml:space="preserve">(не включаем)</t>
    </r>
    <r>
      <rPr>
        <rFont val="Calibri"/>
        <b val="true"/>
        <i val="false"/>
        <strike val="false"/>
        <color rgb="FFFF0000"/>
        <sz val="11"/>
        <u val="none"/>
      </rPr>
      <t xml:space="preserve">:</t>
    </r>
  </si>
  <si>
    <r>
      <t xml:space="preserve">−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 </t>
    </r>
    <r>
      <rPr>
        <rFont val="Arial"/>
        <b val="false"/>
        <i val="false"/>
        <strike val="false"/>
        <color rgb="FF000000"/>
        <sz val="10"/>
        <u val="none"/>
      </rPr>
      <t xml:space="preserve">сотрудники, находящиеся на  декретном больничном листе</t>
    </r>
  </si>
  <si>
    <r>
      <t xml:space="preserve">−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 </t>
    </r>
    <r>
      <rPr>
        <rFont val="Arial"/>
        <b val="false"/>
        <i val="false"/>
        <strike val="false"/>
        <color rgb="FF000000"/>
        <sz val="10"/>
        <u val="none"/>
      </rPr>
      <t xml:space="preserve">сотрудники, находящихся в отпуске по уходу за ребенком (до 1,5 или до 3 лет)</t>
    </r>
  </si>
  <si>
    <r>
      <t xml:space="preserve">−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 </t>
    </r>
    <r>
      <rPr>
        <rFont val="Arial"/>
        <b val="false"/>
        <i val="false"/>
        <strike val="false"/>
        <color rgb="FF000000"/>
        <sz val="10"/>
        <u val="none"/>
      </rPr>
      <t xml:space="preserve">сотрудники с длительным прогулом или с длительным невыясненным отсутствием </t>
    </r>
  </si>
  <si>
    <r>
      <t xml:space="preserve">−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 </t>
    </r>
    <r>
      <rPr>
        <rFont val="Arial"/>
        <b val="false"/>
        <i val="false"/>
        <strike val="false"/>
        <color rgb="FF000000"/>
        <sz val="10"/>
        <u val="none"/>
      </rPr>
      <t xml:space="preserve">сотрудники, находящиеся в длительном (3 месяца и более) отпуске без сохранения заработной платы</t>
    </r>
  </si>
  <si>
    <r>
      <t xml:space="preserve">−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 </t>
    </r>
    <r>
      <rPr>
        <rFont val="Arial"/>
        <b val="false"/>
        <i val="false"/>
        <strike val="false"/>
        <color rgb="FF000000"/>
        <sz val="10"/>
        <u val="none"/>
      </rPr>
      <t xml:space="preserve">внутренние совместители (по той должности, которая является для них работой по совместительству)</t>
    </r>
  </si>
  <si>
    <t>Сотрудники, уволенные в последний календарный день месяца включаются на оба листа: и в численность, и в уволенные</t>
  </si>
  <si>
    <t>Лист "Список сотрудников" в шаблоне</t>
  </si>
  <si>
    <t>Комментарии по данным для отчета</t>
  </si>
  <si>
    <t xml:space="preserve">Таб.№ </t>
  </si>
  <si>
    <t>табельный номер сотрудника</t>
  </si>
  <si>
    <t>ФИО</t>
  </si>
  <si>
    <t>ФИО сотрудника</t>
  </si>
  <si>
    <t>Дата начала работы в ГК (при переводе из одного юрлица в другое)</t>
  </si>
  <si>
    <t>первичная дата приема на работу (при переводе внутри ГК)</t>
  </si>
  <si>
    <t>Дата начала работы в юрлице</t>
  </si>
  <si>
    <t>дата начала работы в юрлице</t>
  </si>
  <si>
    <t>Дата рождения</t>
  </si>
  <si>
    <t>дата рождения</t>
  </si>
  <si>
    <t>Подразделение</t>
  </si>
  <si>
    <t xml:space="preserve">Наименование подразделения </t>
  </si>
  <si>
    <t>Должность</t>
  </si>
  <si>
    <t>Наименование должности</t>
  </si>
  <si>
    <t>Пол сотрудника</t>
  </si>
  <si>
    <t>Категория персонала</t>
  </si>
  <si>
    <t>Категория персонала: см.лист "Справочник"</t>
  </si>
  <si>
    <t>Город, фактическое место работы</t>
  </si>
  <si>
    <t xml:space="preserve">Наименование места работы сотрудника (название города). </t>
  </si>
  <si>
    <t>полный \ неполный рабочий день</t>
  </si>
  <si>
    <t xml:space="preserve">полный – для сотрудников, работающих полный рабочий день
Не полный – для сотрудников, работающих не полный рабочий день
</t>
  </si>
  <si>
    <t>ставка</t>
  </si>
  <si>
    <t>Процент занятости работника: 0,1 ставка-это 10%</t>
  </si>
  <si>
    <t>Основное место работы/Совместительство</t>
  </si>
  <si>
    <t>Вид работы основной или совместитель</t>
  </si>
  <si>
    <t>Включаем \ не включаем в отчет</t>
  </si>
  <si>
    <t>Причина невключения сотрудника в отчет</t>
  </si>
  <si>
    <t>см.список исключений выше</t>
  </si>
  <si>
    <t>Функция</t>
  </si>
  <si>
    <t>Функция к которой относиться сотрудник</t>
  </si>
  <si>
    <t>Месяц</t>
  </si>
  <si>
    <t>месяц, за который предоставляется отчет</t>
  </si>
  <si>
    <t>Изменение поля "включаем/не включаем"</t>
  </si>
  <si>
    <t>Причина изменения "включаем/не включаем"</t>
  </si>
  <si>
    <t>см.список исключений выше (если в течении отчетного месяца изменился статус сотрудника)</t>
  </si>
  <si>
    <t>Юридическое лицо</t>
  </si>
  <si>
    <t xml:space="preserve">Лист "Список уволенных" </t>
  </si>
  <si>
    <t>Лист "Список уволенных" в шаблоне</t>
  </si>
  <si>
    <t>Таб. №</t>
  </si>
  <si>
    <t>не заполняем</t>
  </si>
  <si>
    <t>Дата увольнения</t>
  </si>
  <si>
    <t>Категории персонала</t>
  </si>
  <si>
    <t>Статья ТК РФ</t>
  </si>
  <si>
    <t>Статья ТК РФ (берем только статью)</t>
  </si>
  <si>
    <t>Расшифровка статьи увольнения</t>
  </si>
  <si>
    <t>расшифровка статьи заполняем в шаблоне отчета</t>
  </si>
  <si>
    <t>Месяц увольнения</t>
  </si>
  <si>
    <t>Реальные причины увольнения</t>
  </si>
  <si>
    <t>Причины увольнения, влияющие на текучесть</t>
  </si>
  <si>
    <t>включаем \ не включаем</t>
  </si>
  <si>
    <t>включаем или не включаем в увольнения на лист "Текучесть"</t>
  </si>
  <si>
    <t>Дата начала работы</t>
  </si>
  <si>
    <t>Тип договора</t>
  </si>
  <si>
    <t>Постоянный или временный</t>
  </si>
  <si>
    <t>Длительность работы в компании</t>
  </si>
  <si>
    <t>Увольнение в течении испытательного срока</t>
  </si>
  <si>
    <t>Автоматический расчет в шаблоне</t>
  </si>
  <si>
    <t>Пол</t>
  </si>
  <si>
    <t>Непосредтвенный руководитель</t>
  </si>
  <si>
    <t>ФИО руководителя</t>
  </si>
  <si>
    <t xml:space="preserve">Лист "Декретчицы" </t>
  </si>
  <si>
    <t>Цветовой код:</t>
  </si>
  <si>
    <t>период перед окончанием декрета (перед достижением ребенка указанного возраста (1,5; 3 года))</t>
  </si>
  <si>
    <t>меньше, чем 6 месяцев</t>
  </si>
  <si>
    <t>меньше, чем 3 месяца</t>
  </si>
  <si>
    <t xml:space="preserve">Лист "Текучесть" </t>
  </si>
  <si>
    <t>Ежемесячно отражается численность работающих  сотрудников (списочная) на последнюю дату месяца (список сотрудников (включаем)) по функциям</t>
  </si>
  <si>
    <t>Ежемесячно отражается численностьуволенных в течении соответствующего месяца по причинам "включаем" по функциям</t>
  </si>
  <si>
    <t>Информацию можно получить на листах "Сводный по юрлицам" и "Сводный по увольнениям"</t>
  </si>
  <si>
    <t xml:space="preserve">Лист "Отпуска" </t>
  </si>
  <si>
    <t>задолженность по ежегодным отпускам</t>
  </si>
  <si>
    <t>свыше 35 дней</t>
  </si>
  <si>
    <t>свыше 42 дней</t>
  </si>
  <si>
    <t>В список включаем всех сотрудников, у кого на начало месяца количество дней неотгуляррного отпуска свыше 28.</t>
  </si>
  <si>
    <t xml:space="preserve">В последующие месяца сотрудников не удаляем, новых сотрудников добавляем ниже. В комментариях указываем предполагаемую дату снижения. </t>
  </si>
  <si>
    <t xml:space="preserve">Лист "Вакансии" </t>
  </si>
  <si>
    <t>закрытие вакансий</t>
  </si>
  <si>
    <t>свыше 10 рабочих дней в работе</t>
  </si>
  <si>
    <t>свыше 15 рабочих дней в работе</t>
  </si>
  <si>
    <t>В список включаем все вакансии, имеющиеся в разработке. Закрытые вакансии не удаляем.</t>
  </si>
  <si>
    <t xml:space="preserve">Лист "Нетрудоспособность" </t>
  </si>
  <si>
    <t>В список включаем все листы нетрудоспособности нарастующим итогом, кроме совместителей</t>
  </si>
  <si>
    <t xml:space="preserve">Лист "Прогульщики" </t>
  </si>
  <si>
    <t>В список включаем всех прогульщиков нарастующим итогом</t>
  </si>
  <si>
    <t xml:space="preserve">Лист "Обучение" </t>
  </si>
  <si>
    <t>В список включаем всех сотрудников, прошедших обучение, нарастующим итогом</t>
  </si>
  <si>
    <t>Вид обучения: внутреннее или внешнее</t>
  </si>
  <si>
    <t>Тип обучения: профессиональное или личностное</t>
  </si>
  <si>
    <t xml:space="preserve">Лист "Сводный по юрлицам" </t>
  </si>
  <si>
    <t>Формируется автоматически, частично заполняем вручную</t>
  </si>
  <si>
    <t>Обновляем сводную таблицу и напротив наименования организации заполняем данные по текущей численности. Если есть расхождение по численности - пишем комментарии.</t>
  </si>
  <si>
    <t>На конец прошлого месяца</t>
  </si>
  <si>
    <t>Вновь пришедшие</t>
  </si>
  <si>
    <t xml:space="preserve">Уволившиеся </t>
  </si>
  <si>
    <t>Стал "включаем в численность"</t>
  </si>
  <si>
    <t>Стал "исключаем из численности"</t>
  </si>
  <si>
    <t>Проверка</t>
  </si>
  <si>
    <t>Комментарии к расхождениям</t>
  </si>
  <si>
    <t xml:space="preserve">Лист "Сводный по увольнениям" </t>
  </si>
  <si>
    <t>Формируется автоматически</t>
  </si>
  <si>
    <t>Обновляем сводную таблицу. Полученное количество увольнений по функциям вносим на лист текучесть</t>
  </si>
  <si>
    <t xml:space="preserve">Лист "Сводный по исключениям" </t>
  </si>
  <si>
    <t>Обновляем сводную таблицу. Кол-во декретчиц должно совпадать с листом Декретчицы</t>
  </si>
  <si>
    <t>Продуктивность</t>
  </si>
  <si>
    <t>Город</t>
  </si>
  <si>
    <t>Уровень управления</t>
  </si>
  <si>
    <t>ЦФО</t>
  </si>
  <si>
    <t>Административно-хозяйственный отдел</t>
  </si>
  <si>
    <t>Уборщик помещений</t>
  </si>
  <si>
    <t>рабочий</t>
  </si>
  <si>
    <t>Не продуктивный</t>
  </si>
  <si>
    <t>Вспомогательные</t>
  </si>
  <si>
    <t>Ростов-на-Дону</t>
  </si>
  <si>
    <t>7ПП</t>
  </si>
  <si>
    <t>ЦФО Служба логистики (2 ур)</t>
  </si>
  <si>
    <t xml:space="preserve">Администрация </t>
  </si>
  <si>
    <t>Директор</t>
  </si>
  <si>
    <t>директор</t>
  </si>
  <si>
    <t>2БП</t>
  </si>
  <si>
    <t>ЦФО Амурская легенда (1 ур)</t>
  </si>
  <si>
    <t>Азовский СЦ</t>
  </si>
  <si>
    <t>Кассир-приемщик</t>
  </si>
  <si>
    <t>служащий</t>
  </si>
  <si>
    <t>Продуктивный</t>
  </si>
  <si>
    <t>Сервис</t>
  </si>
  <si>
    <t>Азов</t>
  </si>
  <si>
    <t>7БП</t>
  </si>
  <si>
    <t>ЦФО МГС (1 ур)</t>
  </si>
  <si>
    <t>Начальник сервисного центра</t>
  </si>
  <si>
    <t>руководитель отдела</t>
  </si>
  <si>
    <t>5БП</t>
  </si>
  <si>
    <t>Аксайский СЦ</t>
  </si>
  <si>
    <t>Аксай</t>
  </si>
  <si>
    <t>Техник</t>
  </si>
  <si>
    <t>Батайский СЦ</t>
  </si>
  <si>
    <t>Батайск</t>
  </si>
  <si>
    <t>Бухгалтерия</t>
  </si>
  <si>
    <t>Бухгалтер по расчету заработной платы</t>
  </si>
  <si>
    <t>специалист</t>
  </si>
  <si>
    <t>6ПП</t>
  </si>
  <si>
    <t>ЦФО Финслужба (2 ур)</t>
  </si>
  <si>
    <t>Заместитель главного бухгалтера</t>
  </si>
  <si>
    <t>5ПП</t>
  </si>
  <si>
    <t>Помощник бухгалтера</t>
  </si>
  <si>
    <t xml:space="preserve">Бухгалтерия </t>
  </si>
  <si>
    <t>Бухгалтер</t>
  </si>
  <si>
    <t>Бухгалтер-кассир</t>
  </si>
  <si>
    <t>Главный бухгалтер</t>
  </si>
  <si>
    <t>4ПП</t>
  </si>
  <si>
    <t>Волгодонской СЦ</t>
  </si>
  <si>
    <t>Волгодонск</t>
  </si>
  <si>
    <t>Группа по развитию производственной системы</t>
  </si>
  <si>
    <t>Руководитель группы по развитию производственной системы</t>
  </si>
  <si>
    <t>ЦФО Служба качества (2 ур)</t>
  </si>
  <si>
    <t>Каменск-Шахтинский СЦ</t>
  </si>
  <si>
    <t>Каменск-Шахтинск</t>
  </si>
  <si>
    <t>Коммерческая служба</t>
  </si>
  <si>
    <t>Заместитель коммерческого директора</t>
  </si>
  <si>
    <t>Продажи</t>
  </si>
  <si>
    <t>4БП</t>
  </si>
  <si>
    <t>ЦФО Ком.служба (2 ур)</t>
  </si>
  <si>
    <t>Коммерческий директор</t>
  </si>
  <si>
    <t>директор направления</t>
  </si>
  <si>
    <t>3БП</t>
  </si>
  <si>
    <t>Конструкторское бюро</t>
  </si>
  <si>
    <t>Ведущий инженер по внедрению новой технике и технологии</t>
  </si>
  <si>
    <t>ЦФО КБ (2 ур)</t>
  </si>
  <si>
    <t>Ведущий инженер по метрологии</t>
  </si>
  <si>
    <t>Ведущий инженер по проектированию</t>
  </si>
  <si>
    <t>Ведущий инженер-программист</t>
  </si>
  <si>
    <t>Ведущий инженер-разработчик</t>
  </si>
  <si>
    <t>Ведущий инженер-разработчик радиоэлектронной аппаратуры</t>
  </si>
  <si>
    <t>Главный конструктор по изделию</t>
  </si>
  <si>
    <t>Заместитель главного конструктора</t>
  </si>
  <si>
    <t>Заместитель главного конструктора по качеству</t>
  </si>
  <si>
    <t>Инженер по нормативно-технической документации 1 категории</t>
  </si>
  <si>
    <t>Инженер по нормативно-технической документации 2 категории</t>
  </si>
  <si>
    <t>Инженер по сертификации и стандартизация 1 категории</t>
  </si>
  <si>
    <t>Инженер-конструктор 1 категории</t>
  </si>
  <si>
    <t>Инженер-конструктор 2 категории</t>
  </si>
  <si>
    <t>Инженер-конструктор 3 категории</t>
  </si>
  <si>
    <t>Инженер-программист 1 категории</t>
  </si>
  <si>
    <t>Инженер-программист 3 категории</t>
  </si>
  <si>
    <t xml:space="preserve">Инженер-проектировщик АСУТП 1-й категории </t>
  </si>
  <si>
    <t xml:space="preserve">Инженер-проектировщик АСУТП 2-й категории </t>
  </si>
  <si>
    <t>Инженер-проектировщик АСУТП 3-й категории</t>
  </si>
  <si>
    <t>Инженер-разработчик 3 категории</t>
  </si>
  <si>
    <t>Инженер-разработчик радиоэлектронной аппаратуры 1 категории</t>
  </si>
  <si>
    <t>Инженер-разработчик радиоэлектронной аппаратуры 2 категории</t>
  </si>
  <si>
    <t xml:space="preserve">Инженер-разработчик радиоэлектронной аппаратуры 3 категории </t>
  </si>
  <si>
    <t>Инженер-электроник 1 категории</t>
  </si>
  <si>
    <t>Инженер-электроник 2 категории</t>
  </si>
  <si>
    <t xml:space="preserve">Конструкторское бюро        </t>
  </si>
  <si>
    <t>Ведущий специалист по внедрению новой техники и технологии</t>
  </si>
  <si>
    <t xml:space="preserve">Главный конструктор   </t>
  </si>
  <si>
    <t>2ПП</t>
  </si>
  <si>
    <t>Конструкторско-технологический отдел</t>
  </si>
  <si>
    <t xml:space="preserve">Ведущий инженер по нормативно-технической документации </t>
  </si>
  <si>
    <t>Ведущий инженер по разработке и оформлению научно-технической документации</t>
  </si>
  <si>
    <t>Ведущий инженер-конструктор</t>
  </si>
  <si>
    <t>Метрологическая служба</t>
  </si>
  <si>
    <t>Производство</t>
  </si>
  <si>
    <t>6БП</t>
  </si>
  <si>
    <t>ЦФО Главный метролог (1 ур)</t>
  </si>
  <si>
    <t>Главный метролог</t>
  </si>
  <si>
    <t>Заместитель главного метролога</t>
  </si>
  <si>
    <t>Инженер-диспетчер</t>
  </si>
  <si>
    <t>Инженер-метролог</t>
  </si>
  <si>
    <t>Механический участок №1</t>
  </si>
  <si>
    <t>Водитель автопогрузчика</t>
  </si>
  <si>
    <t>ЦФО Производство №1 (1 ур)</t>
  </si>
  <si>
    <t>Инженер по подготовке производства</t>
  </si>
  <si>
    <t>Механический цех</t>
  </si>
  <si>
    <t>Диспетчер по планированию</t>
  </si>
  <si>
    <t>Мастер цеха</t>
  </si>
  <si>
    <t>Наладчик станков и манипуляторов с программным управлением</t>
  </si>
  <si>
    <t>Слесарь-ремонтник</t>
  </si>
  <si>
    <t>Монтажный участок</t>
  </si>
  <si>
    <t>Лакировщик радиодеталий</t>
  </si>
  <si>
    <t>Монтажник РЭА</t>
  </si>
  <si>
    <t>Новочеркасский СЦ</t>
  </si>
  <si>
    <t>Новочеркасск</t>
  </si>
  <si>
    <t>ОП Розничная торговая сеть: водный павильон "Аксай"</t>
  </si>
  <si>
    <t>Продавец</t>
  </si>
  <si>
    <t>ОП Розничная торговая сеть: водный павильон "Западный"</t>
  </si>
  <si>
    <t>ОП Розничная торговая сеть: водный павильон "Суворовский"</t>
  </si>
  <si>
    <t>Основное подразделение (Промзона)</t>
  </si>
  <si>
    <t xml:space="preserve">Бухгалтер                                                             </t>
  </si>
  <si>
    <t>Ведущий специалист по физической культуре и спорту</t>
  </si>
  <si>
    <t xml:space="preserve">Заместитель директора                                                 </t>
  </si>
  <si>
    <t xml:space="preserve">Основное подразделение (Промзона)        </t>
  </si>
  <si>
    <t>Менеджер по снабжению</t>
  </si>
  <si>
    <t>Отдел IT</t>
  </si>
  <si>
    <t>Помощник системного администратора</t>
  </si>
  <si>
    <t>ЦФО Служба безопасности (2 ур)</t>
  </si>
  <si>
    <t>Отдел внешнеэкономической деятельности</t>
  </si>
  <si>
    <t>Менеджер по сопровождению ВЭД</t>
  </si>
  <si>
    <t xml:space="preserve">Отдел дилерских продаж </t>
  </si>
  <si>
    <t>Ведущий менеджер</t>
  </si>
  <si>
    <t>Менеджер по сопровождению</t>
  </si>
  <si>
    <t>Начальник отдела</t>
  </si>
  <si>
    <t>Отдел информационных технологий</t>
  </si>
  <si>
    <t>Отдел конструкторский и внедрения</t>
  </si>
  <si>
    <t>Ведущий оператор 1 С</t>
  </si>
  <si>
    <t>Начальник отдела конструкторского и внедрения</t>
  </si>
  <si>
    <t>Отдел логистики</t>
  </si>
  <si>
    <t xml:space="preserve">Менеджер по логистике </t>
  </si>
  <si>
    <t>Логистика</t>
  </si>
  <si>
    <t xml:space="preserve">Начальник отдела логистики </t>
  </si>
  <si>
    <t>Ведущий менеджер по маркетингу и рекламе</t>
  </si>
  <si>
    <t>Менеджер по рекламе и PR</t>
  </si>
  <si>
    <t>Специалист по организации мероприятий</t>
  </si>
  <si>
    <t>Специалист по технической поддержке продаж</t>
  </si>
  <si>
    <t>Менеджер по маркетингу и рекламе</t>
  </si>
  <si>
    <t>Отдел материально-технического обеспечения</t>
  </si>
  <si>
    <t>Менеджер по закупкам</t>
  </si>
  <si>
    <t xml:space="preserve">Начальник отдела материально-технического обеспечения </t>
  </si>
  <si>
    <t>Оператор 1С</t>
  </si>
  <si>
    <t>Отдел менеджмента качества</t>
  </si>
  <si>
    <t>Специалист по процессному управлению</t>
  </si>
  <si>
    <t>Отдел метрологии и испытаний</t>
  </si>
  <si>
    <t>Отдел по работе с ключевыми клиентами</t>
  </si>
  <si>
    <t>Менеджер по развитию продаж</t>
  </si>
  <si>
    <t>Отдел по работе с рекламациями</t>
  </si>
  <si>
    <t xml:space="preserve">ЦФО Производство №2 (1 ур)  </t>
  </si>
  <si>
    <t>Специалист по работе с рекламациями</t>
  </si>
  <si>
    <t xml:space="preserve">Отдел продаж </t>
  </si>
  <si>
    <t xml:space="preserve">Ведущий менеджер </t>
  </si>
  <si>
    <t>Менеджер по работе с клиентами</t>
  </si>
  <si>
    <t>Руководитель отдела</t>
  </si>
  <si>
    <t>Руководитель отдела продаж</t>
  </si>
  <si>
    <t>Старший менеджер по работе с клиентами</t>
  </si>
  <si>
    <t>Отдел продаж бытового оборудования</t>
  </si>
  <si>
    <t>Ведущий региональный менеджер</t>
  </si>
  <si>
    <t xml:space="preserve">Отдел продаж бытового оборудования </t>
  </si>
  <si>
    <t>Региональный менеджер</t>
  </si>
  <si>
    <t>Отдел продаж метрологических услуг</t>
  </si>
  <si>
    <t>Заместитель начальника отдела</t>
  </si>
  <si>
    <t>Менеджер по логистике</t>
  </si>
  <si>
    <t>Менеджер по региональному развитию</t>
  </si>
  <si>
    <t xml:space="preserve">Начальник отдела </t>
  </si>
  <si>
    <t xml:space="preserve">Отдел сопровождения </t>
  </si>
  <si>
    <t xml:space="preserve">Мастер по ремонту </t>
  </si>
  <si>
    <t>Отдел сопровождения 1С</t>
  </si>
  <si>
    <t>ЦФО Исполнительный директор (2 ур)</t>
  </si>
  <si>
    <t>Начальник отдела сопровождения 1С</t>
  </si>
  <si>
    <t>Программист 1С 3-й категории</t>
  </si>
  <si>
    <t>Отдел сопровождения 1С.</t>
  </si>
  <si>
    <t>Программист 1С</t>
  </si>
  <si>
    <t>Программист 1С-Битрикс</t>
  </si>
  <si>
    <t>Ведущий менеджер отдела тендерных продаж</t>
  </si>
  <si>
    <t>Менеджер отдела тендерных продаж</t>
  </si>
  <si>
    <t>Отдел технического контроля №1</t>
  </si>
  <si>
    <t>Инженер входного контроля</t>
  </si>
  <si>
    <t>Инженер выходного контроля</t>
  </si>
  <si>
    <t>Начальник отдела технического контроля</t>
  </si>
  <si>
    <t>Отдел технического контроля №2</t>
  </si>
  <si>
    <t>Дефектовщик</t>
  </si>
  <si>
    <t>ЦФО Производство БМИ (1 ур)</t>
  </si>
  <si>
    <t xml:space="preserve">Инженер по качеству   </t>
  </si>
  <si>
    <t>Контролер-упаковщик</t>
  </si>
  <si>
    <t>Отдел технической поддержки</t>
  </si>
  <si>
    <t xml:space="preserve">Ведущий специалист  </t>
  </si>
  <si>
    <t>ЦФО Сервисная служба (1+2 ур)</t>
  </si>
  <si>
    <t xml:space="preserve">Отдел технической поддержки        </t>
  </si>
  <si>
    <t>Специалист по технической поддержке</t>
  </si>
  <si>
    <t>Планово-диспетчерская служба</t>
  </si>
  <si>
    <t>Главный диспетчер</t>
  </si>
  <si>
    <t>Проектный офис</t>
  </si>
  <si>
    <t>Ведущий менеджер по управлению проектами</t>
  </si>
  <si>
    <t>Производственный отдел</t>
  </si>
  <si>
    <t>Грузчик</t>
  </si>
  <si>
    <t>Инженер контроля качества и безопасности пищевой продукции</t>
  </si>
  <si>
    <t>Кладовщик</t>
  </si>
  <si>
    <t>Начальник производства</t>
  </si>
  <si>
    <t>Оператор розлива воды</t>
  </si>
  <si>
    <t>Упаковщик</t>
  </si>
  <si>
    <t>Производство №1</t>
  </si>
  <si>
    <t>Директор по производству</t>
  </si>
  <si>
    <t>Диспетчер производства</t>
  </si>
  <si>
    <t>Заместитель директора по развитию производства</t>
  </si>
  <si>
    <t>Руководитель проекта</t>
  </si>
  <si>
    <t>Производство №2</t>
  </si>
  <si>
    <t>Диспетчер 1С ERP</t>
  </si>
  <si>
    <t xml:space="preserve">Мастер цеха                                                          </t>
  </si>
  <si>
    <t>Ремонтный участок стендов</t>
  </si>
  <si>
    <t>Инженер-электронщик</t>
  </si>
  <si>
    <t>Розничная торговая сеть</t>
  </si>
  <si>
    <t>Ростов (Нагибина) СЦ</t>
  </si>
  <si>
    <t>Старший кассир</t>
  </si>
  <si>
    <t xml:space="preserve">Ростов (Нагибина) СЦ        </t>
  </si>
  <si>
    <t>Руководство</t>
  </si>
  <si>
    <t>Бухгалтер производства</t>
  </si>
  <si>
    <t>ЦФО Руководство (2 ур)</t>
  </si>
  <si>
    <t>Директор по логистике</t>
  </si>
  <si>
    <t>3ПП</t>
  </si>
  <si>
    <t>Директор по экономике</t>
  </si>
  <si>
    <t>Заместитель директора по развитию</t>
  </si>
  <si>
    <t>Заместитель директора по экономической безопасности</t>
  </si>
  <si>
    <t>Помощник директора</t>
  </si>
  <si>
    <t>Помощник руководителя</t>
  </si>
  <si>
    <t>Председатель совета директоров</t>
  </si>
  <si>
    <t>1БП</t>
  </si>
  <si>
    <t>Сборщик</t>
  </si>
  <si>
    <t>Финансовый директор</t>
  </si>
  <si>
    <t>Руководство (основное)</t>
  </si>
  <si>
    <t>Руководство конструкторского бюро</t>
  </si>
  <si>
    <t>Директор по научной работе</t>
  </si>
  <si>
    <t>1ПП</t>
  </si>
  <si>
    <t xml:space="preserve">Технический директор                                                  </t>
  </si>
  <si>
    <t>Сальский СЦ</t>
  </si>
  <si>
    <t>Сальск</t>
  </si>
  <si>
    <t>Сборочный участок №1</t>
  </si>
  <si>
    <t xml:space="preserve">Инженер-электроник                                                   </t>
  </si>
  <si>
    <t>Мастер участка</t>
  </si>
  <si>
    <t>Регулировщик радиоэлектронной аппаратуры и приборов</t>
  </si>
  <si>
    <t>Слесарь-сборщик радиоэлектронной аппаратуры</t>
  </si>
  <si>
    <t>Сборочный участок №2</t>
  </si>
  <si>
    <t>Сервисная служба</t>
  </si>
  <si>
    <t>Инженер КИПиА</t>
  </si>
  <si>
    <t>Начальник сервисной службы</t>
  </si>
  <si>
    <t>Склад ремонтных приборов</t>
  </si>
  <si>
    <t>Складской комплекс</t>
  </si>
  <si>
    <t>Кладовщик-комплектовщик</t>
  </si>
  <si>
    <t>Начальник склада</t>
  </si>
  <si>
    <t xml:space="preserve">Начальник склада механического участка </t>
  </si>
  <si>
    <t>Оператор склада</t>
  </si>
  <si>
    <t>Слесарно-сварочный участок №1</t>
  </si>
  <si>
    <t>Бригадир участка</t>
  </si>
  <si>
    <t>Сварщик аргонно-дуговой сварки</t>
  </si>
  <si>
    <t>Слесарь механосборочных работ</t>
  </si>
  <si>
    <t xml:space="preserve">Фрезеровщик                                                           </t>
  </si>
  <si>
    <t>Электрогазосварщик</t>
  </si>
  <si>
    <t>Слесарно-сварочный участок №2</t>
  </si>
  <si>
    <t>Подготовитель окрасочно-сушильных работ</t>
  </si>
  <si>
    <t>Служба безопасности</t>
  </si>
  <si>
    <t>Контролер поста контроля</t>
  </si>
  <si>
    <t>Служба экономической безопасности</t>
  </si>
  <si>
    <t>Ведущий юрисконсульт</t>
  </si>
  <si>
    <t>Начальник контрольной службы и режима</t>
  </si>
  <si>
    <t>Служба качества</t>
  </si>
  <si>
    <t>Инженер по качеству 1 категории</t>
  </si>
  <si>
    <t>Менеджер системы менеджмента качества</t>
  </si>
  <si>
    <t>Начальник службы качества</t>
  </si>
  <si>
    <t>Служба развития</t>
  </si>
  <si>
    <t>Ведущий менеджер по развитию</t>
  </si>
  <si>
    <t>ЦФО Служба развития (2 ур)</t>
  </si>
  <si>
    <t>Дизайнер</t>
  </si>
  <si>
    <t>Директор по развитию</t>
  </si>
  <si>
    <t>Инженер по опытно-промышленной эксплуатации</t>
  </si>
  <si>
    <t>Менеджер по развитию</t>
  </si>
  <si>
    <t>Менеджер по развитию 1 категории</t>
  </si>
  <si>
    <t>Менеджер по развитию 2 категории</t>
  </si>
  <si>
    <t>Начальник службы развития</t>
  </si>
  <si>
    <t>Служба ремонта и обслуживания оборудования</t>
  </si>
  <si>
    <t>Начальник службы</t>
  </si>
  <si>
    <t>Служба управления персоналом</t>
  </si>
  <si>
    <t>Ведущий менеджер по персоналу</t>
  </si>
  <si>
    <t>ЦФО Служба персонала (2 ур)</t>
  </si>
  <si>
    <t>Директор по персоналу</t>
  </si>
  <si>
    <t>Специалист по кадровому делопроизводству</t>
  </si>
  <si>
    <t>Специалист по охране труда</t>
  </si>
  <si>
    <t>Таганрогский СЦ</t>
  </si>
  <si>
    <t>Таганрог</t>
  </si>
  <si>
    <t>Токарный участок</t>
  </si>
  <si>
    <t>Токарь</t>
  </si>
  <si>
    <t>Транспортная служба</t>
  </si>
  <si>
    <t>Водитель-экспедитор</t>
  </si>
  <si>
    <t>Начальник транспортной службы</t>
  </si>
  <si>
    <t>Персональный водитель</t>
  </si>
  <si>
    <t xml:space="preserve">Транспортный отдел </t>
  </si>
  <si>
    <t xml:space="preserve">Водитель </t>
  </si>
  <si>
    <t>Начальник транспортного отдела</t>
  </si>
  <si>
    <t>Управление делами</t>
  </si>
  <si>
    <t>Начальник управления</t>
  </si>
  <si>
    <t>Офис-менеджер</t>
  </si>
  <si>
    <t>Помощник Председателя совета директоров</t>
  </si>
  <si>
    <t>Участок Гранд SPI</t>
  </si>
  <si>
    <t xml:space="preserve">Участок Гранд SPI </t>
  </si>
  <si>
    <t>Участок ремонта гарантийных плат</t>
  </si>
  <si>
    <t>Участок ремонта гарантийных приборов</t>
  </si>
  <si>
    <t>Участок ремонта промышленного оборудования</t>
  </si>
  <si>
    <t xml:space="preserve">Диспетчер                                                             </t>
  </si>
  <si>
    <t>Инженер по ремонту</t>
  </si>
  <si>
    <t>Участок сборки счетчиков</t>
  </si>
  <si>
    <t>Бригадир сборщиков</t>
  </si>
  <si>
    <t>Монтажник</t>
  </si>
  <si>
    <t>Участок СПУ-5</t>
  </si>
  <si>
    <t>Слесарь-калибровщик</t>
  </si>
  <si>
    <t>Участок ультразвуковых датчиков</t>
  </si>
  <si>
    <t>Участок упаковки</t>
  </si>
  <si>
    <t>Сборщик-упаковщик</t>
  </si>
  <si>
    <t>Участок ЧПУ</t>
  </si>
  <si>
    <t>Фрезерный участок</t>
  </si>
  <si>
    <t>Шахтинский СЦ</t>
  </si>
  <si>
    <t>Шахты</t>
  </si>
  <si>
    <t>Шахты СЦ</t>
  </si>
  <si>
    <t>Экономический отдел</t>
  </si>
  <si>
    <t>Начальник экономического отдела</t>
  </si>
  <si>
    <t>Экономист</t>
  </si>
  <si>
    <t>Юридический отдел</t>
  </si>
  <si>
    <t>Начальник юридического отдела</t>
  </si>
  <si>
    <t>Специалист по сопровождению 1С:ERP</t>
  </si>
  <si>
    <t>Специалист по технической документации</t>
  </si>
  <si>
    <t xml:space="preserve"> Менеджер по развитию продаж</t>
  </si>
  <si>
    <t>Начальник отдела продаж</t>
  </si>
  <si>
    <t>Юрисконсульт</t>
  </si>
  <si>
    <t xml:space="preserve">Старший уборщик помещений </t>
  </si>
  <si>
    <t>Отдел продаж</t>
  </si>
  <si>
    <t>Мастер по ремонту и сервисному обслуживанию</t>
  </si>
  <si>
    <t xml:space="preserve">Менеджер по сопровождению клиентов </t>
  </si>
  <si>
    <t>Ведущий инженер по качеству</t>
  </si>
  <si>
    <t>Начальник отдела снабжения</t>
  </si>
  <si>
    <t xml:space="preserve">Менеджер по продажам   </t>
  </si>
  <si>
    <t>Менеджер по качеству</t>
  </si>
  <si>
    <t xml:space="preserve">Заместитель главного конструктора - председатель экспертной комиссии </t>
  </si>
  <si>
    <t>Отдел метрологии и сертификации</t>
  </si>
  <si>
    <t>Ведущий специалист по сертификации</t>
  </si>
  <si>
    <t>Инженер по опытно-промышленной эксплуатации 1 категории</t>
  </si>
  <si>
    <t>Ведущий менеджер по тендерам</t>
  </si>
  <si>
    <t>Программист 1С 2-й категории</t>
  </si>
  <si>
    <t>Монтажник КИПиА</t>
  </si>
  <si>
    <t>Инженер по метрологии 2 категории</t>
  </si>
  <si>
    <t>Руководство ГК</t>
  </si>
  <si>
    <t>Заместитель главного бухгалтера КБ</t>
  </si>
  <si>
    <t>Менеджер по персоналу</t>
  </si>
  <si>
    <t>Менеджер по работе с государственными органами</t>
  </si>
  <si>
    <t>Москва</t>
  </si>
  <si>
    <t>Инженер-проектировщик АСУТП 2-й категории</t>
  </si>
  <si>
    <t>Ведущий инженер по нормативно-технической документации</t>
  </si>
  <si>
    <t>Заместитель главного конструктора - председатель экспертной комиссии</t>
  </si>
  <si>
    <t>Начальник склада механического участка</t>
  </si>
  <si>
    <t>Ведущий специалист</t>
  </si>
  <si>
    <t>Производственный цех №1</t>
  </si>
  <si>
    <t>Эксплуатационная служба</t>
  </si>
  <si>
    <t>Энергетик</t>
  </si>
  <si>
    <t>Оператор станков с программным управлением</t>
  </si>
  <si>
    <t>Инженер сервисной службы</t>
  </si>
  <si>
    <t>Лаборатория неразрушающего контроля</t>
  </si>
  <si>
    <t>Начальник лаборатории неразрушающего контроля</t>
  </si>
  <si>
    <t>Рабочий по комплексному обслуживанию зданий</t>
  </si>
  <si>
    <t>Электрик</t>
  </si>
  <si>
    <t>Диспетчер</t>
  </si>
  <si>
    <t>Фрезеровщик</t>
  </si>
  <si>
    <t>Главный конструктор</t>
  </si>
  <si>
    <t>Служба технического директора</t>
  </si>
  <si>
    <t>Технический директор</t>
  </si>
  <si>
    <t>Менеджер по сопровождению клиентов</t>
  </si>
  <si>
    <t>Транспортный отдел</t>
  </si>
  <si>
    <t>Водитель</t>
  </si>
  <si>
    <t>Служба приема и размещения</t>
  </si>
  <si>
    <t>Старший портье</t>
  </si>
  <si>
    <t>Гостиница</t>
  </si>
  <si>
    <t>ЦФО Милака (1 ур)</t>
  </si>
  <si>
    <t>Портье</t>
  </si>
  <si>
    <t>Контролер</t>
  </si>
  <si>
    <t xml:space="preserve">Монтажник                                                     </t>
  </si>
  <si>
    <t>Старший оператор 1С</t>
  </si>
  <si>
    <t>Компания</t>
  </si>
  <si>
    <t>Рабочий день</t>
  </si>
  <si>
    <t>категория персонала</t>
  </si>
  <si>
    <t>Функции</t>
  </si>
  <si>
    <t>Вид занятости</t>
  </si>
  <si>
    <t>причины невключения</t>
  </si>
  <si>
    <t>причины изменения</t>
  </si>
  <si>
    <t>причина нетрудоспособности</t>
  </si>
  <si>
    <t>Вид обучения</t>
  </si>
  <si>
    <t>Направление обучения</t>
  </si>
  <si>
    <t>Приоритет закрытия</t>
  </si>
  <si>
    <t>Вид приема</t>
  </si>
  <si>
    <t>Январь</t>
  </si>
  <si>
    <t>АЛМАЗ</t>
  </si>
  <si>
    <t>постоянный</t>
  </si>
  <si>
    <t>полный</t>
  </si>
  <si>
    <t>Основное место</t>
  </si>
  <si>
    <t>отпуск по беременности и родам (Декрет)</t>
  </si>
  <si>
    <t>уход в отпуск по беременности и родам</t>
  </si>
  <si>
    <t>стал исключаем</t>
  </si>
  <si>
    <t>заболевание</t>
  </si>
  <si>
    <t>Внутренее</t>
  </si>
  <si>
    <t>Профессиональное</t>
  </si>
  <si>
    <t>Первоочередная</t>
  </si>
  <si>
    <t>Перевод</t>
  </si>
  <si>
    <t>Февраль</t>
  </si>
  <si>
    <t>Метрогазсервис</t>
  </si>
  <si>
    <t>временный</t>
  </si>
  <si>
    <t>неполный</t>
  </si>
  <si>
    <t>Совместительство</t>
  </si>
  <si>
    <t>отпуск по уходу за ребенком до 1,5 и 3-х лет</t>
  </si>
  <si>
    <t>уход в отпуск по уходу за ребенком до 1,5 и 3-х лет</t>
  </si>
  <si>
    <t>уход за больным членом семьи</t>
  </si>
  <si>
    <t>Внешнее</t>
  </si>
  <si>
    <t>Личностное</t>
  </si>
  <si>
    <t>Текущая</t>
  </si>
  <si>
    <t xml:space="preserve">Подбор </t>
  </si>
  <si>
    <t>Март</t>
  </si>
  <si>
    <t>НПО Турбулентность-Дон</t>
  </si>
  <si>
    <t>сокращенный</t>
  </si>
  <si>
    <t>длительный прогул</t>
  </si>
  <si>
    <t>начало  длительного прогула</t>
  </si>
  <si>
    <t>травма</t>
  </si>
  <si>
    <t>Разрешительные документы</t>
  </si>
  <si>
    <t>Резерв</t>
  </si>
  <si>
    <t>Приведи друга</t>
  </si>
  <si>
    <t>ЦФО Директор НПО (2 ур)</t>
  </si>
  <si>
    <t>Апрель</t>
  </si>
  <si>
    <t>ИП Корниенко М.С.</t>
  </si>
  <si>
    <t>длительное отсутствие по невыясненным причинам</t>
  </si>
  <si>
    <t>начало длительного отсутствие по невыясненным причинам</t>
  </si>
  <si>
    <t>отпуск по беременности и родам</t>
  </si>
  <si>
    <t>Май</t>
  </si>
  <si>
    <t>Амурская легенда</t>
  </si>
  <si>
    <t>длительный отпуск без сохранения з/п</t>
  </si>
  <si>
    <t>уход в отпуск без сохранения з/п</t>
  </si>
  <si>
    <t>протезирование в стационаре</t>
  </si>
  <si>
    <t>Июнь</t>
  </si>
  <si>
    <t>Милака</t>
  </si>
  <si>
    <t>длительный больничный</t>
  </si>
  <si>
    <t>выход из  отпуска по беременности и родам</t>
  </si>
  <si>
    <t>стал включаем</t>
  </si>
  <si>
    <t>долечивание в санатории</t>
  </si>
  <si>
    <t>Июль</t>
  </si>
  <si>
    <t>внутренний соместитель</t>
  </si>
  <si>
    <t>выход из  отпуска по уходу за ребенком до 1,5 и 3-х лет</t>
  </si>
  <si>
    <t>иное состояние</t>
  </si>
  <si>
    <t>Август</t>
  </si>
  <si>
    <t>внешний совместитель</t>
  </si>
  <si>
    <t>конец длительного прогула</t>
  </si>
  <si>
    <t>Сентябрь</t>
  </si>
  <si>
    <t>мобилизация</t>
  </si>
  <si>
    <t>конец длительного отсутствие по невыясненным причинам</t>
  </si>
  <si>
    <t>Октябрь</t>
  </si>
  <si>
    <t>выход из  отпуска без сохранения з/п</t>
  </si>
  <si>
    <t>Ноябрь</t>
  </si>
  <si>
    <t>Миллерово</t>
  </si>
  <si>
    <t>Декабрь</t>
  </si>
  <si>
    <t>ЦФО Служба технического директора (2 ур)</t>
  </si>
  <si>
    <t>ЦФО Экспериментальный цех (2 ур)</t>
  </si>
  <si>
    <t>ЦФО Служба автоматизации (2 ур)</t>
  </si>
  <si>
    <t>Выгрузка из 1С</t>
  </si>
  <si>
    <t xml:space="preserve">Заполняется вручную </t>
  </si>
  <si>
    <t>Заполняется автоматически</t>
  </si>
  <si>
    <t>Заполняем вручную, настроен выпадающий список</t>
  </si>
  <si>
    <t>стаж работы в компании</t>
  </si>
  <si>
    <t>возраст</t>
  </si>
  <si>
    <r>
      <t xml:space="preserve">Дата начала работы в ГК</t>
    </r>
    <r>
      <rPr>
        <rFont val="Calibri"/>
        <b val="true"/>
        <i val="false"/>
        <strike val="false"/>
        <color rgb="FF000000"/>
        <sz val="9"/>
        <u val="none"/>
      </rPr>
      <t xml:space="preserve"> (при переводе из одного юрлица в другое)</t>
    </r>
  </si>
  <si>
    <t>Ставка</t>
  </si>
  <si>
    <t>Сегодня</t>
  </si>
  <si>
    <t>лет</t>
  </si>
  <si>
    <t>месяцев</t>
  </si>
  <si>
    <t>дней</t>
  </si>
  <si>
    <t>00506</t>
  </si>
  <si>
    <t>Мегрелишвили Михаил Эмзарович</t>
  </si>
  <si>
    <t>29.01.2026</t>
  </si>
  <si>
    <t>27.05.1984</t>
  </si>
  <si>
    <t>3/10</t>
  </si>
  <si>
    <t>Внешнее совместительство</t>
  </si>
  <si>
    <t>АЛМАЗ ООО</t>
  </si>
  <si>
    <t>00436</t>
  </si>
  <si>
    <t>Павлова Лариса Викторовна</t>
  </si>
  <si>
    <t>01.04.2024</t>
  </si>
  <si>
    <t>20.04.1976</t>
  </si>
  <si>
    <t>Основное место работы</t>
  </si>
  <si>
    <t>00238</t>
  </si>
  <si>
    <t>Лазарева Марина Владимировна</t>
  </si>
  <si>
    <t>02.08.2021</t>
  </si>
  <si>
    <t>13.10.1983</t>
  </si>
  <si>
    <t>00407</t>
  </si>
  <si>
    <t>Полякова Кристина Валентиновна</t>
  </si>
  <si>
    <t>17.07.2023</t>
  </si>
  <si>
    <t>05.09.1983</t>
  </si>
  <si>
    <t>00495</t>
  </si>
  <si>
    <t>Цимбалова Любовь Витальевна</t>
  </si>
  <si>
    <t>22.07.2025</t>
  </si>
  <si>
    <t>10.12.1995</t>
  </si>
  <si>
    <t>00510</t>
  </si>
  <si>
    <t>Сорокина Светлана Петровна</t>
  </si>
  <si>
    <t>15.05.2026</t>
  </si>
  <si>
    <t>19.07.1963</t>
  </si>
  <si>
    <t>Специалист по управлению товарными запасами</t>
  </si>
  <si>
    <t>0000000038</t>
  </si>
  <si>
    <t>Оганесян Кристина Лазаревна</t>
  </si>
  <si>
    <t>01.04.2016</t>
  </si>
  <si>
    <t>13.03.1981</t>
  </si>
  <si>
    <t>00201</t>
  </si>
  <si>
    <t>Подгорная Олеся Владимировна</t>
  </si>
  <si>
    <t>23.09.2020</t>
  </si>
  <si>
    <t>20.10.1983</t>
  </si>
  <si>
    <t>00468</t>
  </si>
  <si>
    <t>Беседин Вадим Вадимович</t>
  </si>
  <si>
    <t>03.03.2025</t>
  </si>
  <si>
    <t>10.05.1979</t>
  </si>
  <si>
    <t>00489</t>
  </si>
  <si>
    <t>Богачева Алла Александровна</t>
  </si>
  <si>
    <t>01.07.2025</t>
  </si>
  <si>
    <t>26.07.1981</t>
  </si>
  <si>
    <t>00483</t>
  </si>
  <si>
    <t>Добровольская Людмила Николаевна</t>
  </si>
  <si>
    <t>27.05.2025</t>
  </si>
  <si>
    <t>23.08.1981</t>
  </si>
  <si>
    <t>00416</t>
  </si>
  <si>
    <t>Земляков Василий Владимирович</t>
  </si>
  <si>
    <t>22.09.2023</t>
  </si>
  <si>
    <t>08.04.1972</t>
  </si>
  <si>
    <t>00499</t>
  </si>
  <si>
    <t>Зимовец Полина Александровна</t>
  </si>
  <si>
    <t>21.10.2025</t>
  </si>
  <si>
    <t>09.02.2004</t>
  </si>
  <si>
    <t>00487</t>
  </si>
  <si>
    <t>Кейсон Алексея Викторовна</t>
  </si>
  <si>
    <t>24.12.2000</t>
  </si>
  <si>
    <t>00421</t>
  </si>
  <si>
    <t>Кобцева Наталья Алексеевна</t>
  </si>
  <si>
    <t>04.10.2023</t>
  </si>
  <si>
    <t>09.05.1977</t>
  </si>
  <si>
    <t>00507</t>
  </si>
  <si>
    <t>Манченко Александр Николаевич</t>
  </si>
  <si>
    <t>28.04.2026</t>
  </si>
  <si>
    <t>26.09.1989</t>
  </si>
  <si>
    <t>00445</t>
  </si>
  <si>
    <t>Мелешко Владимир Викторович</t>
  </si>
  <si>
    <t>01.07.2024</t>
  </si>
  <si>
    <t>13.07.1967</t>
  </si>
  <si>
    <t>00508</t>
  </si>
  <si>
    <t>Самсоненко Александр Алексеевич</t>
  </si>
  <si>
    <t>29.04.2026</t>
  </si>
  <si>
    <t>06.09.1978</t>
  </si>
  <si>
    <t>00511</t>
  </si>
  <si>
    <t>Свистов Максим Вячеславович</t>
  </si>
  <si>
    <t>18.05.2026</t>
  </si>
  <si>
    <t>14.01.1975</t>
  </si>
  <si>
    <t>00478</t>
  </si>
  <si>
    <t>Фомина Алена Игоревна</t>
  </si>
  <si>
    <t>12.05.2025</t>
  </si>
  <si>
    <t>18.10.1996</t>
  </si>
  <si>
    <t>00486</t>
  </si>
  <si>
    <t>Азриян Артур Ашотович</t>
  </si>
  <si>
    <t>09.06.2025</t>
  </si>
  <si>
    <t>14.04.1999</t>
  </si>
  <si>
    <t>00497</t>
  </si>
  <si>
    <t>Сафронов Игорь Александрович</t>
  </si>
  <si>
    <t>01.09.2025</t>
  </si>
  <si>
    <t>12.03.1992</t>
  </si>
  <si>
    <t>00419</t>
  </si>
  <si>
    <t>Андреев Артем Евгеньевич</t>
  </si>
  <si>
    <t>28.09.2023</t>
  </si>
  <si>
    <t>12.07.2002</t>
  </si>
  <si>
    <t>00496</t>
  </si>
  <si>
    <t>Клюшник Сергей Романович</t>
  </si>
  <si>
    <t>01.08.2025</t>
  </si>
  <si>
    <t>07.10.2004</t>
  </si>
  <si>
    <t>0000000044</t>
  </si>
  <si>
    <t>Сокол Рита Васильевна</t>
  </si>
  <si>
    <t>25.06.1963</t>
  </si>
  <si>
    <t>00166</t>
  </si>
  <si>
    <t>Сухарева Ольга Андреевна</t>
  </si>
  <si>
    <t>22.10.2019</t>
  </si>
  <si>
    <t>24.07.1961</t>
  </si>
  <si>
    <t>00163</t>
  </si>
  <si>
    <t>Тарасов Василий Михайлович</t>
  </si>
  <si>
    <t>26.09.2019</t>
  </si>
  <si>
    <t>19.01.1984</t>
  </si>
  <si>
    <t>00488</t>
  </si>
  <si>
    <t>Очнев Олег Юрьевич</t>
  </si>
  <si>
    <t>07.02.1972</t>
  </si>
  <si>
    <t>00512</t>
  </si>
  <si>
    <t>Гладуненко Павел Александрович</t>
  </si>
  <si>
    <t>19.05.2026</t>
  </si>
  <si>
    <t>18.12.1980</t>
  </si>
  <si>
    <t>Участок монтажа радиоэлектронной аппаратуры</t>
  </si>
  <si>
    <t>00449</t>
  </si>
  <si>
    <t>Добровольский Дмитрий Дмитриевич</t>
  </si>
  <si>
    <t>01.08.2024</t>
  </si>
  <si>
    <t>05.07.1984</t>
  </si>
  <si>
    <t>Участок ремонта и обслуживания оборудования</t>
  </si>
  <si>
    <t>00443</t>
  </si>
  <si>
    <t>Андронов Николай Леонидович</t>
  </si>
  <si>
    <t>14.06.2024</t>
  </si>
  <si>
    <t>01.09.1988</t>
  </si>
  <si>
    <t>Слесарь КИПиА</t>
  </si>
  <si>
    <t>00221</t>
  </si>
  <si>
    <t>Кравченко Александр Борисович</t>
  </si>
  <si>
    <t>30.04.2021</t>
  </si>
  <si>
    <t>12.04.1971</t>
  </si>
  <si>
    <t>00509</t>
  </si>
  <si>
    <t>Дорошенко Игорь Олегович</t>
  </si>
  <si>
    <t>13.05.2026</t>
  </si>
  <si>
    <t>18.06.1998</t>
  </si>
  <si>
    <t>00485</t>
  </si>
  <si>
    <t>Гонджиян Давид Игоревич</t>
  </si>
  <si>
    <t>03.06.2025</t>
  </si>
  <si>
    <t>06.08.1988</t>
  </si>
  <si>
    <t>00501</t>
  </si>
  <si>
    <t>Попов Евгений Алексеевич</t>
  </si>
  <si>
    <t>01.12.2025</t>
  </si>
  <si>
    <t>16.08.1982</t>
  </si>
  <si>
    <t>00426</t>
  </si>
  <si>
    <t>Рештук Дарья Константиновна</t>
  </si>
  <si>
    <t>01.12.2023</t>
  </si>
  <si>
    <t>02.06.1993</t>
  </si>
  <si>
    <t>00454</t>
  </si>
  <si>
    <t>Баранникова Надежда Александровна</t>
  </si>
  <si>
    <t>27.08.2024</t>
  </si>
  <si>
    <t>09.11.1998</t>
  </si>
  <si>
    <t>Специалист по логистике</t>
  </si>
  <si>
    <t>00399</t>
  </si>
  <si>
    <t>Ачимова Кристина Владимировна</t>
  </si>
  <si>
    <t>28.06.2023</t>
  </si>
  <si>
    <t>28.03.2001</t>
  </si>
  <si>
    <t>Ведущий специалист по работе с рекламациями</t>
  </si>
  <si>
    <t>0000000004</t>
  </si>
  <si>
    <t>Кулешова Наталья Станиславовна</t>
  </si>
  <si>
    <t>03.10.2016</t>
  </si>
  <si>
    <t>05.11.1984</t>
  </si>
  <si>
    <t>ИП Корниенко М.В.</t>
  </si>
  <si>
    <t>00029</t>
  </si>
  <si>
    <t>Дмитрук Оксана Александровна</t>
  </si>
  <si>
    <t>14.08.2023</t>
  </si>
  <si>
    <t>21.02.1985</t>
  </si>
  <si>
    <t>00043</t>
  </si>
  <si>
    <t>Ковалева Вера Александровна</t>
  </si>
  <si>
    <t>02.02.2026</t>
  </si>
  <si>
    <t>13.05.1997</t>
  </si>
  <si>
    <t>00044</t>
  </si>
  <si>
    <t>Любченко Оксана Николаевна</t>
  </si>
  <si>
    <t>26.03.1976</t>
  </si>
  <si>
    <t>00041</t>
  </si>
  <si>
    <t>Нижерадзе Алина Геноевна</t>
  </si>
  <si>
    <t>10.09.2025</t>
  </si>
  <si>
    <t>18.06.2003</t>
  </si>
  <si>
    <t>00013</t>
  </si>
  <si>
    <t>Пожидаева Марина Васильевна</t>
  </si>
  <si>
    <t>19.04.2021</t>
  </si>
  <si>
    <t>21.10.1981</t>
  </si>
  <si>
    <t>00038</t>
  </si>
  <si>
    <t>Коваленко Артемий Олегович</t>
  </si>
  <si>
    <t>05.11.2024</t>
  </si>
  <si>
    <t>09.08.1979</t>
  </si>
  <si>
    <t>Начальник отдела материально-технического обеспечения</t>
  </si>
  <si>
    <t>00006</t>
  </si>
  <si>
    <t>Ершова Ирина Лаврентьевна</t>
  </si>
  <si>
    <t>26.11.2018</t>
  </si>
  <si>
    <t>21.10.1967</t>
  </si>
  <si>
    <t>0000000003</t>
  </si>
  <si>
    <t>Коржов Дмитрий Владимирович</t>
  </si>
  <si>
    <t>27.03.1977</t>
  </si>
  <si>
    <t>00034</t>
  </si>
  <si>
    <t>Короткова Валентина Викторовна</t>
  </si>
  <si>
    <t>18.05.1985</t>
  </si>
  <si>
    <t>00026</t>
  </si>
  <si>
    <t>Мозговая Вероника Викторовна</t>
  </si>
  <si>
    <t>10.07.2023</t>
  </si>
  <si>
    <t>17.09.1999</t>
  </si>
  <si>
    <t>00028</t>
  </si>
  <si>
    <t>Стародубова Инна Юрьевна</t>
  </si>
  <si>
    <t>10.08.2023</t>
  </si>
  <si>
    <t>29.05.1987</t>
  </si>
  <si>
    <t>МГС000109</t>
  </si>
  <si>
    <t>Чепурин Роман Алексеевич</t>
  </si>
  <si>
    <t>20.06.2016</t>
  </si>
  <si>
    <t>06.12.1991</t>
  </si>
  <si>
    <t>Метрогазсервис ООО</t>
  </si>
  <si>
    <t>00138</t>
  </si>
  <si>
    <t>Григорьева Яна Павловна</t>
  </si>
  <si>
    <t>06.05.2026</t>
  </si>
  <si>
    <t>29.07.1986</t>
  </si>
  <si>
    <t>00087</t>
  </si>
  <si>
    <t>Романенко Виктория Игоревна</t>
  </si>
  <si>
    <t>10.06.2021</t>
  </si>
  <si>
    <t>26.03.1988</t>
  </si>
  <si>
    <t>00025</t>
  </si>
  <si>
    <t>Калинин Тимур Эдуардович</t>
  </si>
  <si>
    <t>20.08.2018</t>
  </si>
  <si>
    <t>28.05.1992</t>
  </si>
  <si>
    <t>00073</t>
  </si>
  <si>
    <t>Батюков Николай Сергеевич</t>
  </si>
  <si>
    <t>16.07.2020</t>
  </si>
  <si>
    <t>01.04.1984</t>
  </si>
  <si>
    <t>Шитухина Наталья Федоровна</t>
  </si>
  <si>
    <t>29.08.2018</t>
  </si>
  <si>
    <t>21.06.1989</t>
  </si>
  <si>
    <t>МГС0000097</t>
  </si>
  <si>
    <t>Плещенко Сергей Сергеевич</t>
  </si>
  <si>
    <t>27.11.2015</t>
  </si>
  <si>
    <t>01.10.1988</t>
  </si>
  <si>
    <t>00094</t>
  </si>
  <si>
    <t>Рожкова Светлана Ивановна</t>
  </si>
  <si>
    <t>25.05.2022</t>
  </si>
  <si>
    <t>18.05.1970</t>
  </si>
  <si>
    <t>00055</t>
  </si>
  <si>
    <t>Болдырев Игорь Васильевич</t>
  </si>
  <si>
    <t>05.08.2019</t>
  </si>
  <si>
    <t>10.12.1964</t>
  </si>
  <si>
    <t>00081</t>
  </si>
  <si>
    <t>Бодрова Элеонора Геннадьевна</t>
  </si>
  <si>
    <t>22.10.2020</t>
  </si>
  <si>
    <t>11.08.1968</t>
  </si>
  <si>
    <t>МГС0000066</t>
  </si>
  <si>
    <t>Беспалов Александр Сергеевич</t>
  </si>
  <si>
    <t>07.07.2015</t>
  </si>
  <si>
    <t>06.05.1973</t>
  </si>
  <si>
    <t>МГС000103</t>
  </si>
  <si>
    <t>Моганов Александр Борисович</t>
  </si>
  <si>
    <t>30.03.2016</t>
  </si>
  <si>
    <t>03.12.1979</t>
  </si>
  <si>
    <t>00007</t>
  </si>
  <si>
    <t>Калитвинцева Виктория Викторовна</t>
  </si>
  <si>
    <t>19.02.2018</t>
  </si>
  <si>
    <t>29.07.1989</t>
  </si>
  <si>
    <t>МГС0000012</t>
  </si>
  <si>
    <t>Кущев Вячеслав Юрьевич</t>
  </si>
  <si>
    <t>01.03.2010</t>
  </si>
  <si>
    <t>03.08.1985</t>
  </si>
  <si>
    <t>00011</t>
  </si>
  <si>
    <t>Боровикова Виктория Ричардовна</t>
  </si>
  <si>
    <t>02.04.2018</t>
  </si>
  <si>
    <t>13.07.1968</t>
  </si>
  <si>
    <t>Бессчётнов Алексей Иванович</t>
  </si>
  <si>
    <t>30.08.2018</t>
  </si>
  <si>
    <t>09.06.1974</t>
  </si>
  <si>
    <t>00086</t>
  </si>
  <si>
    <t>Бурдин Павел Викторович</t>
  </si>
  <si>
    <t>04.06.2021</t>
  </si>
  <si>
    <t>30.12.1986</t>
  </si>
  <si>
    <t>00024</t>
  </si>
  <si>
    <t>Зиновьев Иван Викторович</t>
  </si>
  <si>
    <t>24.07.2018</t>
  </si>
  <si>
    <t>12.07.1973</t>
  </si>
  <si>
    <t>00074</t>
  </si>
  <si>
    <t>Кудрявец Андрей Григорьевич</t>
  </si>
  <si>
    <t>05.08.2020</t>
  </si>
  <si>
    <t>20.07.1981</t>
  </si>
  <si>
    <t>00131</t>
  </si>
  <si>
    <t>Орлов Алексей Викторович</t>
  </si>
  <si>
    <t>04.02.2025</t>
  </si>
  <si>
    <t>12.02.1983</t>
  </si>
  <si>
    <t>00079</t>
  </si>
  <si>
    <t>Клипаченко Наталья Владимировна</t>
  </si>
  <si>
    <t>08.09.2020</t>
  </si>
  <si>
    <t>15.09.1973</t>
  </si>
  <si>
    <t>МГС0000052</t>
  </si>
  <si>
    <t>Макаров Алексей Михайлович</t>
  </si>
  <si>
    <t>04.04.2014</t>
  </si>
  <si>
    <t>30.03.1977</t>
  </si>
  <si>
    <t>00136</t>
  </si>
  <si>
    <t>Макарова Ольга Михайловна</t>
  </si>
  <si>
    <t>05.02.2026</t>
  </si>
  <si>
    <t>13.12.1985</t>
  </si>
  <si>
    <t>МГС0000055</t>
  </si>
  <si>
    <t>Кривошапкин Дмитрий Владимирович</t>
  </si>
  <si>
    <t>16.03.2015</t>
  </si>
  <si>
    <t>03.10.1978</t>
  </si>
  <si>
    <t>00077</t>
  </si>
  <si>
    <t>Литвиченко  Анна Андреевна</t>
  </si>
  <si>
    <t>11.08.2020</t>
  </si>
  <si>
    <t>21.10.1985</t>
  </si>
  <si>
    <t>00092</t>
  </si>
  <si>
    <t>Синишина Татьяна Ивановна</t>
  </si>
  <si>
    <t>01.04.2022</t>
  </si>
  <si>
    <t>24.05.1983</t>
  </si>
  <si>
    <t>00091</t>
  </si>
  <si>
    <t>Махлин Константин Романович</t>
  </si>
  <si>
    <t>16.02.1978</t>
  </si>
  <si>
    <t>МГС000102</t>
  </si>
  <si>
    <t>Махлин Роман Ильич</t>
  </si>
  <si>
    <t>15.05.1951</t>
  </si>
  <si>
    <t>00097</t>
  </si>
  <si>
    <t>Мостовая Екатерина Валерьевна</t>
  </si>
  <si>
    <t>01.09.2022</t>
  </si>
  <si>
    <t>01.08.1987</t>
  </si>
  <si>
    <t>00070</t>
  </si>
  <si>
    <t>Яценко Максим Викторович</t>
  </si>
  <si>
    <t>19.05.2020</t>
  </si>
  <si>
    <t>06.11.1983</t>
  </si>
  <si>
    <t>00122</t>
  </si>
  <si>
    <t>Вартаньянц Артем Гариевич</t>
  </si>
  <si>
    <t>22.05.2024</t>
  </si>
  <si>
    <t>06.09.2001</t>
  </si>
  <si>
    <t>Менеджер по работе с маркетплейсами</t>
  </si>
  <si>
    <t>00137</t>
  </si>
  <si>
    <t>Сафарян Валерий Роланович</t>
  </si>
  <si>
    <t>30.03.2026</t>
  </si>
  <si>
    <t>19.02.1999</t>
  </si>
  <si>
    <t>Менеджер по продаже промышленного оборудования</t>
  </si>
  <si>
    <t>00129</t>
  </si>
  <si>
    <t>Рыков Роман Иванович</t>
  </si>
  <si>
    <t>26.12.2024</t>
  </si>
  <si>
    <t>08.10.1982</t>
  </si>
  <si>
    <t>Семикаракорский СЦ</t>
  </si>
  <si>
    <t>00105</t>
  </si>
  <si>
    <t>Семионова Оксана Михайловна</t>
  </si>
  <si>
    <t>06.06.2023</t>
  </si>
  <si>
    <t>27.12.1975</t>
  </si>
  <si>
    <t>00059</t>
  </si>
  <si>
    <t>Беседин Евгений Сергеевич</t>
  </si>
  <si>
    <t>20.12.2019</t>
  </si>
  <si>
    <t>01.09.1975</t>
  </si>
  <si>
    <t>1/2</t>
  </si>
  <si>
    <t>00060</t>
  </si>
  <si>
    <t>Гориславская Татьяна Викторовна</t>
  </si>
  <si>
    <t>13.09.1970</t>
  </si>
  <si>
    <t>00132</t>
  </si>
  <si>
    <t>Недвига Игорь Николаевич</t>
  </si>
  <si>
    <t>12.02.2025</t>
  </si>
  <si>
    <t>20.08.1970</t>
  </si>
  <si>
    <t>Миллеровский СЦ</t>
  </si>
  <si>
    <t>00128</t>
  </si>
  <si>
    <t>Манифат Елена Николаевна</t>
  </si>
  <si>
    <t>26.11.2024</t>
  </si>
  <si>
    <t>10.03.1979</t>
  </si>
  <si>
    <t>00100</t>
  </si>
  <si>
    <t>Губайдулин Андрей Раисович</t>
  </si>
  <si>
    <t>09.01.2023</t>
  </si>
  <si>
    <t>27.10.1965</t>
  </si>
  <si>
    <t>Зерноградский СЦ</t>
  </si>
  <si>
    <t>00123</t>
  </si>
  <si>
    <t>Донцова Наталья Сергеевна</t>
  </si>
  <si>
    <t>28.05.2024</t>
  </si>
  <si>
    <t>05.03.1982</t>
  </si>
  <si>
    <t>00111</t>
  </si>
  <si>
    <t>Дегтярь Виталий Григорьевич</t>
  </si>
  <si>
    <t>24.10.2023</t>
  </si>
  <si>
    <t>20.01.1979</t>
  </si>
  <si>
    <t>Новошахтинский СЦ</t>
  </si>
  <si>
    <t>00130</t>
  </si>
  <si>
    <t>Еремеева Мария Сергеевна</t>
  </si>
  <si>
    <t>24.01.2025</t>
  </si>
  <si>
    <t>12.11.1985</t>
  </si>
  <si>
    <t>00134</t>
  </si>
  <si>
    <t>Ряжских Виталий Витальевич</t>
  </si>
  <si>
    <t>03.01.1998</t>
  </si>
  <si>
    <t>Вешенский СЦ</t>
  </si>
  <si>
    <t>00135</t>
  </si>
  <si>
    <t>Михеева Маргарита Александровна</t>
  </si>
  <si>
    <t>10.11.1990</t>
  </si>
  <si>
    <t>00090</t>
  </si>
  <si>
    <t>Боброва Анастасия Викторовна</t>
  </si>
  <si>
    <t>01.01.2020</t>
  </si>
  <si>
    <t>15.10.1980</t>
  </si>
  <si>
    <t>1/10</t>
  </si>
  <si>
    <t>ТУРБУЛЕНТНОСТЬ-ДОН ООО НПО</t>
  </si>
  <si>
    <t>00714</t>
  </si>
  <si>
    <t>Донцова Анна Егоровна</t>
  </si>
  <si>
    <t>06.09.2023</t>
  </si>
  <si>
    <t>13.02.1981</t>
  </si>
  <si>
    <t>0000000698</t>
  </si>
  <si>
    <t>Амураль Игорь Борисович</t>
  </si>
  <si>
    <t>16.09.1967</t>
  </si>
  <si>
    <t>Внутреннее совместительство</t>
  </si>
  <si>
    <t>00958</t>
  </si>
  <si>
    <t>Акинина Татьяна Владимировна</t>
  </si>
  <si>
    <t>24.03.2025</t>
  </si>
  <si>
    <t>21.06.2003</t>
  </si>
  <si>
    <t>00184</t>
  </si>
  <si>
    <t>Некрас  Кристина Игоревна</t>
  </si>
  <si>
    <t>18.03.2019</t>
  </si>
  <si>
    <t>05.08.1996</t>
  </si>
  <si>
    <t>00845</t>
  </si>
  <si>
    <t>Ильченко Екатерина Александровна</t>
  </si>
  <si>
    <t>07.08.2024</t>
  </si>
  <si>
    <t>13.03.1979</t>
  </si>
  <si>
    <t>0000000873</t>
  </si>
  <si>
    <t>Черепахина Елена Алексеевна</t>
  </si>
  <si>
    <t>01.09.2017</t>
  </si>
  <si>
    <t>05.01.1993</t>
  </si>
  <si>
    <t>01106</t>
  </si>
  <si>
    <t>Липкина Анна Викторовна</t>
  </si>
  <si>
    <t>01.04.2026</t>
  </si>
  <si>
    <t>13.03.1987</t>
  </si>
  <si>
    <t>Архивариус</t>
  </si>
  <si>
    <t>0000000599</t>
  </si>
  <si>
    <t>Свистун Сергей Николаевич</t>
  </si>
  <si>
    <t>26.12.2013</t>
  </si>
  <si>
    <t>03.05.1966</t>
  </si>
  <si>
    <t>01116</t>
  </si>
  <si>
    <t>Колганов Александр Юрьевич</t>
  </si>
  <si>
    <t>07.05.2026</t>
  </si>
  <si>
    <t>25.11.1975</t>
  </si>
  <si>
    <t>Начальник службы безопасности</t>
  </si>
  <si>
    <t>01084</t>
  </si>
  <si>
    <t>Алимов Евгений Юрьевич</t>
  </si>
  <si>
    <t>23.01.2026</t>
  </si>
  <si>
    <t>10.02.1963</t>
  </si>
  <si>
    <t>0000000643</t>
  </si>
  <si>
    <t>Аразов Надир Сефединович</t>
  </si>
  <si>
    <t>01.09.2014</t>
  </si>
  <si>
    <t>27.04.1964</t>
  </si>
  <si>
    <t>01031</t>
  </si>
  <si>
    <t>Берсанов Руслан Абдрахманович</t>
  </si>
  <si>
    <t>12.08.2025</t>
  </si>
  <si>
    <t>25.11.1960</t>
  </si>
  <si>
    <t>00538</t>
  </si>
  <si>
    <t>Брушкевич Леонид Владимирович</t>
  </si>
  <si>
    <t>08.07.2022</t>
  </si>
  <si>
    <t>23.07.1958</t>
  </si>
  <si>
    <t>0000000126</t>
  </si>
  <si>
    <t>Гасанов Абдулгамид Османович</t>
  </si>
  <si>
    <t>02.03.2011</t>
  </si>
  <si>
    <t>05.09.1961</t>
  </si>
  <si>
    <t>Дутов Александр Федорович</t>
  </si>
  <si>
    <t>19.04.2022</t>
  </si>
  <si>
    <t>31.12.1961</t>
  </si>
  <si>
    <t>00705</t>
  </si>
  <si>
    <t>Дьяков Валерий Иванович</t>
  </si>
  <si>
    <t>29.08.2023</t>
  </si>
  <si>
    <t>01.05.1967</t>
  </si>
  <si>
    <t>0000000125</t>
  </si>
  <si>
    <t>Есартия Рамин Гурамович</t>
  </si>
  <si>
    <t>25.04.1959</t>
  </si>
  <si>
    <t>01094</t>
  </si>
  <si>
    <t>Кривенко Грациан Эрикович</t>
  </si>
  <si>
    <t>03.03.2026</t>
  </si>
  <si>
    <t>10.12.1965</t>
  </si>
  <si>
    <t>Мельников Александр Викторович охранник</t>
  </si>
  <si>
    <t>03.03.2022</t>
  </si>
  <si>
    <t>20.01.1963</t>
  </si>
  <si>
    <t>01101</t>
  </si>
  <si>
    <t>Минаков Владимир Анатольевич</t>
  </si>
  <si>
    <t>19.03.2026</t>
  </si>
  <si>
    <t>01.06.1971</t>
  </si>
  <si>
    <t>01046</t>
  </si>
  <si>
    <t>Момот Александр Владимирович</t>
  </si>
  <si>
    <t>01.10.2025</t>
  </si>
  <si>
    <t>16.10.1974</t>
  </si>
  <si>
    <t>00888</t>
  </si>
  <si>
    <t>Нещеретов Владимир Васильевич</t>
  </si>
  <si>
    <t>06.11.2024</t>
  </si>
  <si>
    <t>22.04.1969</t>
  </si>
  <si>
    <t>00342</t>
  </si>
  <si>
    <t>Сикорский Михаил Юрьевич</t>
  </si>
  <si>
    <t>01.09.2020</t>
  </si>
  <si>
    <t>10.05.1958</t>
  </si>
  <si>
    <t>00753</t>
  </si>
  <si>
    <t>Сторчевой Александр Анатольевич</t>
  </si>
  <si>
    <t>03.12.2023</t>
  </si>
  <si>
    <t>14.02.1973</t>
  </si>
  <si>
    <t>00607</t>
  </si>
  <si>
    <t>Филимонов Сергей Владимирович</t>
  </si>
  <si>
    <t>22.11.2022</t>
  </si>
  <si>
    <t>20.08.1952</t>
  </si>
  <si>
    <t>0000000701</t>
  </si>
  <si>
    <t>Честников Александр Владимирович</t>
  </si>
  <si>
    <t>04.05.2016</t>
  </si>
  <si>
    <t>07.02.1960</t>
  </si>
  <si>
    <t>09.01.2019</t>
  </si>
  <si>
    <t>00540</t>
  </si>
  <si>
    <t>Титов Даниил Андреевич</t>
  </si>
  <si>
    <t>14.07.2022</t>
  </si>
  <si>
    <t>05.10.2003</t>
  </si>
  <si>
    <t>01107</t>
  </si>
  <si>
    <t>Балыбердина Алена Павловна</t>
  </si>
  <si>
    <t>08.08.2004</t>
  </si>
  <si>
    <t>Филатова Екатерина Юрьевна</t>
  </si>
  <si>
    <t>28.02.2022</t>
  </si>
  <si>
    <t>29.10.1988</t>
  </si>
  <si>
    <t>01105</t>
  </si>
  <si>
    <t>Вишницкий Руслан Олегович</t>
  </si>
  <si>
    <t>31.03.2026</t>
  </si>
  <si>
    <t>04.02.1992</t>
  </si>
  <si>
    <t>00919</t>
  </si>
  <si>
    <t>Шарова Анастасия Алексеевна</t>
  </si>
  <si>
    <t>03.02.2025</t>
  </si>
  <si>
    <t>29.01.1998</t>
  </si>
  <si>
    <t>00289</t>
  </si>
  <si>
    <t>Кисличкина Наталья Викторовна</t>
  </si>
  <si>
    <t>28.03.1980</t>
  </si>
  <si>
    <t>00832</t>
  </si>
  <si>
    <t>Ковалева Александра Юрьевна</t>
  </si>
  <si>
    <t>12.07.2024</t>
  </si>
  <si>
    <t>19.01.1987</t>
  </si>
  <si>
    <t>01092</t>
  </si>
  <si>
    <t>Зибинский Евгений Олегович</t>
  </si>
  <si>
    <t>24.02.2026</t>
  </si>
  <si>
    <t>22.08.1997</t>
  </si>
  <si>
    <t>00347</t>
  </si>
  <si>
    <t>Титова Яна Владимировна</t>
  </si>
  <si>
    <t>09.09.2020</t>
  </si>
  <si>
    <t>01.08.1982</t>
  </si>
  <si>
    <t>00974</t>
  </si>
  <si>
    <t>Сулейманов Руслан Андреевич</t>
  </si>
  <si>
    <t>17.04.2025</t>
  </si>
  <si>
    <t>24.06.1997</t>
  </si>
  <si>
    <t>Отдел дилерских продаж</t>
  </si>
  <si>
    <t>00637</t>
  </si>
  <si>
    <t>Бережная Марина Владимировна</t>
  </si>
  <si>
    <t>20.02.2023</t>
  </si>
  <si>
    <t>24.04.1989</t>
  </si>
  <si>
    <t>00599</t>
  </si>
  <si>
    <t>Колесникова Евгения Валерьевна</t>
  </si>
  <si>
    <t>01.11.2022</t>
  </si>
  <si>
    <t>10.07.1987</t>
  </si>
  <si>
    <t>00759</t>
  </si>
  <si>
    <t>Синдикаева Ксения Сергеевна</t>
  </si>
  <si>
    <t>25.12.2023</t>
  </si>
  <si>
    <t>04.04.1985</t>
  </si>
  <si>
    <t>00642</t>
  </si>
  <si>
    <t>Слесарева Елена Александровна</t>
  </si>
  <si>
    <t>09.03.2023</t>
  </si>
  <si>
    <t>18.03.1994</t>
  </si>
  <si>
    <t>01055</t>
  </si>
  <si>
    <t>Дерезина Татьяна Сергеевна</t>
  </si>
  <si>
    <t>16.10.2025</t>
  </si>
  <si>
    <t>14.09.1987</t>
  </si>
  <si>
    <t>01058</t>
  </si>
  <si>
    <t>Морозова Наталия Юрьевна</t>
  </si>
  <si>
    <t>20.10.2025</t>
  </si>
  <si>
    <t>12.08.1979</t>
  </si>
  <si>
    <t>01086</t>
  </si>
  <si>
    <t>Новиков Владимир Александрович</t>
  </si>
  <si>
    <t>02.10.1995</t>
  </si>
  <si>
    <t>00265</t>
  </si>
  <si>
    <t>Елеева Анна Васильевна</t>
  </si>
  <si>
    <t>25.01.1985</t>
  </si>
  <si>
    <t>Директор по продажам ключевым клиентам</t>
  </si>
  <si>
    <t>01121</t>
  </si>
  <si>
    <t>Бордоносенко Ольга Андреевна</t>
  </si>
  <si>
    <t>22.05.2026</t>
  </si>
  <si>
    <t>27.02.2004</t>
  </si>
  <si>
    <t>Отдел по продаже БМИ</t>
  </si>
  <si>
    <t>00978</t>
  </si>
  <si>
    <t>Санкина Юлия Владимировна</t>
  </si>
  <si>
    <t>24.04.2025</t>
  </si>
  <si>
    <t>05.05.1985</t>
  </si>
  <si>
    <t>00916</t>
  </si>
  <si>
    <t>Билас Александр Викторович</t>
  </si>
  <si>
    <t>27.01.2025</t>
  </si>
  <si>
    <t>31.08.1991</t>
  </si>
  <si>
    <t>00660</t>
  </si>
  <si>
    <t>Колязин Дмитрий Сергеевич</t>
  </si>
  <si>
    <t>22.05.2023</t>
  </si>
  <si>
    <t>22.10.1985</t>
  </si>
  <si>
    <t>Заместитель директора по перспективным проектам</t>
  </si>
  <si>
    <t>00491</t>
  </si>
  <si>
    <t>Зюбина Юлия Петровна</t>
  </si>
  <si>
    <t>09.03.2022</t>
  </si>
  <si>
    <t>26.08.1986</t>
  </si>
  <si>
    <t>Отдел по работе с ПАО Газпром</t>
  </si>
  <si>
    <t>00266</t>
  </si>
  <si>
    <t>Шамрай Дарья Николаевна</t>
  </si>
  <si>
    <t>27.04.1990</t>
  </si>
  <si>
    <t>00394</t>
  </si>
  <si>
    <t>Шеин Александр Денисович</t>
  </si>
  <si>
    <t>15.03.2021</t>
  </si>
  <si>
    <t>02.07.1995</t>
  </si>
  <si>
    <t>00269</t>
  </si>
  <si>
    <t>Самарская Светлана Владимировна</t>
  </si>
  <si>
    <t>09.05.1983</t>
  </si>
  <si>
    <t>Отдел продаж эталонного оборудования и услуг</t>
  </si>
  <si>
    <t>01074</t>
  </si>
  <si>
    <t>Аджигитова Елена Юрьевна</t>
  </si>
  <si>
    <t>06.08.1983</t>
  </si>
  <si>
    <t>01059</t>
  </si>
  <si>
    <t>Кривцова Светлана Николаевна</t>
  </si>
  <si>
    <t>26.09.1997</t>
  </si>
  <si>
    <t>00894</t>
  </si>
  <si>
    <t>Малиновская Юлия Владимировна</t>
  </si>
  <si>
    <t>18.11.2024</t>
  </si>
  <si>
    <t>28.05.1999</t>
  </si>
  <si>
    <t>00895</t>
  </si>
  <si>
    <t>Шевякова Анастасия Андреевна</t>
  </si>
  <si>
    <t>10.06.1997</t>
  </si>
  <si>
    <t>01020</t>
  </si>
  <si>
    <t>Прокопчук Лидия Александровна</t>
  </si>
  <si>
    <t>17.07.2025</t>
  </si>
  <si>
    <t>16.02.1984</t>
  </si>
  <si>
    <t>00723</t>
  </si>
  <si>
    <t>Мулявка Виктория Викторовна</t>
  </si>
  <si>
    <t>18.09.2023</t>
  </si>
  <si>
    <t>07.04.1985</t>
  </si>
  <si>
    <t>Борисова Валерия Витальевна</t>
  </si>
  <si>
    <t>07.06.2021</t>
  </si>
  <si>
    <t>08.02.1995</t>
  </si>
  <si>
    <t>Отдел тендерных продаж</t>
  </si>
  <si>
    <t>00588</t>
  </si>
  <si>
    <t>Беккер Алексей Владимирович</t>
  </si>
  <si>
    <t>10.10.2022</t>
  </si>
  <si>
    <t>01.02.1990</t>
  </si>
  <si>
    <t>Сектор рекламы и PR</t>
  </si>
  <si>
    <t>Руководитель сектора</t>
  </si>
  <si>
    <t>01115</t>
  </si>
  <si>
    <t>Бечина Елена Викторовна</t>
  </si>
  <si>
    <t>04.05.2026</t>
  </si>
  <si>
    <t>05.12.1987</t>
  </si>
  <si>
    <t>Бренд-менеджер</t>
  </si>
  <si>
    <t>01112</t>
  </si>
  <si>
    <t>Журба Елена Ивановна</t>
  </si>
  <si>
    <t>20.04.2026</t>
  </si>
  <si>
    <t>16.03.1995</t>
  </si>
  <si>
    <t>Тендерный офис</t>
  </si>
  <si>
    <t>00612</t>
  </si>
  <si>
    <t>Прокофьева Екатерина Александровна</t>
  </si>
  <si>
    <t>29.11.2022</t>
  </si>
  <si>
    <t>03.12.1994</t>
  </si>
  <si>
    <t>00667</t>
  </si>
  <si>
    <t>Дьячкова Анастасия Владимировна</t>
  </si>
  <si>
    <t>01.06.2023</t>
  </si>
  <si>
    <t>23.09.1995</t>
  </si>
  <si>
    <t>Менеджер по тендерам</t>
  </si>
  <si>
    <t>00830</t>
  </si>
  <si>
    <t>Маслова Светлана Анатольевна</t>
  </si>
  <si>
    <t>10.01.1987</t>
  </si>
  <si>
    <t>Тендерный аналитик</t>
  </si>
  <si>
    <t>00502</t>
  </si>
  <si>
    <t>Улановский Константин Владимирович</t>
  </si>
  <si>
    <t>22.04.1979</t>
  </si>
  <si>
    <t>00898</t>
  </si>
  <si>
    <t>Климова Елена Николаевна</t>
  </si>
  <si>
    <t>02.12.2024</t>
  </si>
  <si>
    <t>22.04.1984</t>
  </si>
  <si>
    <t>00517</t>
  </si>
  <si>
    <t>Давыдов Артем Васильевич</t>
  </si>
  <si>
    <t>28.04.2022</t>
  </si>
  <si>
    <t>10.10.1998</t>
  </si>
  <si>
    <t>Сектор качества разработки</t>
  </si>
  <si>
    <t>Специалист по качеству разработок</t>
  </si>
  <si>
    <t>01114</t>
  </si>
  <si>
    <t>Рамазанов Роман Джалилович</t>
  </si>
  <si>
    <t>27.04.2026</t>
  </si>
  <si>
    <t>28.09.1995</t>
  </si>
  <si>
    <t>Инженер-тестировщик 1 категории</t>
  </si>
  <si>
    <t>00767</t>
  </si>
  <si>
    <t>Карташев Константин Валерьевич</t>
  </si>
  <si>
    <t>06.02.2024</t>
  </si>
  <si>
    <t>06.11.1978</t>
  </si>
  <si>
    <t>Сектор разработки технических решений</t>
  </si>
  <si>
    <t>00790</t>
  </si>
  <si>
    <t>Черкезян Андрей Павлович</t>
  </si>
  <si>
    <t>28.03.2024</t>
  </si>
  <si>
    <t>20.04.1999</t>
  </si>
  <si>
    <t>Инженер-проектировщик АСУТП 1-й категории</t>
  </si>
  <si>
    <t>00808</t>
  </si>
  <si>
    <t>Малахов Антон Юрьевич</t>
  </si>
  <si>
    <t>20.05.2024</t>
  </si>
  <si>
    <t>17.10.1983</t>
  </si>
  <si>
    <t>Инженер-проектировщик 1 категории</t>
  </si>
  <si>
    <t>00874</t>
  </si>
  <si>
    <t>Ошмарин Алексей Юрьевич</t>
  </si>
  <si>
    <t>26.09.2024</t>
  </si>
  <si>
    <t>31.12.1984</t>
  </si>
  <si>
    <t>Ведущий инженер-проектировщик</t>
  </si>
  <si>
    <t>00625</t>
  </si>
  <si>
    <t>Щербина Владимир Ильич</t>
  </si>
  <si>
    <t>21.04.1960</t>
  </si>
  <si>
    <t>Заместитель технического директора</t>
  </si>
  <si>
    <t>01104</t>
  </si>
  <si>
    <t>Андреева Татьяна Васильевна</t>
  </si>
  <si>
    <t>02.06.1981</t>
  </si>
  <si>
    <t>Сектор промышленной безопасности</t>
  </si>
  <si>
    <t>Специалист по промышленной безопасности</t>
  </si>
  <si>
    <t>00923</t>
  </si>
  <si>
    <t>Данилишин Роман Иванович</t>
  </si>
  <si>
    <t>05.02.2025</t>
  </si>
  <si>
    <t>01.05.1996</t>
  </si>
  <si>
    <t>Главный сварщик</t>
  </si>
  <si>
    <t>00901</t>
  </si>
  <si>
    <t>Мещерюк Вадим Владимирович</t>
  </si>
  <si>
    <t>09.12.2024</t>
  </si>
  <si>
    <t>17.09.1974</t>
  </si>
  <si>
    <t>00663</t>
  </si>
  <si>
    <t>Абрамова Галина Игоревна</t>
  </si>
  <si>
    <t>25.05.2023</t>
  </si>
  <si>
    <t>14.01.1967</t>
  </si>
  <si>
    <t>00858</t>
  </si>
  <si>
    <t>Джелуах Наталья Владимировна</t>
  </si>
  <si>
    <t>26.08.2024</t>
  </si>
  <si>
    <t>28.10.1959</t>
  </si>
  <si>
    <t>01091</t>
  </si>
  <si>
    <t>Левашова Марина Михайловна</t>
  </si>
  <si>
    <t>18.02.2026</t>
  </si>
  <si>
    <t>04.07.1975</t>
  </si>
  <si>
    <t>00821</t>
  </si>
  <si>
    <t>Подройкина Алла Николаевна</t>
  </si>
  <si>
    <t>17.06.2024</t>
  </si>
  <si>
    <t>05.08.1966</t>
  </si>
  <si>
    <t>01013</t>
  </si>
  <si>
    <t>Пугач Татьяна Васильевна</t>
  </si>
  <si>
    <t>04.07.2025</t>
  </si>
  <si>
    <t>19.10.1954</t>
  </si>
  <si>
    <t>01100</t>
  </si>
  <si>
    <t>Селемонка Татьяна Анатольевна</t>
  </si>
  <si>
    <t>18.03.2026</t>
  </si>
  <si>
    <t>30.11.1968</t>
  </si>
  <si>
    <t>00727</t>
  </si>
  <si>
    <t>Фельдшерова Клавдия Григорьевна</t>
  </si>
  <si>
    <t>02.10.2023</t>
  </si>
  <si>
    <t>23.02.1955</t>
  </si>
  <si>
    <t>00836</t>
  </si>
  <si>
    <t>Юрченко Александр Федорович</t>
  </si>
  <si>
    <t>25.07.2024</t>
  </si>
  <si>
    <t>10.05.1975</t>
  </si>
  <si>
    <t>00860</t>
  </si>
  <si>
    <t>Ковалев Дмитрий Владимирович</t>
  </si>
  <si>
    <t>28.08.2024</t>
  </si>
  <si>
    <t>18.10.1977</t>
  </si>
  <si>
    <t>00896</t>
  </si>
  <si>
    <t>Махринов Виктор Сергеевич</t>
  </si>
  <si>
    <t>20.11.2024</t>
  </si>
  <si>
    <t>09.09.1981</t>
  </si>
  <si>
    <t>Техник по комплексному обслуживанию зданий</t>
  </si>
  <si>
    <t>0000000707</t>
  </si>
  <si>
    <t>19.09.2016</t>
  </si>
  <si>
    <t>Финансовая служба</t>
  </si>
  <si>
    <t>00500</t>
  </si>
  <si>
    <t>Гапонова Ксения Святославовна</t>
  </si>
  <si>
    <t>01070</t>
  </si>
  <si>
    <t>Бутова Татьяна Николаевна</t>
  </si>
  <si>
    <t>19.11.2025</t>
  </si>
  <si>
    <t>22.09.1982</t>
  </si>
  <si>
    <t>00965</t>
  </si>
  <si>
    <t>Павлова Анастасия Анатольевна</t>
  </si>
  <si>
    <t>01.04.2025</t>
  </si>
  <si>
    <t>02.08.2002</t>
  </si>
  <si>
    <t>00771</t>
  </si>
  <si>
    <t>Ефименко Светлана Александровна</t>
  </si>
  <si>
    <t>20.02.2024</t>
  </si>
  <si>
    <t>12.04.1982</t>
  </si>
  <si>
    <t>01050</t>
  </si>
  <si>
    <t>Бурцева Наталия Викторовна</t>
  </si>
  <si>
    <t>09.10.2025</t>
  </si>
  <si>
    <t>26.08.1979</t>
  </si>
  <si>
    <t>Ведущий бухгалтер</t>
  </si>
  <si>
    <t>00246</t>
  </si>
  <si>
    <t>Соловьева Екатерина Николаевна</t>
  </si>
  <si>
    <t>19.11.2019</t>
  </si>
  <si>
    <t>13.06.1982</t>
  </si>
  <si>
    <t>Ведущий бухгалтер по заработной плате</t>
  </si>
  <si>
    <t>00639</t>
  </si>
  <si>
    <t>Сысоева Ирина Леонидовна</t>
  </si>
  <si>
    <t>02.03.2023</t>
  </si>
  <si>
    <t>20.07.1969</t>
  </si>
  <si>
    <t>Отдел ценообразования и экономического планирования</t>
  </si>
  <si>
    <t>00966</t>
  </si>
  <si>
    <t>Антонова Анастасия Романовна</t>
  </si>
  <si>
    <t>03.04.2025</t>
  </si>
  <si>
    <t>24.10.2003</t>
  </si>
  <si>
    <t>0000000753</t>
  </si>
  <si>
    <t>Близнюкова Елена Олеговна</t>
  </si>
  <si>
    <t>01.11.2016</t>
  </si>
  <si>
    <t>16.01.1970</t>
  </si>
  <si>
    <t>Ведущий экономист</t>
  </si>
  <si>
    <t>00871</t>
  </si>
  <si>
    <t>Ковалева Кристина Александровна</t>
  </si>
  <si>
    <t>18.09.2024</t>
  </si>
  <si>
    <t>13.02.2000</t>
  </si>
  <si>
    <t>00156</t>
  </si>
  <si>
    <t>Шацков Алексей Станиславович</t>
  </si>
  <si>
    <t>08.02.1988</t>
  </si>
  <si>
    <t>00749</t>
  </si>
  <si>
    <t>Гончаров Сергей Дмитриевич</t>
  </si>
  <si>
    <t>20.11.2023</t>
  </si>
  <si>
    <t>26.07.1967</t>
  </si>
  <si>
    <t>00155</t>
  </si>
  <si>
    <t>Саркисян Андрей Александрович</t>
  </si>
  <si>
    <t>23.10.1984</t>
  </si>
  <si>
    <t>00627</t>
  </si>
  <si>
    <t>Гасанов Александр Иванович</t>
  </si>
  <si>
    <t>17.01.2023</t>
  </si>
  <si>
    <t>30.06.1982</t>
  </si>
  <si>
    <t>00150</t>
  </si>
  <si>
    <t>Бареева Виктория Олеговна</t>
  </si>
  <si>
    <t>20.01.1990</t>
  </si>
  <si>
    <t>Руководитель проектов по сертификации</t>
  </si>
  <si>
    <t>00143</t>
  </si>
  <si>
    <t>Дейко Евгений Юрьевич</t>
  </si>
  <si>
    <t>05.09.1978</t>
  </si>
  <si>
    <t>Главный конструктор по изделию 1 категории</t>
  </si>
  <si>
    <t>00144</t>
  </si>
  <si>
    <t>Донченко Руслан Владимирович</t>
  </si>
  <si>
    <t>07.05.1974</t>
  </si>
  <si>
    <t>Главный конструктор по изделию 2 категории</t>
  </si>
  <si>
    <t>00141</t>
  </si>
  <si>
    <t>Соломичев Роман Игоревич</t>
  </si>
  <si>
    <t>09.02.1988</t>
  </si>
  <si>
    <t>00997</t>
  </si>
  <si>
    <t>Маляренко Татьяна Игоревна</t>
  </si>
  <si>
    <t>02.06.2025</t>
  </si>
  <si>
    <t>23.07.1996</t>
  </si>
  <si>
    <t>Помощник главного конструктора по изделию</t>
  </si>
  <si>
    <t>01042</t>
  </si>
  <si>
    <t>Санжар Ольга Александровна</t>
  </si>
  <si>
    <t>16.09.2025</t>
  </si>
  <si>
    <t>02.08.1977</t>
  </si>
  <si>
    <t>00153</t>
  </si>
  <si>
    <t>Письменный Александр Анатольевич</t>
  </si>
  <si>
    <t>09.08.1976</t>
  </si>
  <si>
    <t>Ведущий инженер-программист микроконтроллеров</t>
  </si>
  <si>
    <t>00179</t>
  </si>
  <si>
    <t>Водяникина Галина Ивановна</t>
  </si>
  <si>
    <t>04.03.2019</t>
  </si>
  <si>
    <t>06.07.1993</t>
  </si>
  <si>
    <t>00157</t>
  </si>
  <si>
    <t>Ворошина Елена Владимировна</t>
  </si>
  <si>
    <t>04.04.1977</t>
  </si>
  <si>
    <t>01123</t>
  </si>
  <si>
    <t>Бабалыхян Арсен Арсенович</t>
  </si>
  <si>
    <t>26.05.2026</t>
  </si>
  <si>
    <t>08.12.1985</t>
  </si>
  <si>
    <t>00158</t>
  </si>
  <si>
    <t>Воробьев Глеб Николаевич</t>
  </si>
  <si>
    <t>01.11.1968</t>
  </si>
  <si>
    <t>Ведущий инженер по разработке, сопровождению и интеграции технологических процессов в производстве</t>
  </si>
  <si>
    <t>00880</t>
  </si>
  <si>
    <t>Романова Мария Константиновна</t>
  </si>
  <si>
    <t>21.10.2024</t>
  </si>
  <si>
    <t>28.02.2000</t>
  </si>
  <si>
    <t>00543</t>
  </si>
  <si>
    <t>Гамаюнов Александр Сергеевич</t>
  </si>
  <si>
    <t>18.07.2022</t>
  </si>
  <si>
    <t>07.11.1990</t>
  </si>
  <si>
    <t>01109</t>
  </si>
  <si>
    <t>Анохин Сергей Александрович</t>
  </si>
  <si>
    <t>06.04.2026</t>
  </si>
  <si>
    <t>30.10.1992</t>
  </si>
  <si>
    <t>Инженер по метрологии 1 категории</t>
  </si>
  <si>
    <t>01036</t>
  </si>
  <si>
    <t>Бутенко Юлия Андреевна</t>
  </si>
  <si>
    <t>21.08.2025</t>
  </si>
  <si>
    <t>27.12.2001</t>
  </si>
  <si>
    <t>01049</t>
  </si>
  <si>
    <t>Полякова Светлана Эдуардовна</t>
  </si>
  <si>
    <t>08.10.2025</t>
  </si>
  <si>
    <t>12.07.1990</t>
  </si>
  <si>
    <t>00887</t>
  </si>
  <si>
    <t>Потапова Алина Дмитриевна</t>
  </si>
  <si>
    <t>31.07.1998</t>
  </si>
  <si>
    <t>00299</t>
  </si>
  <si>
    <t>Львов Сергей Александрович</t>
  </si>
  <si>
    <t>21.02.2020</t>
  </si>
  <si>
    <t>07.07.1977</t>
  </si>
  <si>
    <t>Отдел разработки ПО и АСУ</t>
  </si>
  <si>
    <t>00460</t>
  </si>
  <si>
    <t>Черных Максим Анатольевич</t>
  </si>
  <si>
    <t>24.09.2021</t>
  </si>
  <si>
    <t>21.06.1969</t>
  </si>
  <si>
    <t>01025</t>
  </si>
  <si>
    <t>Кудрявцева Екатерина Андреевна</t>
  </si>
  <si>
    <t>17.10.1993</t>
  </si>
  <si>
    <t>00472</t>
  </si>
  <si>
    <t>Лаврикова Лариса Александровна</t>
  </si>
  <si>
    <t>11.11.2021</t>
  </si>
  <si>
    <t>17.05.1971</t>
  </si>
  <si>
    <t>00952</t>
  </si>
  <si>
    <t>Житкова Ева Владимировна</t>
  </si>
  <si>
    <t>17.03.2025</t>
  </si>
  <si>
    <t>21.01.2003</t>
  </si>
  <si>
    <t>00774</t>
  </si>
  <si>
    <t>Ворончихина Елена Николаевна</t>
  </si>
  <si>
    <t>01.03.2024</t>
  </si>
  <si>
    <t>04.11.1985</t>
  </si>
  <si>
    <t>0000000570</t>
  </si>
  <si>
    <t>Окольничникова Алена Павловна</t>
  </si>
  <si>
    <t>14.10.2013</t>
  </si>
  <si>
    <t>08.02.1989</t>
  </si>
  <si>
    <t>Менеджер по обучению и развитию персонала</t>
  </si>
  <si>
    <t>0000000637</t>
  </si>
  <si>
    <t>Соловьева Анастасия Николаевна</t>
  </si>
  <si>
    <t>31.07.2014</t>
  </si>
  <si>
    <t>21.07.1986</t>
  </si>
  <si>
    <t>Ведущий специалист по охране труда</t>
  </si>
  <si>
    <t>0000000693</t>
  </si>
  <si>
    <t>Карпушкина Анна Павловна</t>
  </si>
  <si>
    <t>11.01.2016</t>
  </si>
  <si>
    <t>13.04.1983</t>
  </si>
  <si>
    <t>Ведущий специалист по кадровому делопроизводству</t>
  </si>
  <si>
    <t>0000000774</t>
  </si>
  <si>
    <t>Левчикова Вера Владимировна</t>
  </si>
  <si>
    <t>19.12.1985</t>
  </si>
  <si>
    <t>00791</t>
  </si>
  <si>
    <t>Кириченко Вячеслав Викторович</t>
  </si>
  <si>
    <t>29.03.2024</t>
  </si>
  <si>
    <t>07.01.2001</t>
  </si>
  <si>
    <t>0000000666</t>
  </si>
  <si>
    <t>Гайфулин Денис Александрович</t>
  </si>
  <si>
    <t>16.07.2015</t>
  </si>
  <si>
    <t>19.07.1984</t>
  </si>
  <si>
    <t>00593</t>
  </si>
  <si>
    <t>Калганов Андрей Алексеевич</t>
  </si>
  <si>
    <t>12.10.2022</t>
  </si>
  <si>
    <t>16.11.1987</t>
  </si>
  <si>
    <t>01062</t>
  </si>
  <si>
    <t>Орлов Александр Николаевич</t>
  </si>
  <si>
    <t>22.10.2025</t>
  </si>
  <si>
    <t>21.05.1979</t>
  </si>
  <si>
    <t>Заместитель технического директора по сервису</t>
  </si>
  <si>
    <t>01030</t>
  </si>
  <si>
    <t>Кислякова Александра Андреевна</t>
  </si>
  <si>
    <t>17.05.2001</t>
  </si>
  <si>
    <t>00139</t>
  </si>
  <si>
    <t>Красильникова Илона Алексеевна</t>
  </si>
  <si>
    <t>21.11.1993</t>
  </si>
  <si>
    <t>00726</t>
  </si>
  <si>
    <t>Мануков Роман Григорьевич</t>
  </si>
  <si>
    <t>16.05.1982</t>
  </si>
  <si>
    <t>01060</t>
  </si>
  <si>
    <t>Матвеев Александр Николаевич</t>
  </si>
  <si>
    <t>06.12.1988</t>
  </si>
  <si>
    <t>00730</t>
  </si>
  <si>
    <t>Поляков Владислав Витальевич</t>
  </si>
  <si>
    <t>16.10.2023</t>
  </si>
  <si>
    <t>06.04.1998</t>
  </si>
  <si>
    <t>Ведущий специалист по технической поддержке</t>
  </si>
  <si>
    <t>00864</t>
  </si>
  <si>
    <t>Ищенко Алексей Анатольевич</t>
  </si>
  <si>
    <t>03.09.2024</t>
  </si>
  <si>
    <t>18.01.1983</t>
  </si>
  <si>
    <t>0000000731</t>
  </si>
  <si>
    <t>Арсуноев Михаил Магомедович</t>
  </si>
  <si>
    <t>05.10.2016</t>
  </si>
  <si>
    <t>21.11.1989</t>
  </si>
  <si>
    <t>Заместитель директора по качеству</t>
  </si>
  <si>
    <t>01082</t>
  </si>
  <si>
    <t>Грунтовский Дмитрий Дмитриевич</t>
  </si>
  <si>
    <t>12.01.2026</t>
  </si>
  <si>
    <t>20.09.1990</t>
  </si>
  <si>
    <t>Начальник отдела управления несоответствиями</t>
  </si>
  <si>
    <t>01048</t>
  </si>
  <si>
    <t>Завгородняя Елизавета Николаевна</t>
  </si>
  <si>
    <t>06.10.2025</t>
  </si>
  <si>
    <t>10.03.1994</t>
  </si>
  <si>
    <t>01063</t>
  </si>
  <si>
    <t>Егоров Александр Сергеевич</t>
  </si>
  <si>
    <t>27.10.2025</t>
  </si>
  <si>
    <t>06.09.1997</t>
  </si>
  <si>
    <t>00928</t>
  </si>
  <si>
    <t>Коробка Илья Андреевич</t>
  </si>
  <si>
    <t>11.02.2025</t>
  </si>
  <si>
    <t>07.11.2000</t>
  </si>
  <si>
    <t>Инженер по качеству</t>
  </si>
  <si>
    <t>0000000760</t>
  </si>
  <si>
    <t>Кулишенко Михаил Евгеньевич</t>
  </si>
  <si>
    <t>20.12.1961</t>
  </si>
  <si>
    <t>00820</t>
  </si>
  <si>
    <t>Линиченко Павел Альбертович</t>
  </si>
  <si>
    <t>16.10.2001</t>
  </si>
  <si>
    <t>00746</t>
  </si>
  <si>
    <t>Сидоренко Владимир Александрович</t>
  </si>
  <si>
    <t>13.11.2023</t>
  </si>
  <si>
    <t>25.07.1989</t>
  </si>
  <si>
    <t>00931</t>
  </si>
  <si>
    <t>Суздальцев Вадим Сергеевич</t>
  </si>
  <si>
    <t>04.11.2000</t>
  </si>
  <si>
    <t>01068</t>
  </si>
  <si>
    <t>Таршиков Максим Артурович</t>
  </si>
  <si>
    <t>11.11.2025</t>
  </si>
  <si>
    <t>10.04.1992</t>
  </si>
  <si>
    <t>01064</t>
  </si>
  <si>
    <t>Чаусова Элнара Натиговна</t>
  </si>
  <si>
    <t>29.10.2025</t>
  </si>
  <si>
    <t>03.02.2004</t>
  </si>
  <si>
    <t>00541</t>
  </si>
  <si>
    <t>Сливков Петр Павлович</t>
  </si>
  <si>
    <t>15.07.2022</t>
  </si>
  <si>
    <t>16.12.1984</t>
  </si>
  <si>
    <t>00816</t>
  </si>
  <si>
    <t>Сенюшин Максим Александрович</t>
  </si>
  <si>
    <t>04.06.2024</t>
  </si>
  <si>
    <t>21.02.1988</t>
  </si>
  <si>
    <t>Специалист по неразрушающему контролю</t>
  </si>
  <si>
    <t>01110</t>
  </si>
  <si>
    <t>Романова Елизавета Юрьевна</t>
  </si>
  <si>
    <t>14.04.2026</t>
  </si>
  <si>
    <t>29.03.1980</t>
  </si>
  <si>
    <t>Служба логистики</t>
  </si>
  <si>
    <t>01097</t>
  </si>
  <si>
    <t>Гуреев Александр Михайлович</t>
  </si>
  <si>
    <t>10.03.2026</t>
  </si>
  <si>
    <t>01.10.2001</t>
  </si>
  <si>
    <t>00872</t>
  </si>
  <si>
    <t>Ковалев Дмитрий Геннадьевич</t>
  </si>
  <si>
    <t>19.06.1987</t>
  </si>
  <si>
    <t>01085</t>
  </si>
  <si>
    <t>Рюмин Василий Борисович</t>
  </si>
  <si>
    <t>24.10.1987</t>
  </si>
  <si>
    <t>00355</t>
  </si>
  <si>
    <t>Кургин Федор Владимирович</t>
  </si>
  <si>
    <t>16.10.2020</t>
  </si>
  <si>
    <t>28.02.1987</t>
  </si>
  <si>
    <t>00694</t>
  </si>
  <si>
    <t>Гайворонская Галина Адамовна</t>
  </si>
  <si>
    <t>21.08.2023</t>
  </si>
  <si>
    <t>05.08.1983</t>
  </si>
  <si>
    <t>0000000854</t>
  </si>
  <si>
    <t>Соломатина Светлана Николаевна</t>
  </si>
  <si>
    <t>01.06.2017</t>
  </si>
  <si>
    <t>15.11.1982</t>
  </si>
  <si>
    <t>0000000752</t>
  </si>
  <si>
    <t>Алексеева Галина Ивановна</t>
  </si>
  <si>
    <t>28.08.1960</t>
  </si>
  <si>
    <t>0000000755</t>
  </si>
  <si>
    <t>Соков Александр Сергеевич</t>
  </si>
  <si>
    <t>19.04.1978</t>
  </si>
  <si>
    <t>00441</t>
  </si>
  <si>
    <t>Томилина Надежда Юрьевна</t>
  </si>
  <si>
    <t>26.07.2021</t>
  </si>
  <si>
    <t>11.11.1986</t>
  </si>
  <si>
    <t>Заместитель начальника</t>
  </si>
  <si>
    <t>0000000727</t>
  </si>
  <si>
    <t>Цакадзе Ироди Кобович</t>
  </si>
  <si>
    <t>15.03.1981</t>
  </si>
  <si>
    <t>Сефиханов Ризван Исамудинович</t>
  </si>
  <si>
    <t>25.07.2018</t>
  </si>
  <si>
    <t>10.04.1987</t>
  </si>
  <si>
    <t>0000000723</t>
  </si>
  <si>
    <t>Пономарева Марина Николаевна</t>
  </si>
  <si>
    <t>08.09.1968</t>
  </si>
  <si>
    <t>00412</t>
  </si>
  <si>
    <t>Киселев Дмитрий Борисович</t>
  </si>
  <si>
    <t>15.04.2021</t>
  </si>
  <si>
    <t>20.02.1967</t>
  </si>
  <si>
    <t>Водитель автомобиля</t>
  </si>
  <si>
    <t>0000000718</t>
  </si>
  <si>
    <t>Манченко Алексей Валерьевич</t>
  </si>
  <si>
    <t>30.09.2016</t>
  </si>
  <si>
    <t>25.07.1984</t>
  </si>
  <si>
    <t>00757</t>
  </si>
  <si>
    <t>Рудаков Александр Сергеевич</t>
  </si>
  <si>
    <t>15.12.2023</t>
  </si>
  <si>
    <t>28.08.1980</t>
  </si>
  <si>
    <t>00761</t>
  </si>
  <si>
    <t>Степенко Евгений Валерьевич</t>
  </si>
  <si>
    <t>11.01.2024</t>
  </si>
  <si>
    <t>29.12.1984</t>
  </si>
  <si>
    <t>00400</t>
  </si>
  <si>
    <t>Худяков Дмитрий Леонидович</t>
  </si>
  <si>
    <t>22.03.2021</t>
  </si>
  <si>
    <t>24.07.1975</t>
  </si>
  <si>
    <t>00320</t>
  </si>
  <si>
    <t>Эйгензеер Виталий Михайлович</t>
  </si>
  <si>
    <t>15.07.2020</t>
  </si>
  <si>
    <t>05.08.1975</t>
  </si>
  <si>
    <t>01076</t>
  </si>
  <si>
    <t>04.12.2025</t>
  </si>
  <si>
    <t>Механик по выпуску автомобилей</t>
  </si>
  <si>
    <t>01011</t>
  </si>
  <si>
    <t>Труш Максим Петрович</t>
  </si>
  <si>
    <t>14.05.1987</t>
  </si>
  <si>
    <t>Склад БМИ</t>
  </si>
  <si>
    <t>00185</t>
  </si>
  <si>
    <t>Давиденко Ольга Борисовна</t>
  </si>
  <si>
    <t>19.12.1984</t>
  </si>
  <si>
    <t>Соломичева Светлана Викторовна</t>
  </si>
  <si>
    <t>28.04.2021</t>
  </si>
  <si>
    <t>03.12.1988</t>
  </si>
  <si>
    <t>00375</t>
  </si>
  <si>
    <t>Кондратюк Михаела Борисовна</t>
  </si>
  <si>
    <t>16.12.2020</t>
  </si>
  <si>
    <t>11.03.1991</t>
  </si>
  <si>
    <t>01024</t>
  </si>
  <si>
    <t>Азарова Анна Александровна</t>
  </si>
  <si>
    <t>24.07.2025</t>
  </si>
  <si>
    <t>29.01.1990</t>
  </si>
  <si>
    <t>00972</t>
  </si>
  <si>
    <t>Попова Наталья Николаевна</t>
  </si>
  <si>
    <t>10.04.2025</t>
  </si>
  <si>
    <t>16.04.1991</t>
  </si>
  <si>
    <t>00926</t>
  </si>
  <si>
    <t>Реутов Виталий Валентинович</t>
  </si>
  <si>
    <t>07.02.2025</t>
  </si>
  <si>
    <t>25.05.1986</t>
  </si>
  <si>
    <t>Инженер по опытно-промышленной эксплуатации 2 категории</t>
  </si>
  <si>
    <t>00676</t>
  </si>
  <si>
    <t>Ясыров Богдан Джумазаевич</t>
  </si>
  <si>
    <t>05.07.2023</t>
  </si>
  <si>
    <t>19.10.2001</t>
  </si>
  <si>
    <t>Сектор по внедрению искусственного интеллекта</t>
  </si>
  <si>
    <t>01088</t>
  </si>
  <si>
    <t>Комарькова Анастасия Эдуардовна</t>
  </si>
  <si>
    <t>12.02.2026</t>
  </si>
  <si>
    <t>04.07.2003</t>
  </si>
  <si>
    <t>Промпт-инженер 3 категории</t>
  </si>
  <si>
    <t>01087</t>
  </si>
  <si>
    <t>Уставицкий Андрей Алексеевич</t>
  </si>
  <si>
    <t>25.05.2003</t>
  </si>
  <si>
    <t>01122</t>
  </si>
  <si>
    <t>Жалыбин Максим Дмитриевич</t>
  </si>
  <si>
    <t>23.03.2004</t>
  </si>
  <si>
    <t>Промпт-инженер 2 категории</t>
  </si>
  <si>
    <t>01081</t>
  </si>
  <si>
    <t>Мангасарян Давид Каренович</t>
  </si>
  <si>
    <t>22.12.2025</t>
  </si>
  <si>
    <t>20.05.2004</t>
  </si>
  <si>
    <t>00963</t>
  </si>
  <si>
    <t>Давлетов Руслан Игоревич</t>
  </si>
  <si>
    <t>31.03.2025</t>
  </si>
  <si>
    <t>28.08.2001</t>
  </si>
  <si>
    <t>Промпт-инженер 1 категории</t>
  </si>
  <si>
    <t>00945</t>
  </si>
  <si>
    <t>Чупрынина Татьяна Алексеевна</t>
  </si>
  <si>
    <t>06.03.2025</t>
  </si>
  <si>
    <t>12.01.1976</t>
  </si>
  <si>
    <t>Сектор обучения и развития</t>
  </si>
  <si>
    <t>Ведущий разработчик электронных курсов</t>
  </si>
  <si>
    <t>01014</t>
  </si>
  <si>
    <t>09.07.2025</t>
  </si>
  <si>
    <t>7/10</t>
  </si>
  <si>
    <t>0000000744</t>
  </si>
  <si>
    <t>Макеев Андрей Сергеевич</t>
  </si>
  <si>
    <t>26.06.1989</t>
  </si>
  <si>
    <t>00151</t>
  </si>
  <si>
    <t>Целищев Павел Сергеевич</t>
  </si>
  <si>
    <t>05.10.1984</t>
  </si>
  <si>
    <t>Заместитель директора по производству</t>
  </si>
  <si>
    <t>Клименко Елена Викторовна .</t>
  </si>
  <si>
    <t>12.03.2018</t>
  </si>
  <si>
    <t>16.11.1990</t>
  </si>
  <si>
    <t>0000000855</t>
  </si>
  <si>
    <t>Красильников Иван Михайлович (осн.)</t>
  </si>
  <si>
    <t>03.08.1992</t>
  </si>
  <si>
    <t>01089</t>
  </si>
  <si>
    <t>Иващенко Наталья Александровна</t>
  </si>
  <si>
    <t>16.02.2026</t>
  </si>
  <si>
    <t>20.06.1971</t>
  </si>
  <si>
    <t>Начальник участка</t>
  </si>
  <si>
    <t>00570</t>
  </si>
  <si>
    <t>Бараковский Константин Сергеевич</t>
  </si>
  <si>
    <t>26.03.1997</t>
  </si>
  <si>
    <t>00522</t>
  </si>
  <si>
    <t>Бородин Никита Дмитриевич</t>
  </si>
  <si>
    <t>01.06.2022</t>
  </si>
  <si>
    <t>00737</t>
  </si>
  <si>
    <t>Гориславская Динара Ивановна</t>
  </si>
  <si>
    <t>01.11.2023</t>
  </si>
  <si>
    <t>24.10.1976</t>
  </si>
  <si>
    <t>00679</t>
  </si>
  <si>
    <t>Кравченко Владимир Александрович</t>
  </si>
  <si>
    <t>04.08.2002</t>
  </si>
  <si>
    <t>00574</t>
  </si>
  <si>
    <t>Мельников Сергей Сергеевич</t>
  </si>
  <si>
    <t>05.09.2022</t>
  </si>
  <si>
    <t>07.10.1998</t>
  </si>
  <si>
    <t>0000000790</t>
  </si>
  <si>
    <t>Орехов Сергей Александрович</t>
  </si>
  <si>
    <t>20.03.1984</t>
  </si>
  <si>
    <t>00635</t>
  </si>
  <si>
    <t>Пелих Кирилл Александрович</t>
  </si>
  <si>
    <t>13.02.2023</t>
  </si>
  <si>
    <t>20.01.2000</t>
  </si>
  <si>
    <t>00641</t>
  </si>
  <si>
    <t>Кононенко Максим Александрович .</t>
  </si>
  <si>
    <t>07.03.2023</t>
  </si>
  <si>
    <t>02.06.1987</t>
  </si>
  <si>
    <t>00190</t>
  </si>
  <si>
    <t>Широков Игорь Викторович</t>
  </si>
  <si>
    <t>01.04.2019</t>
  </si>
  <si>
    <t>21.04.1987</t>
  </si>
  <si>
    <t>0000000833</t>
  </si>
  <si>
    <t>Кармиркодиева Людмила Фёдоровна</t>
  </si>
  <si>
    <t>21.03.2017</t>
  </si>
  <si>
    <t>23.11.1964</t>
  </si>
  <si>
    <t>00534</t>
  </si>
  <si>
    <t>Черных Екатерина Викторовна</t>
  </si>
  <si>
    <t>01.07.2022</t>
  </si>
  <si>
    <t>17.01.1980</t>
  </si>
  <si>
    <t>0000000745</t>
  </si>
  <si>
    <t>Пуличев Евгений Викторович</t>
  </si>
  <si>
    <t>30.12.1981</t>
  </si>
  <si>
    <t>Участок монтажа электронных плат</t>
  </si>
  <si>
    <t>01067</t>
  </si>
  <si>
    <t>Ван-Сен-Дю Марина Константиновна</t>
  </si>
  <si>
    <t>10.11.2025</t>
  </si>
  <si>
    <t>12.08.1982</t>
  </si>
  <si>
    <t>00618</t>
  </si>
  <si>
    <t>Кондрашов Кирилл Игоревич</t>
  </si>
  <si>
    <t>21.12.2022</t>
  </si>
  <si>
    <t>02.07.1987</t>
  </si>
  <si>
    <t>01117</t>
  </si>
  <si>
    <t>Корнеев Илья Валерьевич</t>
  </si>
  <si>
    <t>08.05.2026</t>
  </si>
  <si>
    <t>25.10.2000</t>
  </si>
  <si>
    <t>01083</t>
  </si>
  <si>
    <t>Лиходед Кристина Олеговна</t>
  </si>
  <si>
    <t>13.01.2026</t>
  </si>
  <si>
    <t>01.07.1992</t>
  </si>
  <si>
    <t>01077</t>
  </si>
  <si>
    <t>Маркина Елизавета Анатольевна</t>
  </si>
  <si>
    <t>04.05.1970</t>
  </si>
  <si>
    <t>00741</t>
  </si>
  <si>
    <t>Пынзарь Елена Федоровна</t>
  </si>
  <si>
    <t>07.11.2023</t>
  </si>
  <si>
    <t>23.12.1988</t>
  </si>
  <si>
    <t>01118</t>
  </si>
  <si>
    <t>Фисенко Полина Эдуардовна</t>
  </si>
  <si>
    <t>12.05.2026</t>
  </si>
  <si>
    <t>18.01.2001</t>
  </si>
  <si>
    <t>01120</t>
  </si>
  <si>
    <t>Кусраева Светлана Сергеевна</t>
  </si>
  <si>
    <t>Лакировщик радиодеталей</t>
  </si>
  <si>
    <t>00653</t>
  </si>
  <si>
    <t>Параскевопуло Елена Валентиновна</t>
  </si>
  <si>
    <t>20.04.2023</t>
  </si>
  <si>
    <t>10.02.1971</t>
  </si>
  <si>
    <t>0000000740</t>
  </si>
  <si>
    <t>Присакарь Ольга Анатольевна</t>
  </si>
  <si>
    <t>25.03.1964</t>
  </si>
  <si>
    <t>01096</t>
  </si>
  <si>
    <t>Макарова Людмила Игоревна</t>
  </si>
  <si>
    <t>06.03.2026</t>
  </si>
  <si>
    <t>17.03.1998</t>
  </si>
  <si>
    <t>00969</t>
  </si>
  <si>
    <t>Пошибайло Артем Александрович</t>
  </si>
  <si>
    <t>08.04.2025</t>
  </si>
  <si>
    <t>02.11.1992</t>
  </si>
  <si>
    <t>00630</t>
  </si>
  <si>
    <t>Пышкин Иван Константинович</t>
  </si>
  <si>
    <t>26.01.2023</t>
  </si>
  <si>
    <t>01.03.1989</t>
  </si>
  <si>
    <t>00096</t>
  </si>
  <si>
    <t>Шевченко Дмитрий Сергеевич</t>
  </si>
  <si>
    <t>06.11.2018</t>
  </si>
  <si>
    <t>21.04.1990</t>
  </si>
  <si>
    <t>01099</t>
  </si>
  <si>
    <t>Савченко Иван Иванович</t>
  </si>
  <si>
    <t>17.03.2026</t>
  </si>
  <si>
    <t>01.10.1995</t>
  </si>
  <si>
    <t>Наладчик линии автоматической пайки</t>
  </si>
  <si>
    <t>00371</t>
  </si>
  <si>
    <t>Твердохлебов Виталий Иванович</t>
  </si>
  <si>
    <t>01.12.2020</t>
  </si>
  <si>
    <t>08.05.1993</t>
  </si>
  <si>
    <t>00572</t>
  </si>
  <si>
    <t>Терешов Алексей Сергеевич</t>
  </si>
  <si>
    <t>02.09.2022</t>
  </si>
  <si>
    <t>05.05.1984</t>
  </si>
  <si>
    <t>01111</t>
  </si>
  <si>
    <t>Фисенко Александр Дмитриевич</t>
  </si>
  <si>
    <t>16.04.2026</t>
  </si>
  <si>
    <t>26.07.2001</t>
  </si>
  <si>
    <t>01080</t>
  </si>
  <si>
    <t>Хачатрян Артем Миранович</t>
  </si>
  <si>
    <t>09.12.2025</t>
  </si>
  <si>
    <t>25.07.1992</t>
  </si>
  <si>
    <t>0000000818</t>
  </si>
  <si>
    <t>Князев Денис Викторович</t>
  </si>
  <si>
    <t>11.01.2017</t>
  </si>
  <si>
    <t>05.08.1994</t>
  </si>
  <si>
    <t>00307</t>
  </si>
  <si>
    <t>Хухарев Максим Николаевич</t>
  </si>
  <si>
    <t>17.03.2020</t>
  </si>
  <si>
    <t>09.09.1988</t>
  </si>
  <si>
    <t>00772</t>
  </si>
  <si>
    <t>Докукин Олег Петрович</t>
  </si>
  <si>
    <t>24.12.1970</t>
  </si>
  <si>
    <t>Водитель погрузчика</t>
  </si>
  <si>
    <t>0000000772</t>
  </si>
  <si>
    <t>Кисляков Александр Александрович</t>
  </si>
  <si>
    <t>Слесарный участок</t>
  </si>
  <si>
    <t>0000000763</t>
  </si>
  <si>
    <t>Асюнькин Евгений Александрович</t>
  </si>
  <si>
    <t>13.03.1972</t>
  </si>
  <si>
    <t>00463</t>
  </si>
  <si>
    <t>Есипенко Олег Владимирович</t>
  </si>
  <si>
    <t>06.10.2021</t>
  </si>
  <si>
    <t>18.07.1977</t>
  </si>
  <si>
    <t>0000000766</t>
  </si>
  <si>
    <t>Муштат Сергей Николаевич</t>
  </si>
  <si>
    <t>22.11.1963</t>
  </si>
  <si>
    <t>01026</t>
  </si>
  <si>
    <t>Никитин Руслан Юрьевич</t>
  </si>
  <si>
    <t>19.03.1994</t>
  </si>
  <si>
    <t>00525</t>
  </si>
  <si>
    <t>Соловьев Павел Николаевич</t>
  </si>
  <si>
    <t>06.06.2022</t>
  </si>
  <si>
    <t>0000000778</t>
  </si>
  <si>
    <t>Ткаченко Владимир Витальевич</t>
  </si>
  <si>
    <t>02.01.1956</t>
  </si>
  <si>
    <t>00711</t>
  </si>
  <si>
    <t>Шацкий Сергей Иванович .</t>
  </si>
  <si>
    <t>01.09.2023</t>
  </si>
  <si>
    <t>20.01.1998</t>
  </si>
  <si>
    <t>00592</t>
  </si>
  <si>
    <t>Андони Андрей Васильевич</t>
  </si>
  <si>
    <t>11.10.2022</t>
  </si>
  <si>
    <t>16.01.1988</t>
  </si>
  <si>
    <t>Сварочный участок</t>
  </si>
  <si>
    <t>00990</t>
  </si>
  <si>
    <t>Кайдан Дмитрий Сергеевич</t>
  </si>
  <si>
    <t>19.05.2025</t>
  </si>
  <si>
    <t>29.08.1995</t>
  </si>
  <si>
    <t>0000000771</t>
  </si>
  <si>
    <t>Карасев Юрий Егорович</t>
  </si>
  <si>
    <t>14.06.1978</t>
  </si>
  <si>
    <t>00902</t>
  </si>
  <si>
    <t>Черешнев Виктор Юрьевич</t>
  </si>
  <si>
    <t>16.12.2024</t>
  </si>
  <si>
    <t>11.07.2000</t>
  </si>
  <si>
    <t>00596</t>
  </si>
  <si>
    <t>Волков Андрей Юрьевич</t>
  </si>
  <si>
    <t>18.10.2022</t>
  </si>
  <si>
    <t>27.08.1992</t>
  </si>
  <si>
    <t>Электросварщик на автоматических и полуавтоматических машинах</t>
  </si>
  <si>
    <t>0000000765</t>
  </si>
  <si>
    <t>Кравченко Сергей Сергеевич</t>
  </si>
  <si>
    <t>Малярно-слесарный участок</t>
  </si>
  <si>
    <t>0000000732</t>
  </si>
  <si>
    <t>Беденко Татьяна Владимировна</t>
  </si>
  <si>
    <t>06.10.2016</t>
  </si>
  <si>
    <t>18.07.1983</t>
  </si>
  <si>
    <t>0000000770</t>
  </si>
  <si>
    <t>Громаков Артём Сергеевич</t>
  </si>
  <si>
    <t>21.01.1993</t>
  </si>
  <si>
    <t>00977</t>
  </si>
  <si>
    <t>Жижко Евгений Владимирович</t>
  </si>
  <si>
    <t>31.01.1991</t>
  </si>
  <si>
    <t>01012</t>
  </si>
  <si>
    <t>Жижко Сергей Владимирович</t>
  </si>
  <si>
    <t>03.07.2025</t>
  </si>
  <si>
    <t>05.01.2001</t>
  </si>
  <si>
    <t>00577</t>
  </si>
  <si>
    <t>Кравченко Вячеслав Сергеевич</t>
  </si>
  <si>
    <t>08.09.2022</t>
  </si>
  <si>
    <t>23.09.1982</t>
  </si>
  <si>
    <t>00471</t>
  </si>
  <si>
    <t>Коробов Александр Олегович</t>
  </si>
  <si>
    <t>22.10.2021</t>
  </si>
  <si>
    <t>Токарно-фрезерный участок</t>
  </si>
  <si>
    <t>0000000781</t>
  </si>
  <si>
    <t>Пелих Юрий Викторович</t>
  </si>
  <si>
    <t>04.03.1964</t>
  </si>
  <si>
    <t>00566</t>
  </si>
  <si>
    <t>Ронжин Игорь Сергеевич</t>
  </si>
  <si>
    <t>26.08.2022</t>
  </si>
  <si>
    <t>05.10.2002</t>
  </si>
  <si>
    <t>0000000838</t>
  </si>
  <si>
    <t>Ронжин Сергей Игоревич</t>
  </si>
  <si>
    <t>01.05.2017</t>
  </si>
  <si>
    <t>12.08.1969</t>
  </si>
  <si>
    <t>0000000782</t>
  </si>
  <si>
    <t>Синджихов Владимир Христофорович</t>
  </si>
  <si>
    <t>02.05.1974</t>
  </si>
  <si>
    <t>01021</t>
  </si>
  <si>
    <t>Хало Сергей Дмитриевич</t>
  </si>
  <si>
    <t>23.09.1999</t>
  </si>
  <si>
    <t>00248</t>
  </si>
  <si>
    <t>Романенко Евгений Александрович</t>
  </si>
  <si>
    <t>25.11.2019</t>
  </si>
  <si>
    <t>24.08.1974</t>
  </si>
  <si>
    <t>00459</t>
  </si>
  <si>
    <t>Городецкий Александр Михайлович</t>
  </si>
  <si>
    <t>23.09.2021</t>
  </si>
  <si>
    <t>24.05.1998</t>
  </si>
  <si>
    <t>Участок ЧПУ и плазмы</t>
  </si>
  <si>
    <t>00773</t>
  </si>
  <si>
    <t>Земляков Андрей Николаевич</t>
  </si>
  <si>
    <t>21.02.2024</t>
  </si>
  <si>
    <t>19.09.1985</t>
  </si>
  <si>
    <t>00631</t>
  </si>
  <si>
    <t>Русаков Роман Алексеевич</t>
  </si>
  <si>
    <t>30.01.2023</t>
  </si>
  <si>
    <t>18.04.2001</t>
  </si>
  <si>
    <t>01113</t>
  </si>
  <si>
    <t>Вагин Даниил Борисович</t>
  </si>
  <si>
    <t>13.04.1985</t>
  </si>
  <si>
    <t>00610</t>
  </si>
  <si>
    <t>Дедов Эдуард Викторович</t>
  </si>
  <si>
    <t>28.11.2022</t>
  </si>
  <si>
    <t>21.09.1971</t>
  </si>
  <si>
    <t>00760</t>
  </si>
  <si>
    <t>Живолуков Кирилл Юрьевич</t>
  </si>
  <si>
    <t>24.11.2002</t>
  </si>
  <si>
    <t>00521</t>
  </si>
  <si>
    <t>Кичевой Алексей Владимирович</t>
  </si>
  <si>
    <t>24.05.2022</t>
  </si>
  <si>
    <t>18.06.1975</t>
  </si>
  <si>
    <t>00867</t>
  </si>
  <si>
    <t>Скибин Сергей Александрович</t>
  </si>
  <si>
    <t>09.09.2024</t>
  </si>
  <si>
    <t>14.01.1992</t>
  </si>
  <si>
    <t>00535</t>
  </si>
  <si>
    <t>Сунгатуллин Виталий Харисович</t>
  </si>
  <si>
    <t>04.07.2022</t>
  </si>
  <si>
    <t>26.12.1979</t>
  </si>
  <si>
    <t>0000000800</t>
  </si>
  <si>
    <t>Емцева Анастасия Юрьевна</t>
  </si>
  <si>
    <t>11.10.2016</t>
  </si>
  <si>
    <t>12.02.1995</t>
  </si>
  <si>
    <t>00944</t>
  </si>
  <si>
    <t>Мирошник Анастасия Владимировна</t>
  </si>
  <si>
    <t>02.11.1997</t>
  </si>
  <si>
    <t>0000000749</t>
  </si>
  <si>
    <t>Раскатов Леонид Владимирович</t>
  </si>
  <si>
    <t>03.03.1974</t>
  </si>
  <si>
    <t>00353</t>
  </si>
  <si>
    <t>Бойко Владимир Васильевич</t>
  </si>
  <si>
    <t>08.10.2020</t>
  </si>
  <si>
    <t>29.03.1991</t>
  </si>
  <si>
    <t>00579</t>
  </si>
  <si>
    <t>Буркин Руслан Евгеньевич</t>
  </si>
  <si>
    <t>20.09.2022</t>
  </si>
  <si>
    <t>25.08.2002</t>
  </si>
  <si>
    <t>00814</t>
  </si>
  <si>
    <t>Денисенко Иван Сергеевич</t>
  </si>
  <si>
    <t>29.05.2024</t>
  </si>
  <si>
    <t>12.09.1996</t>
  </si>
  <si>
    <t>00465</t>
  </si>
  <si>
    <t>Дорошкевич Виктор Александрович</t>
  </si>
  <si>
    <t>03.02.1992</t>
  </si>
  <si>
    <t>00798</t>
  </si>
  <si>
    <t>Меркулов Александр Сергеевич</t>
  </si>
  <si>
    <t>12.04.2024</t>
  </si>
  <si>
    <t>14.03.1987</t>
  </si>
  <si>
    <t>00229</t>
  </si>
  <si>
    <t>Щербаков Александр Александрович</t>
  </si>
  <si>
    <t>01.10.2019</t>
  </si>
  <si>
    <t>05.08.1972</t>
  </si>
  <si>
    <t>00231</t>
  </si>
  <si>
    <t>Грицаненко Кристина Валентиновна</t>
  </si>
  <si>
    <t>16.03.1993</t>
  </si>
  <si>
    <t>00386</t>
  </si>
  <si>
    <t>Залесский Александр Леонидович</t>
  </si>
  <si>
    <t>09.02.2021</t>
  </si>
  <si>
    <t>26.08.1992</t>
  </si>
  <si>
    <t>00219</t>
  </si>
  <si>
    <t>Хозуян Иван Владимирович</t>
  </si>
  <si>
    <t>25.10.1982</t>
  </si>
  <si>
    <t>00333</t>
  </si>
  <si>
    <t>Бабин Александр Сергеевич</t>
  </si>
  <si>
    <t>03.08.2020</t>
  </si>
  <si>
    <t>31.07.1965</t>
  </si>
  <si>
    <t>00230</t>
  </si>
  <si>
    <t>Павлов Александр Сергеевич</t>
  </si>
  <si>
    <t>18.02.1988</t>
  </si>
  <si>
    <t>00685</t>
  </si>
  <si>
    <t>Осминин Сергей Николаевич</t>
  </si>
  <si>
    <t>24.07.2023</t>
  </si>
  <si>
    <t>16.04.1974</t>
  </si>
  <si>
    <t>00223</t>
  </si>
  <si>
    <t>Чубова Елена Валентиновна</t>
  </si>
  <si>
    <t>15.10.2019</t>
  </si>
  <si>
    <t>18.04.1963</t>
  </si>
  <si>
    <t>00224</t>
  </si>
  <si>
    <t>Чуйко Владимир Николаевич</t>
  </si>
  <si>
    <t>23.08.1977</t>
  </si>
  <si>
    <t>00225</t>
  </si>
  <si>
    <t>Рожин Николай Александрович</t>
  </si>
  <si>
    <t>11.04.1964</t>
  </si>
  <si>
    <t>00222</t>
  </si>
  <si>
    <t>Лопушинская Антонина Николаевна</t>
  </si>
  <si>
    <t>11.07.1959</t>
  </si>
  <si>
    <t>00882</t>
  </si>
  <si>
    <t>Кузмичев Владимир Валерьевич</t>
  </si>
  <si>
    <t>23.10.2024</t>
  </si>
  <si>
    <t>10.04.1982</t>
  </si>
  <si>
    <t>01124</t>
  </si>
  <si>
    <t>Кузмичев Вячеслав Валерьевич</t>
  </si>
  <si>
    <t>27.05.2026</t>
  </si>
  <si>
    <t>00900</t>
  </si>
  <si>
    <t>Ляшко Максим Сергеевич</t>
  </si>
  <si>
    <t>03.12.2024</t>
  </si>
  <si>
    <t>19.07.1999</t>
  </si>
  <si>
    <t>00559</t>
  </si>
  <si>
    <t>Карпенко Александр Викторович</t>
  </si>
  <si>
    <t>22.08.2022</t>
  </si>
  <si>
    <t>16.07.1957</t>
  </si>
  <si>
    <t>00374</t>
  </si>
  <si>
    <t>Петровский Пётр Михайлович</t>
  </si>
  <si>
    <t>11.12.2020</t>
  </si>
  <si>
    <t>14.11.1982</t>
  </si>
  <si>
    <t>Группа сопровождения продаж и производства</t>
  </si>
  <si>
    <t>00529</t>
  </si>
  <si>
    <t>Ермаков Илья Николаевич</t>
  </si>
  <si>
    <t>15.06.2022</t>
  </si>
  <si>
    <t>21.05.1995</t>
  </si>
  <si>
    <t>00960</t>
  </si>
  <si>
    <t>Копылова Валентина Евгеньевна</t>
  </si>
  <si>
    <t>28.06.1994</t>
  </si>
  <si>
    <t>Сектор сопровождения продаж</t>
  </si>
  <si>
    <t>0000000748</t>
  </si>
  <si>
    <t>Зачесова Ирина Владимировна</t>
  </si>
  <si>
    <t>20.08.1962</t>
  </si>
  <si>
    <t>Ведущий специалист по сопровождению 1С:ERP</t>
  </si>
  <si>
    <t>Нохаева Вероника Андреевна</t>
  </si>
  <si>
    <t>04.04.2022</t>
  </si>
  <si>
    <t>25.12.1997</t>
  </si>
  <si>
    <t>Начальник сектора</t>
  </si>
  <si>
    <t>00652</t>
  </si>
  <si>
    <t>Кобцева Инесса Геннадьевна</t>
  </si>
  <si>
    <t>18.04.2023</t>
  </si>
  <si>
    <t>04.09.1996</t>
  </si>
  <si>
    <t>Инженер по запуску в производство 2 категории</t>
  </si>
  <si>
    <t>00927</t>
  </si>
  <si>
    <t>Кирпиченко  Кристина Анатольевна</t>
  </si>
  <si>
    <t>18.10.2002</t>
  </si>
  <si>
    <t>Инженер по запуску в производство 3 категории</t>
  </si>
  <si>
    <t>01119</t>
  </si>
  <si>
    <t>Ассауленко Семен Семенович</t>
  </si>
  <si>
    <t>16.12.1989</t>
  </si>
  <si>
    <t>Сектор сопровождения производства и продаж</t>
  </si>
  <si>
    <t>00159</t>
  </si>
  <si>
    <t>Швец Юлия Анатольевна</t>
  </si>
  <si>
    <t>23.08.1982</t>
  </si>
  <si>
    <t>00934</t>
  </si>
  <si>
    <t>Зосимова Анастасия Николаевна</t>
  </si>
  <si>
    <t>17.02.2025</t>
  </si>
  <si>
    <t>13.12.2003</t>
  </si>
  <si>
    <t>00650</t>
  </si>
  <si>
    <t>Денислямов Руслан Наильевич</t>
  </si>
  <si>
    <t>17.04.2023</t>
  </si>
  <si>
    <t>25.08.1994</t>
  </si>
  <si>
    <t>Технолог по электромонтажу и сборке</t>
  </si>
  <si>
    <t>00557</t>
  </si>
  <si>
    <t>Терехова Елена Николаевна</t>
  </si>
  <si>
    <t>15.08.2022</t>
  </si>
  <si>
    <t>07.06.1967</t>
  </si>
  <si>
    <t>00975</t>
  </si>
  <si>
    <t>Тимофеев Максим Юрьевич</t>
  </si>
  <si>
    <t>21.04.2025</t>
  </si>
  <si>
    <t>12.01.1973</t>
  </si>
  <si>
    <t>01033</t>
  </si>
  <si>
    <t>Любельский Михаил Владимирович</t>
  </si>
  <si>
    <t>15.08.2025</t>
  </si>
  <si>
    <t>09.02.1995</t>
  </si>
  <si>
    <t>Технолог по металлообработке</t>
  </si>
  <si>
    <t>00833</t>
  </si>
  <si>
    <t>Резников Роман Павлович</t>
  </si>
  <si>
    <t>18.07.2024</t>
  </si>
  <si>
    <t>29.03.1999</t>
  </si>
  <si>
    <t>Сектор доработки и улучшения серийной продукции</t>
  </si>
  <si>
    <t>00146</t>
  </si>
  <si>
    <t>Ростовцев Вадим Александрович</t>
  </si>
  <si>
    <t>22.08.1965</t>
  </si>
  <si>
    <t>01090</t>
  </si>
  <si>
    <t>Волкова Екатерина Романовна</t>
  </si>
  <si>
    <t>17.02.2026</t>
  </si>
  <si>
    <t>01.06.2002</t>
  </si>
  <si>
    <t>00545</t>
  </si>
  <si>
    <t>Сивер Евгений Юрьевич</t>
  </si>
  <si>
    <t>25.07.2022</t>
  </si>
  <si>
    <t>14.06.1998</t>
  </si>
  <si>
    <t>Ведущий инженер-программист SCADA</t>
  </si>
  <si>
    <t>00364</t>
  </si>
  <si>
    <t>Асланян Артур Карапетович</t>
  </si>
  <si>
    <t>17.11.2020</t>
  </si>
  <si>
    <t>09.07.1991</t>
  </si>
  <si>
    <t>00147</t>
  </si>
  <si>
    <t>Бутенко Игорь Михайлович</t>
  </si>
  <si>
    <t>10.12.1993</t>
  </si>
  <si>
    <t>Сектор постановки на производство и несерийной продукции</t>
  </si>
  <si>
    <t>Инженер-проектировщик АСУТП 1 категории</t>
  </si>
  <si>
    <t>Проскурин Юрий Николаевич</t>
  </si>
  <si>
    <t>31.12.1993</t>
  </si>
  <si>
    <t>00536</t>
  </si>
  <si>
    <t>Песоцкий Олег Владимирович</t>
  </si>
  <si>
    <t>03.04.1996</t>
  </si>
  <si>
    <t>Инженер-программист 2 категории</t>
  </si>
  <si>
    <t>00987</t>
  </si>
  <si>
    <t>Емельяненко Даниил Сергеевич</t>
  </si>
  <si>
    <t>11.04.1991</t>
  </si>
  <si>
    <t>00801</t>
  </si>
  <si>
    <t>Левина Елизавета Сергеевна</t>
  </si>
  <si>
    <t>16.04.2024</t>
  </si>
  <si>
    <t>31.01.2001</t>
  </si>
  <si>
    <t>Служба подготовки производства</t>
  </si>
  <si>
    <t>00350</t>
  </si>
  <si>
    <t>Попова Анастасия Юрьевна</t>
  </si>
  <si>
    <t>28.09.2020</t>
  </si>
  <si>
    <t>07.06.1996</t>
  </si>
  <si>
    <t>00930</t>
  </si>
  <si>
    <t>Кербенева Ольга Владимировна</t>
  </si>
  <si>
    <t>18.01.1982</t>
  </si>
  <si>
    <t>01029</t>
  </si>
  <si>
    <t>Зайцев Гордей Николаевич</t>
  </si>
  <si>
    <t>11.08.2025</t>
  </si>
  <si>
    <t>28.01.1998</t>
  </si>
  <si>
    <t>Производство несерийных изделий</t>
  </si>
  <si>
    <t>00684</t>
  </si>
  <si>
    <t>Гутин Константин Игоревич</t>
  </si>
  <si>
    <t>20.07.2023</t>
  </si>
  <si>
    <t>19.07.1966</t>
  </si>
  <si>
    <t>Руководитель проектов</t>
  </si>
  <si>
    <t>0000000864</t>
  </si>
  <si>
    <t>Гайбарян Юлия Игоревна</t>
  </si>
  <si>
    <t>29.06.2017</t>
  </si>
  <si>
    <t>04.05.1992</t>
  </si>
  <si>
    <t>Цех БМИ</t>
  </si>
  <si>
    <t>01079</t>
  </si>
  <si>
    <t>Балахчи Сергей Владимирович</t>
  </si>
  <si>
    <t>02.11.1981</t>
  </si>
  <si>
    <t>00776</t>
  </si>
  <si>
    <t>Тарасов Алексей Олегович</t>
  </si>
  <si>
    <t>04.10.1986</t>
  </si>
  <si>
    <t>00777</t>
  </si>
  <si>
    <t>Кармаза Андрей Вячеславович</t>
  </si>
  <si>
    <t>19.02.1991</t>
  </si>
  <si>
    <t>00884</t>
  </si>
  <si>
    <t>Ерейский Сергей Леонидович</t>
  </si>
  <si>
    <t>30.10.2024</t>
  </si>
  <si>
    <t>18.09.1971</t>
  </si>
  <si>
    <t>Экспериментальный производственный цех</t>
  </si>
  <si>
    <t>Станочник широкого профиля</t>
  </si>
  <si>
    <t>01037</t>
  </si>
  <si>
    <t>Братан Никита Федорович</t>
  </si>
  <si>
    <t>27.08.2025</t>
  </si>
  <si>
    <t>11.11.1989</t>
  </si>
  <si>
    <t>00762</t>
  </si>
  <si>
    <t>Васильев Виталий Владимирович</t>
  </si>
  <si>
    <t>29.01.2024</t>
  </si>
  <si>
    <t>27.08.1987</t>
  </si>
  <si>
    <t>00835</t>
  </si>
  <si>
    <t>Верещак Сергей Николаевич</t>
  </si>
  <si>
    <t>22.07.2024</t>
  </si>
  <si>
    <t>30.04.1969</t>
  </si>
  <si>
    <t>00235</t>
  </si>
  <si>
    <t>Мацнев Павел Юсупджонович</t>
  </si>
  <si>
    <t>04.07.2024</t>
  </si>
  <si>
    <t>03.02.1976</t>
  </si>
  <si>
    <t>00651</t>
  </si>
  <si>
    <t>Двораковский Альберт Олегович</t>
  </si>
  <si>
    <t>30.11.1994</t>
  </si>
  <si>
    <t>00766</t>
  </si>
  <si>
    <t>Царёв Даниил Валериевич</t>
  </si>
  <si>
    <t>02.02.2024</t>
  </si>
  <si>
    <t>06.10.1983</t>
  </si>
  <si>
    <t>00807</t>
  </si>
  <si>
    <t>Пелих Даниил Юрьевич</t>
  </si>
  <si>
    <t>16.05.2024</t>
  </si>
  <si>
    <t>27.08.1993</t>
  </si>
  <si>
    <t>Начальник цеха</t>
  </si>
  <si>
    <t>00314</t>
  </si>
  <si>
    <t>Ростовцева Анастасия Вадимовна</t>
  </si>
  <si>
    <t>30.06.2020</t>
  </si>
  <si>
    <t>09.10.1998</t>
  </si>
  <si>
    <t>00493</t>
  </si>
  <si>
    <t>Ткачева Надежда Юрьевна</t>
  </si>
  <si>
    <t>14.03.2022</t>
  </si>
  <si>
    <t>13.06.1989</t>
  </si>
  <si>
    <t>Программист 1С 3 категории</t>
  </si>
  <si>
    <t>01006</t>
  </si>
  <si>
    <t>Танцура Алина Сергеевна</t>
  </si>
  <si>
    <t>24.06.2025</t>
  </si>
  <si>
    <t>14.11.1998</t>
  </si>
  <si>
    <t>Программист 1С 2 категории</t>
  </si>
  <si>
    <t>00784</t>
  </si>
  <si>
    <t>Головинов Артём Эдуардович</t>
  </si>
  <si>
    <t>14.03.2024</t>
  </si>
  <si>
    <t>03.03.1990</t>
  </si>
  <si>
    <t>Горбатенко Сергей Александрович</t>
  </si>
  <si>
    <t>01.10.1983</t>
  </si>
  <si>
    <t>00127</t>
  </si>
  <si>
    <t>Крапковская Наталья Валерьевна</t>
  </si>
  <si>
    <t>05.01.1965</t>
  </si>
  <si>
    <t>Отдел внедрения</t>
  </si>
  <si>
    <t>Архитектор программного обеспечения</t>
  </si>
  <si>
    <t>0000000696</t>
  </si>
  <si>
    <t>Ануфриева Оксана Николаевна</t>
  </si>
  <si>
    <t>10.02.2016</t>
  </si>
  <si>
    <t>04.04.1989</t>
  </si>
  <si>
    <t>Ревизионная комиссия</t>
  </si>
  <si>
    <t>Менеджер по управлению проектами</t>
  </si>
  <si>
    <t>0000000462</t>
  </si>
  <si>
    <t>Тищенко Марина Николаевна</t>
  </si>
  <si>
    <t>03.12.2012</t>
  </si>
  <si>
    <t>14.01.1980</t>
  </si>
  <si>
    <t>Руководитель инспекционной группы</t>
  </si>
  <si>
    <t>00388</t>
  </si>
  <si>
    <t>Тен Людмила Лаврентьевна</t>
  </si>
  <si>
    <t>15.02.2021</t>
  </si>
  <si>
    <t>14.08.1976</t>
  </si>
  <si>
    <t>00918</t>
  </si>
  <si>
    <t>Чистова Татьяна Эдуардовна</t>
  </si>
  <si>
    <t>11.06.1980</t>
  </si>
  <si>
    <t>00005</t>
  </si>
  <si>
    <t>Ващенко Ирина Федоровна</t>
  </si>
  <si>
    <t>01.02.2024</t>
  </si>
  <si>
    <t>28.05.1959</t>
  </si>
  <si>
    <t>3/4</t>
  </si>
  <si>
    <t>ТД Амурская легенда</t>
  </si>
  <si>
    <t>00001</t>
  </si>
  <si>
    <t>Маркарян Нарине Рубеновна</t>
  </si>
  <si>
    <t>23.04.2021</t>
  </si>
  <si>
    <t>06.11.1967</t>
  </si>
  <si>
    <t>00014</t>
  </si>
  <si>
    <t>Арахамия Лаша Мириянович</t>
  </si>
  <si>
    <t>21.04.2026</t>
  </si>
  <si>
    <t>07.02.1976</t>
  </si>
  <si>
    <t>00015</t>
  </si>
  <si>
    <t>Иович Егор Сергеевич</t>
  </si>
  <si>
    <t>22.04.2026</t>
  </si>
  <si>
    <t>01.08.1998</t>
  </si>
  <si>
    <t>00012</t>
  </si>
  <si>
    <t>Будиловская Олеся Викторовна</t>
  </si>
  <si>
    <t>10.02.2026</t>
  </si>
  <si>
    <t>26.01.1984</t>
  </si>
  <si>
    <t>Отдел по работе с клиентами</t>
  </si>
  <si>
    <t>00058</t>
  </si>
  <si>
    <t>Кузнецова Лариса Геннадьевна</t>
  </si>
  <si>
    <t>30.07.1973</t>
  </si>
  <si>
    <t>Администрация</t>
  </si>
  <si>
    <t>Грумандь Светлана Павловна</t>
  </si>
  <si>
    <t>27.10.2020</t>
  </si>
  <si>
    <t>30.11.1969</t>
  </si>
  <si>
    <t>00098</t>
  </si>
  <si>
    <t>Полякова Наталия Геннадьевна</t>
  </si>
  <si>
    <t>29.10.1985</t>
  </si>
  <si>
    <t>00118</t>
  </si>
  <si>
    <t>Парецкая Анастасия Сергеевна</t>
  </si>
  <si>
    <t>08.02.2023</t>
  </si>
  <si>
    <t>17.08.1982</t>
  </si>
  <si>
    <t>00112</t>
  </si>
  <si>
    <t>Табунщикова Олеся Петровна</t>
  </si>
  <si>
    <t>02.08.1993</t>
  </si>
  <si>
    <t>00052</t>
  </si>
  <si>
    <t>Хаишбашян Иван Левонович</t>
  </si>
  <si>
    <t>18.11.2019</t>
  </si>
  <si>
    <t>19.07.1978</t>
  </si>
  <si>
    <t>0000000039</t>
  </si>
  <si>
    <t>Котляров Игорь Владимирович</t>
  </si>
  <si>
    <t>02.10.2017</t>
  </si>
  <si>
    <t>02.09.1965</t>
  </si>
  <si>
    <t>1/4</t>
  </si>
  <si>
    <t>00182</t>
  </si>
  <si>
    <t>Дрянигина Алина Сергеевна</t>
  </si>
  <si>
    <t>19.11.2024</t>
  </si>
  <si>
    <t>15.11.2001</t>
  </si>
  <si>
    <t>00251</t>
  </si>
  <si>
    <t>Елисеева Лариса Александровна</t>
  </si>
  <si>
    <t>17.04.2026</t>
  </si>
  <si>
    <t>24.01.1988</t>
  </si>
  <si>
    <t>0000000005</t>
  </si>
  <si>
    <t>Глушнева  Татьяна Вадимовна</t>
  </si>
  <si>
    <t>03.07.2017</t>
  </si>
  <si>
    <t>0000000057</t>
  </si>
  <si>
    <t>Третьякова Ольга Сергеевна</t>
  </si>
  <si>
    <t>03.05.2018</t>
  </si>
  <si>
    <t>11.08.1995</t>
  </si>
  <si>
    <t>Фатымин Роман Ибрагимович</t>
  </si>
  <si>
    <t>15.05.2025</t>
  </si>
  <si>
    <t>17.12.1984</t>
  </si>
  <si>
    <t>Ведущий менеджер по оптовым клиентам</t>
  </si>
  <si>
    <t>0000000061</t>
  </si>
  <si>
    <t>00183</t>
  </si>
  <si>
    <t>Войтенко Михаил Андреевич</t>
  </si>
  <si>
    <t>21.11.2024</t>
  </si>
  <si>
    <t>17.02.1996</t>
  </si>
  <si>
    <t>00220</t>
  </si>
  <si>
    <t>Амелин Дмитрий Александрович</t>
  </si>
  <si>
    <t>13.05.2025</t>
  </si>
  <si>
    <t>10.07.2001</t>
  </si>
  <si>
    <t>Булгаков Артемий Сергеевич</t>
  </si>
  <si>
    <t>04.12.2024</t>
  </si>
  <si>
    <t>04.04.2001</t>
  </si>
  <si>
    <t>Великородный Андрей Андреевич</t>
  </si>
  <si>
    <t>18.05.2004</t>
  </si>
  <si>
    <t>Гольцев Виктор Юрьевич</t>
  </si>
  <si>
    <t>13.09.2021</t>
  </si>
  <si>
    <t>01.07.1989</t>
  </si>
  <si>
    <t>Дарманаев Рустам Юсуфович</t>
  </si>
  <si>
    <t>25.06.2025</t>
  </si>
  <si>
    <t>08.09.1974</t>
  </si>
  <si>
    <t>00247</t>
  </si>
  <si>
    <t>Иванов Евгений Андреевич</t>
  </si>
  <si>
    <t>11.03.2026</t>
  </si>
  <si>
    <t>14.11.1999</t>
  </si>
  <si>
    <t>Ишутин Данил Николаевич</t>
  </si>
  <si>
    <t>24.09.2025</t>
  </si>
  <si>
    <t>19.01.2002</t>
  </si>
  <si>
    <t>00227</t>
  </si>
  <si>
    <t>Магомедов Курбан Нурмагомедович</t>
  </si>
  <si>
    <t>19.06.2025</t>
  </si>
  <si>
    <t>21.06.1991</t>
  </si>
  <si>
    <t>Мурадян Саргис Грантович</t>
  </si>
  <si>
    <t>26.05.2025</t>
  </si>
  <si>
    <t>22.11.1971</t>
  </si>
  <si>
    <t>00237</t>
  </si>
  <si>
    <t>Никитин Антон Александрович</t>
  </si>
  <si>
    <t>15.09.2025</t>
  </si>
  <si>
    <t>06.12.1998</t>
  </si>
  <si>
    <t>Прокопенко Виктор Андреевич</t>
  </si>
  <si>
    <t>30.01.1986</t>
  </si>
  <si>
    <t>00241</t>
  </si>
  <si>
    <t>Ташкинов Дмитрий Эдуардович</t>
  </si>
  <si>
    <t>20.11.2025</t>
  </si>
  <si>
    <t>01.08.2001</t>
  </si>
  <si>
    <t>00228</t>
  </si>
  <si>
    <t>00133</t>
  </si>
  <si>
    <t>Исрафилов Казбек Элманович</t>
  </si>
  <si>
    <t>09.01.2024</t>
  </si>
  <si>
    <t>03.10.1985</t>
  </si>
  <si>
    <t>00236</t>
  </si>
  <si>
    <t>Лавриченко Елена Александровна</t>
  </si>
  <si>
    <t>19.06.1983</t>
  </si>
  <si>
    <t>Найденова Лидия Николаевна</t>
  </si>
  <si>
    <t>03.06.1971</t>
  </si>
  <si>
    <t>00234</t>
  </si>
  <si>
    <t>Скляр Валентина Игоревна</t>
  </si>
  <si>
    <t>00252</t>
  </si>
  <si>
    <t>Мурадян Григорий Григорьевич</t>
  </si>
  <si>
    <t>05.05.2026</t>
  </si>
  <si>
    <t>12.01.1967</t>
  </si>
  <si>
    <t>00194</t>
  </si>
  <si>
    <t>Осадчая Лариса Николаевна</t>
  </si>
  <si>
    <t>15.01.2025</t>
  </si>
  <si>
    <t>02.08.1966</t>
  </si>
  <si>
    <t>Гук Михаил Михайлович</t>
  </si>
  <si>
    <t>17.11.1974</t>
  </si>
  <si>
    <t>00240</t>
  </si>
  <si>
    <t>01.11.2025</t>
  </si>
  <si>
    <t>00245</t>
  </si>
  <si>
    <t>Шевченко Виктория Николаевна</t>
  </si>
  <si>
    <t>13.02.2026</t>
  </si>
  <si>
    <t>26.10.1975</t>
  </si>
  <si>
    <t>0046</t>
  </si>
  <si>
    <t>Щитов Иван Алексеевич</t>
  </si>
  <si>
    <t>06.08.2025</t>
  </si>
  <si>
    <t>13.12.1984</t>
  </si>
  <si>
    <t>МИЛАКА</t>
  </si>
  <si>
    <t>0014</t>
  </si>
  <si>
    <t>0027</t>
  </si>
  <si>
    <t>Щитова Диана</t>
  </si>
  <si>
    <t>16.03.2023</t>
  </si>
  <si>
    <t>0039</t>
  </si>
  <si>
    <t>Ищенко Татьяна Владимировна</t>
  </si>
  <si>
    <t>12.08.2024</t>
  </si>
  <si>
    <t>21.05.2004</t>
  </si>
  <si>
    <t>0038</t>
  </si>
  <si>
    <t>Гончарова Алёна Алексеевна</t>
  </si>
  <si>
    <t>10.07.2024</t>
  </si>
  <si>
    <t>15.02.2005</t>
  </si>
  <si>
    <t>0005</t>
  </si>
  <si>
    <t>Калашникова Анастасия Антоновна</t>
  </si>
  <si>
    <t>24.01.2021</t>
  </si>
  <si>
    <t>27.10.2000</t>
  </si>
  <si>
    <t>0047</t>
  </si>
  <si>
    <t>Кашкетов Семён Александрович</t>
  </si>
  <si>
    <t>07.07.2006</t>
  </si>
  <si>
    <t>0045</t>
  </si>
  <si>
    <t>Мартиросян Мариам Аршалюсовна</t>
  </si>
  <si>
    <t>17.08.2003</t>
  </si>
  <si>
    <t>0050</t>
  </si>
  <si>
    <t>Мелохаян Екатерина Павловна</t>
  </si>
  <si>
    <t>30.11.2005</t>
  </si>
  <si>
    <t>0015</t>
  </si>
  <si>
    <t>Кузнецов Владислав Евгеньевич</t>
  </si>
  <si>
    <t>01.10.2002</t>
  </si>
  <si>
    <t>Руководитель службы</t>
  </si>
  <si>
    <t>0032</t>
  </si>
  <si>
    <t>Алядинова Анастасия Владимировна</t>
  </si>
  <si>
    <t>03.07.1999</t>
  </si>
  <si>
    <t>Хозяйственная служба</t>
  </si>
  <si>
    <t>Горничная</t>
  </si>
  <si>
    <t>0043</t>
  </si>
  <si>
    <t>Ачинян Вита Леоновна</t>
  </si>
  <si>
    <t>09.04.2025</t>
  </si>
  <si>
    <t>23.01.2002</t>
  </si>
  <si>
    <t>0025</t>
  </si>
  <si>
    <t>Гаврик Татьяна Викторовна</t>
  </si>
  <si>
    <t>14.03.2023</t>
  </si>
  <si>
    <t>02.02.1974</t>
  </si>
  <si>
    <t>0026</t>
  </si>
  <si>
    <t>Сафонова Наталья Викторовна</t>
  </si>
  <si>
    <t>13.02.1975</t>
  </si>
  <si>
    <t>0013</t>
  </si>
  <si>
    <t>Бондаренко Олег Сергеевич</t>
  </si>
  <si>
    <t>14.03.1984</t>
  </si>
  <si>
    <t>0048</t>
  </si>
  <si>
    <t>Ефремов Андрей Владимирович</t>
  </si>
  <si>
    <t>08.07.1971</t>
  </si>
  <si>
    <t>0042</t>
  </si>
  <si>
    <t>Крымский Илья Валерьевич</t>
  </si>
  <si>
    <t>14.02.2025</t>
  </si>
  <si>
    <t>12.03.1983</t>
  </si>
  <si>
    <t>0011</t>
  </si>
  <si>
    <t>Николаев Александр Валентинович</t>
  </si>
  <si>
    <t>02.06.2021</t>
  </si>
  <si>
    <t>18.12.1971</t>
  </si>
  <si>
    <t>0012</t>
  </si>
  <si>
    <t>Рыжков Александр Сергеевич</t>
  </si>
  <si>
    <t>03.06.2021</t>
  </si>
  <si>
    <t>18.07.1976</t>
  </si>
  <si>
    <t>0044</t>
  </si>
  <si>
    <t>Хайсаров Карим Салаватович</t>
  </si>
  <si>
    <t>17.06.2025</t>
  </si>
  <si>
    <t>04.06.1970</t>
  </si>
  <si>
    <t>1. Предложили более высокую позицию, нет карьерного роста в Компании</t>
  </si>
  <si>
    <t>1. Недовольство руководством, непосредственным руководителем, общим стилем управления, отношениями в отделе</t>
  </si>
  <si>
    <t>1. Другая сфера деятельности, открытие собственного дела и т.п.</t>
  </si>
  <si>
    <t>1. Предложили более высокую зарплату  на аналогичной должности, неудовлетворенность текущей з/платой</t>
  </si>
  <si>
    <t>1. Неудобный график работы</t>
  </si>
  <si>
    <t>1. Неудобное расположение, далеко от дома</t>
  </si>
  <si>
    <t>1. Плохие условия труда</t>
  </si>
  <si>
    <t xml:space="preserve">1. Состояние здоровья </t>
  </si>
  <si>
    <t>1. Учеба/поступление в учебное заведение</t>
  </si>
  <si>
    <t>1. Семейные обстоятельства</t>
  </si>
  <si>
    <t>1. Переезд офиса/смена адреса</t>
  </si>
  <si>
    <t>2. Низкие результаты, не справляется с основными обязанностями</t>
  </si>
  <si>
    <t>2. Неадекватное поведение, поступки и т.п.</t>
  </si>
  <si>
    <t>2. Пьянство</t>
  </si>
  <si>
    <t>2. Хищение, долги, подделка документации</t>
  </si>
  <si>
    <t>2. Прогул</t>
  </si>
  <si>
    <t>2. Лишение водительского удостоверения</t>
  </si>
  <si>
    <t>3. Переезд на другое место жительства</t>
  </si>
  <si>
    <t>3. Срочный договор на период замещения/сезонные работы</t>
  </si>
  <si>
    <t>3. Оптимизация численности/штата</t>
  </si>
  <si>
    <t xml:space="preserve">3. Оптимизация структуры Компании </t>
  </si>
  <si>
    <t>3. Призыв в армию</t>
  </si>
  <si>
    <t>3. Гос. обязанность</t>
  </si>
  <si>
    <t>3. Смерть работника на рабочем месте</t>
  </si>
  <si>
    <t>3. Смерть работника вне работы</t>
  </si>
  <si>
    <t>3. Перевод работника с его согласия в другое юридическое лицо в рамках Группы компаний</t>
  </si>
  <si>
    <t>3. Инвалидность</t>
  </si>
  <si>
    <t>3. Уход на пенсию: досрочный/регулярный</t>
  </si>
  <si>
    <t>Расшифровка статей увольнения</t>
  </si>
  <si>
    <t>п. 1 части 1 ст. 77 ТК РФ</t>
  </si>
  <si>
    <t>Соглашение сторон</t>
  </si>
  <si>
    <t xml:space="preserve">п. 2 части 1 ст. 77 ТК РФ </t>
  </si>
  <si>
    <t>Истечение срока трудового договора</t>
  </si>
  <si>
    <t>п. 3 части 1 ст. 77 ТК РФ</t>
  </si>
  <si>
    <t>Расторжение трудового договора по инициативе работника</t>
  </si>
  <si>
    <t>п. 5 части 1 ст. 77 ТК РФ</t>
  </si>
  <si>
    <t>В порядке перевода</t>
  </si>
  <si>
    <t>п. 6 части 1 ст. 77 ТК РФ</t>
  </si>
  <si>
    <t>Отказ работника от продолжения работы в связи с изменением подведомственности (подчиненности) организации</t>
  </si>
  <si>
    <t>Отказ работника от продолжения работы в связи с реорганизацией организации</t>
  </si>
  <si>
    <t>Отказ работника от продолжения работы в связи со сменой собственника имущества организации</t>
  </si>
  <si>
    <t>п. 7 части 1 ст. 77 ТК РФ</t>
  </si>
  <si>
    <t>Отказ работника от продолжения работы в связи с изменением определенных сторонами условий трудового договора</t>
  </si>
  <si>
    <t>п. 8 части 1 ст. 77 ТК РФ</t>
  </si>
  <si>
    <t>Отсутствие у работодателя работы, необходимой работнику в соответствии с мед. Заключением</t>
  </si>
  <si>
    <t>п. 9 части 1 ст. 77 ТК РФ</t>
  </si>
  <si>
    <t>Отказ работника от перевода на работу в другую местность вместе с работодателем</t>
  </si>
  <si>
    <t>п. 11 части 1 ст. 77 ТК РФ</t>
  </si>
  <si>
    <t>Нарушение установленных ТК РФ или иным ФЗ правил заключения трудового договора</t>
  </si>
  <si>
    <t>Отказ работника от перевода на другую работу, необходимую ему в соответствии с мед. заключением</t>
  </si>
  <si>
    <t>п. 1 части 1 ст. 81 ТК РФ</t>
  </si>
  <si>
    <t>Ликвидация организации</t>
  </si>
  <si>
    <t xml:space="preserve">п. 2 части 1 ст. 81 ТК РФ  </t>
  </si>
  <si>
    <t>Увольнение по инициативе работодателя</t>
  </si>
  <si>
    <t>п. 3 части 1 ст. 81 ТК РФ</t>
  </si>
  <si>
    <t>Несоответствие работника занимаемой должности вследствие недостаточной квалификации</t>
  </si>
  <si>
    <t>п. 4 части 1 ст. 81 ТК РФ</t>
  </si>
  <si>
    <t>Смена собственника имущества организации</t>
  </si>
  <si>
    <t>п. 5 части 1 ст. 81 ТК РФ</t>
  </si>
  <si>
    <t>Неоднократное неисполнение работником без уважительных причин трудовых обязанностей</t>
  </si>
  <si>
    <t>п/п "а" п. 6 части 1 ст. 81 ТК РФ</t>
  </si>
  <si>
    <t>Прогул</t>
  </si>
  <si>
    <t>п/п "б" п. 6 части 1 ст. 81 ТК РФ</t>
  </si>
  <si>
    <t>Появление работника на работе в состоянии алкогольного, наркотического или иного токсического опьянения</t>
  </si>
  <si>
    <t>п/п "в" п. 6 части 1 ст. 81 ТК РФ</t>
  </si>
  <si>
    <t>Разглашение охраняемой законом тайны</t>
  </si>
  <si>
    <t>п/п "г" п. 6 части 1 ст. 81 ТК РФ</t>
  </si>
  <si>
    <t>Совершение по месту работы хищения чужого имущества, растраты, умышленного его уничтожения или повреждения</t>
  </si>
  <si>
    <t>п/п "д" п. 6 части 1 ст. 81 ТК РФ</t>
  </si>
  <si>
    <t>Нарушение работником требований охраны труда</t>
  </si>
  <si>
    <t>п. 7 части 1 ст. 81 ТК РФ</t>
  </si>
  <si>
    <t>Совершение виновных действий работником, непосредственно обслуживающим денежные или товарные ценности</t>
  </si>
  <si>
    <t>п. 9 части 1 ст. 81 ТК РФ</t>
  </si>
  <si>
    <t>Принятие необоснованного решения руководителем организации</t>
  </si>
  <si>
    <t xml:space="preserve">п. 10 части 1 ст. 81 ТК РФ </t>
  </si>
  <si>
    <t>Однократное грубое нарушение руководителем организации, его заместителями своих трудовых обязанностей</t>
  </si>
  <si>
    <t>п. 11 части 1 ст. 81 ТК РФ</t>
  </si>
  <si>
    <t>Представление работником работодателю подложных документов при заключении трудового договора</t>
  </si>
  <si>
    <t>п. 13 части 1 ст. 81 ТК РФ</t>
  </si>
  <si>
    <t xml:space="preserve">Расторжение трудового договора в случаях, предусмотренных трудовым договором с руководителем организации </t>
  </si>
  <si>
    <t>п. 1 части 1 ст. 83 ТК РФ</t>
  </si>
  <si>
    <t>Трудовой договор расторгнут по обстоятельствам, не зависящим от воли сторон (призыв работника на военную службу)</t>
  </si>
  <si>
    <t>п. 2 части 1 ст. 83 ТК РФ</t>
  </si>
  <si>
    <t>Восстановление на работе работника, ранее выполнявшего эту работу</t>
  </si>
  <si>
    <t>п. 4 части 1 ст. 83 ТК РФ</t>
  </si>
  <si>
    <t>Осуждение работника</t>
  </si>
  <si>
    <t>п. 5 части 1 ст. 83 ТК РФ</t>
  </si>
  <si>
    <t>Нетрудоспособность работника</t>
  </si>
  <si>
    <t>п. 6 части 1 ст. 83 ТК РФ</t>
  </si>
  <si>
    <t>Смерть работника</t>
  </si>
  <si>
    <t>п. 9 части 1 ст. 83 ТК РФ</t>
  </si>
  <si>
    <t>Истечение срока действия, приостановление действия на срок более двух месяцев или лишение работника специального права</t>
  </si>
  <si>
    <t>п. 11 части 1 ст. 83 ТК РФ</t>
  </si>
  <si>
    <t>Отмена решения суда о восстановлении работника на работе</t>
  </si>
  <si>
    <t>ст. 288 ТК РФ</t>
  </si>
  <si>
    <t>Прием на работу работника, для которого эта работа будет являться основной</t>
  </si>
  <si>
    <t>Причина увольнения</t>
  </si>
  <si>
    <t>Увольнение по собственному желанию</t>
  </si>
  <si>
    <t>включаем</t>
  </si>
  <si>
    <t>3. Причины, не зависящие от воли сторон  трудового договора</t>
  </si>
  <si>
    <t>не включаем</t>
  </si>
  <si>
    <t>(Все)</t>
  </si>
  <si>
    <t>(несколько элементов)</t>
  </si>
  <si>
    <t>Количество по полю Юридическое лицо</t>
  </si>
  <si>
    <t>Итог</t>
  </si>
  <si>
    <t>ЦФО Амурская легенда (1 ур) Итог</t>
  </si>
  <si>
    <t>ЦФО Главный метролог (1 ур) Итог</t>
  </si>
  <si>
    <t>ЦФО Директор НПО (2 ур) Итог</t>
  </si>
  <si>
    <t>ЦФО КБ (2 ур) Итог</t>
  </si>
  <si>
    <t>ЦФО Ком.служба (2 ур) Итог</t>
  </si>
  <si>
    <t>ЦФО МГС (1 ур) Итог</t>
  </si>
  <si>
    <t>ЦФО Милака (1 ур) Итог</t>
  </si>
  <si>
    <t>ЦФО Производство №1 (1 ур) Итог</t>
  </si>
  <si>
    <t>ЦФО Производство №2 (1 ур)   Итог</t>
  </si>
  <si>
    <t>ЦФО Производство БМИ (1 ур) Итог</t>
  </si>
  <si>
    <t>ЦФО Руководство (2 ур) Итог</t>
  </si>
  <si>
    <t>ЦФО Сервисная служба (1+2 ур) Итог</t>
  </si>
  <si>
    <t>ЦФО Служба автоматизации (2 ур) Итог</t>
  </si>
  <si>
    <t>ЦФО Служба безопасности (2 ур) Итог</t>
  </si>
  <si>
    <t>ЦФО Служба логистики (2 ур) Итог</t>
  </si>
  <si>
    <t>ЦФО Служба развития (2 ур) Итог</t>
  </si>
  <si>
    <t>ЦФО Служба технического директора (2 ур) Итог</t>
  </si>
  <si>
    <t>ЦФО Экспериментальный цех (2 ур) Итог</t>
  </si>
  <si>
    <t>Общий итог</t>
  </si>
  <si>
    <t>Автоматическое заполнение</t>
  </si>
  <si>
    <t>Автоматическое заполнение, если заполнена колонка "К"</t>
  </si>
  <si>
    <t>Заполняем вручную</t>
  </si>
  <si>
    <t>Дата начала работы в ГК</t>
  </si>
  <si>
    <t>Непосредственный руководитель</t>
  </si>
  <si>
    <t>ФИО рекрутера</t>
  </si>
  <si>
    <t>00482</t>
  </si>
  <si>
    <t>28.01.2026</t>
  </si>
  <si>
    <t>20.05.2025</t>
  </si>
  <si>
    <t>Амураль И.Б.</t>
  </si>
  <si>
    <t>01000</t>
  </si>
  <si>
    <t>Пахомов Александр Борисович</t>
  </si>
  <si>
    <t>26.02.2026</t>
  </si>
  <si>
    <t>05.06.2025</t>
  </si>
  <si>
    <t>10.03.1982</t>
  </si>
  <si>
    <t xml:space="preserve">Асланян </t>
  </si>
  <si>
    <t>01078</t>
  </si>
  <si>
    <t>Веровенко Юрий Александрович</t>
  </si>
  <si>
    <t>08.12.2025</t>
  </si>
  <si>
    <t>09.12.1998</t>
  </si>
  <si>
    <t>Гайфулин Д.А.</t>
  </si>
  <si>
    <t>01071</t>
  </si>
  <si>
    <t>Коротун Сергей Леонидович</t>
  </si>
  <si>
    <t>20.02.2026</t>
  </si>
  <si>
    <t>24.11.2025</t>
  </si>
  <si>
    <t>25.01.1960</t>
  </si>
  <si>
    <t>Гриппа Г.А.</t>
  </si>
  <si>
    <t>01052</t>
  </si>
  <si>
    <t>Чернов Александр Евгеньевич</t>
  </si>
  <si>
    <t>26.01.2026</t>
  </si>
  <si>
    <t>13.10.2025</t>
  </si>
  <si>
    <t>23.08.1983</t>
  </si>
  <si>
    <t>Донцова А.Е.</t>
  </si>
  <si>
    <t>00103</t>
  </si>
  <si>
    <t>Кузнецов Сергей Сергеевич</t>
  </si>
  <si>
    <t>20.01.2026</t>
  </si>
  <si>
    <t>03.12.2018</t>
  </si>
  <si>
    <t>Ермаков И.</t>
  </si>
  <si>
    <t>00567</t>
  </si>
  <si>
    <t>Хайрулин Михаил Шаукатович</t>
  </si>
  <si>
    <t>11.02.2026</t>
  </si>
  <si>
    <t>29.08.2022</t>
  </si>
  <si>
    <t>02.11.1983</t>
  </si>
  <si>
    <t>Емельяненко</t>
  </si>
  <si>
    <t>00837</t>
  </si>
  <si>
    <t>Мальцев Дмитрий Алексеевич</t>
  </si>
  <si>
    <t>29.07.2024</t>
  </si>
  <si>
    <t>Зайцев Г.Н.</t>
  </si>
  <si>
    <t>00503</t>
  </si>
  <si>
    <t>Матофонов Андрей Николаевич</t>
  </si>
  <si>
    <t>06.06.1984</t>
  </si>
  <si>
    <t>00042</t>
  </si>
  <si>
    <t>Сенькина Марина Александровна</t>
  </si>
  <si>
    <t>30.01.2026</t>
  </si>
  <si>
    <t>02.09.1979</t>
  </si>
  <si>
    <t>Коваленко А.О.</t>
  </si>
  <si>
    <t>00207</t>
  </si>
  <si>
    <t>09.02.2026</t>
  </si>
  <si>
    <t>10.03.2025</t>
  </si>
  <si>
    <t>Кузнецова Л.Г.</t>
  </si>
  <si>
    <t>00243</t>
  </si>
  <si>
    <t>Задорожняя Ольга Владимировна</t>
  </si>
  <si>
    <t>04.02.2026</t>
  </si>
  <si>
    <t>22.11.1974</t>
  </si>
  <si>
    <t>00214</t>
  </si>
  <si>
    <t>Адекола Фейт Адейеми</t>
  </si>
  <si>
    <t>02.04.2025</t>
  </si>
  <si>
    <t>27.06.1997</t>
  </si>
  <si>
    <t>00925</t>
  </si>
  <si>
    <t>Литвинов Антон Викторович</t>
  </si>
  <si>
    <t>06.02.2025</t>
  </si>
  <si>
    <t>14.08.1990</t>
  </si>
  <si>
    <t>Кургин Ф.В.</t>
  </si>
  <si>
    <t>00481</t>
  </si>
  <si>
    <t>Агарков Алексей Валерьевич</t>
  </si>
  <si>
    <t>01.02.2022</t>
  </si>
  <si>
    <t>29.09.1986</t>
  </si>
  <si>
    <t>00828</t>
  </si>
  <si>
    <t>Бондарь Сергей Викторович</t>
  </si>
  <si>
    <t>06.02.2026</t>
  </si>
  <si>
    <t>27.06.2024</t>
  </si>
  <si>
    <t>22.01.1985</t>
  </si>
  <si>
    <t>00120</t>
  </si>
  <si>
    <t>Кондаков Михаил Михайлович</t>
  </si>
  <si>
    <t>27.01.2026</t>
  </si>
  <si>
    <t>08.04.2024</t>
  </si>
  <si>
    <t>03.06.1994</t>
  </si>
  <si>
    <t>Махлин К.Р.</t>
  </si>
  <si>
    <t>00036</t>
  </si>
  <si>
    <t>Самарина Светлана Федоровна</t>
  </si>
  <si>
    <t>23.12.1970</t>
  </si>
  <si>
    <t>00242</t>
  </si>
  <si>
    <t>Осадчая Л.Н.</t>
  </si>
  <si>
    <t>00825</t>
  </si>
  <si>
    <t>Сулейманова Екатерина Игоревна</t>
  </si>
  <si>
    <t>24.06.2024</t>
  </si>
  <si>
    <t>05.01.1998</t>
  </si>
  <si>
    <t>Пелих Д.Ю.</t>
  </si>
  <si>
    <t>00929</t>
  </si>
  <si>
    <t>Борох Данил Сергеевич</t>
  </si>
  <si>
    <t>03.02.2026</t>
  </si>
  <si>
    <t>24.11.2001</t>
  </si>
  <si>
    <t>Романова М.</t>
  </si>
  <si>
    <t>00505</t>
  </si>
  <si>
    <t>Боброва Оксана Александровна</t>
  </si>
  <si>
    <t>Участок сборки UFG-H</t>
  </si>
  <si>
    <t>27.02.2026</t>
  </si>
  <si>
    <t>17.12.2025</t>
  </si>
  <si>
    <t>06.02.1981</t>
  </si>
  <si>
    <t>Сафронов И.А.</t>
  </si>
  <si>
    <t>00010</t>
  </si>
  <si>
    <t>Кучер Роман Витальевич</t>
  </si>
  <si>
    <t>22.01.2026</t>
  </si>
  <si>
    <t>02.09.2025</t>
  </si>
  <si>
    <t>12.11.1992</t>
  </si>
  <si>
    <t>Сефиханов Р.И.</t>
  </si>
  <si>
    <t>00239</t>
  </si>
  <si>
    <t>Игнатенко Никита Александрович</t>
  </si>
  <si>
    <t>15.10.2025</t>
  </si>
  <si>
    <t>08.01.1995</t>
  </si>
  <si>
    <t>01056</t>
  </si>
  <si>
    <t>Ставицкий Николай Николаевич</t>
  </si>
  <si>
    <t>18.10.1976</t>
  </si>
  <si>
    <t>00683</t>
  </si>
  <si>
    <t>Иликаев Алексей Валерьевич</t>
  </si>
  <si>
    <t>24.02.1996</t>
  </si>
  <si>
    <t>Сливков П.Е.</t>
  </si>
  <si>
    <t>01022</t>
  </si>
  <si>
    <t>Беспалов Кирилл Алексеевич</t>
  </si>
  <si>
    <t>23.07.2025</t>
  </si>
  <si>
    <t>24.04.2004</t>
  </si>
  <si>
    <t>Титова Я.В.</t>
  </si>
  <si>
    <t>00788</t>
  </si>
  <si>
    <t>Елагина Мария Геннадьевна</t>
  </si>
  <si>
    <t>25.03.2024</t>
  </si>
  <si>
    <t>16.06.1999</t>
  </si>
  <si>
    <t>Улановский К.В.</t>
  </si>
  <si>
    <t>00809</t>
  </si>
  <si>
    <t>Федоров Юрий Робертович</t>
  </si>
  <si>
    <t>Ведущий инженер-проектировщик АСУТП</t>
  </si>
  <si>
    <t>21.05.2024</t>
  </si>
  <si>
    <t>29.01.1973</t>
  </si>
  <si>
    <t>00917</t>
  </si>
  <si>
    <t>Никитаев Алексей Вячеславович</t>
  </si>
  <si>
    <t>Промт-инженер 2 категории</t>
  </si>
  <si>
    <t>29.01.2025</t>
  </si>
  <si>
    <t>15.04.1979</t>
  </si>
  <si>
    <t xml:space="preserve">Ясыров Б. </t>
  </si>
  <si>
    <t>00838</t>
  </si>
  <si>
    <t>Белан Дмитрий Александрович</t>
  </si>
  <si>
    <t>Князев Д.</t>
  </si>
  <si>
    <t>00824</t>
  </si>
  <si>
    <t>Ткаченко Людмила Викторовна</t>
  </si>
  <si>
    <t>26.03.2026</t>
  </si>
  <si>
    <t>28.05.1977</t>
  </si>
  <si>
    <t>00682</t>
  </si>
  <si>
    <t>Бабенкова Ирина Сергеевна</t>
  </si>
  <si>
    <t>24.03.2026</t>
  </si>
  <si>
    <t>14.07.2023</t>
  </si>
  <si>
    <t>13.06.1987</t>
  </si>
  <si>
    <t>Соломичева С.В.</t>
  </si>
  <si>
    <t>01038</t>
  </si>
  <si>
    <t>Газизов Денис Андреевич</t>
  </si>
  <si>
    <t>23.03.2026</t>
  </si>
  <si>
    <t>26.06.1996</t>
  </si>
  <si>
    <t>Хозуян И.В.</t>
  </si>
  <si>
    <t>00875</t>
  </si>
  <si>
    <t>Шинкаренко Евгений Андреевич</t>
  </si>
  <si>
    <t>02.10.2024</t>
  </si>
  <si>
    <t>18.10.1989</t>
  </si>
  <si>
    <t>Макеев А.С.</t>
  </si>
  <si>
    <t>00415</t>
  </si>
  <si>
    <t>Гриппа Георгий Александрович</t>
  </si>
  <si>
    <t>03.08.1984</t>
  </si>
  <si>
    <t>Свистун С.Н.</t>
  </si>
  <si>
    <t>00886</t>
  </si>
  <si>
    <t>Камышанова Мария Витальевна</t>
  </si>
  <si>
    <t>20.03.2026</t>
  </si>
  <si>
    <t>01.11.2024</t>
  </si>
  <si>
    <t>16.09.1998</t>
  </si>
  <si>
    <t>Ворончихина Е.Н.</t>
  </si>
  <si>
    <t>01040</t>
  </si>
  <si>
    <t>Савицкий Евгений Эдуардович</t>
  </si>
  <si>
    <t>05.09.2000</t>
  </si>
  <si>
    <t>Клименко Е.</t>
  </si>
  <si>
    <t>00548</t>
  </si>
  <si>
    <t>Мирзоян Кристина Владимировна</t>
  </si>
  <si>
    <t>01.08.2022</t>
  </si>
  <si>
    <t>20.12.1991</t>
  </si>
  <si>
    <t>Гончаров С.Д.</t>
  </si>
  <si>
    <t>01018</t>
  </si>
  <si>
    <t>Морозова Елена Юрьевна</t>
  </si>
  <si>
    <t>16.03.2026</t>
  </si>
  <si>
    <t xml:space="preserve"> включаем</t>
  </si>
  <si>
    <t>10.07.2025</t>
  </si>
  <si>
    <t>14.03.1978</t>
  </si>
  <si>
    <t>Тищенко М.Н.</t>
  </si>
  <si>
    <t>01051</t>
  </si>
  <si>
    <t>Харыбин Александр Викторович</t>
  </si>
  <si>
    <t>Заместитель главного конструктора по проектной деятельности</t>
  </si>
  <si>
    <t>13.03.2026</t>
  </si>
  <si>
    <t>00991</t>
  </si>
  <si>
    <t>Булатова Татьяна Ивановна</t>
  </si>
  <si>
    <t>22.05.2025</t>
  </si>
  <si>
    <t>04.05.1959</t>
  </si>
  <si>
    <t>00121</t>
  </si>
  <si>
    <t>Сапелкин Александр Николаевич</t>
  </si>
  <si>
    <t>22.04.2024</t>
  </si>
  <si>
    <t>01.07.1978</t>
  </si>
  <si>
    <t>05.03.2026</t>
  </si>
  <si>
    <t>27.03.2026</t>
  </si>
  <si>
    <t>05.05.2025</t>
  </si>
  <si>
    <t>Горлачев Егор Николаевич</t>
  </si>
  <si>
    <t>14.01.2001</t>
  </si>
  <si>
    <t>00161</t>
  </si>
  <si>
    <t>Зеленко Дмитрий Анатольевич</t>
  </si>
  <si>
    <t>16.05.1995</t>
  </si>
  <si>
    <t>00104</t>
  </si>
  <si>
    <t>Корниенко Дмитрий Сергеевич</t>
  </si>
  <si>
    <t>14.08.2018</t>
  </si>
  <si>
    <t>25.10.1991</t>
  </si>
  <si>
    <t>00479</t>
  </si>
  <si>
    <t>Ткаченко Николай Николаевич</t>
  </si>
  <si>
    <t>24.04.2026</t>
  </si>
  <si>
    <t>20.06.1975</t>
  </si>
  <si>
    <t>Подгорная Виктория Романовна</t>
  </si>
  <si>
    <t>12.11.2024</t>
  </si>
  <si>
    <t>22.09.2004</t>
  </si>
  <si>
    <t>00989</t>
  </si>
  <si>
    <t>Марченко Марина Васильевна</t>
  </si>
  <si>
    <t>23.07.2004</t>
  </si>
  <si>
    <t>01093</t>
  </si>
  <si>
    <t>Ульшин Иван Александрович</t>
  </si>
  <si>
    <t>26.05.1988</t>
  </si>
  <si>
    <t>Беккер А.В.</t>
  </si>
  <si>
    <t>00504</t>
  </si>
  <si>
    <t>Милютенко Ольга Николаевна</t>
  </si>
  <si>
    <t>Директор по продажам БМИ</t>
  </si>
  <si>
    <t>17.12.1983</t>
  </si>
  <si>
    <t>01015</t>
  </si>
  <si>
    <t>Семенихина Алина Владимировна</t>
  </si>
  <si>
    <t>13.04.2026</t>
  </si>
  <si>
    <t>11.07.2025</t>
  </si>
  <si>
    <t>Иващенко Н.А.</t>
  </si>
  <si>
    <t>01016</t>
  </si>
  <si>
    <t>Калюжная Татьяна Юрьевна</t>
  </si>
  <si>
    <t>22.03.1974</t>
  </si>
  <si>
    <t>01017</t>
  </si>
  <si>
    <t>Куркова Марина Юрьевна</t>
  </si>
  <si>
    <t>01034</t>
  </si>
  <si>
    <t>Шеханова Вероника Игоревна</t>
  </si>
  <si>
    <t>10.12.1991</t>
  </si>
  <si>
    <t>00124</t>
  </si>
  <si>
    <t>Мантач Татьяна Игоновна</t>
  </si>
  <si>
    <t>09.04.2026</t>
  </si>
  <si>
    <t>17.07.2024</t>
  </si>
  <si>
    <t>26.01.1996</t>
  </si>
  <si>
    <t>01053</t>
  </si>
  <si>
    <t>Амирханян Гоарик Эдвардовна</t>
  </si>
  <si>
    <t>10.05.1993</t>
  </si>
  <si>
    <t>00208</t>
  </si>
  <si>
    <t>Быстров Иван Сергеевич</t>
  </si>
  <si>
    <t>13.01.2021</t>
  </si>
  <si>
    <t>12.02.1996</t>
  </si>
  <si>
    <t>Арсуноев М.М.</t>
  </si>
  <si>
    <t>01095</t>
  </si>
  <si>
    <t>Попов Павел Юрьевич</t>
  </si>
  <si>
    <t>08.04.2026</t>
  </si>
  <si>
    <t>06.01.2002</t>
  </si>
  <si>
    <t>Билас А.В.</t>
  </si>
  <si>
    <t>00980</t>
  </si>
  <si>
    <t>Самойлов Александр Иванович</t>
  </si>
  <si>
    <t>Инженер-тестировщик 2 категории</t>
  </si>
  <si>
    <t>28.04.2025</t>
  </si>
  <si>
    <t>11.08.1982</t>
  </si>
  <si>
    <t>01069</t>
  </si>
  <si>
    <t>Хомюк Валерия Васильевна</t>
  </si>
  <si>
    <t>02.04.2026</t>
  </si>
  <si>
    <t>30.01.1996</t>
  </si>
  <si>
    <t>Прокопчук Л.А.</t>
  </si>
  <si>
    <t>Арцыбашев Никита Алексеевич</t>
  </si>
  <si>
    <t>11.08.2001</t>
  </si>
  <si>
    <t>00009</t>
  </si>
  <si>
    <t>Чахалов Ислам Исфандиярович</t>
  </si>
  <si>
    <t>30.05.2025</t>
  </si>
  <si>
    <t>10.09.1998</t>
  </si>
  <si>
    <t>00197</t>
  </si>
  <si>
    <t>00249</t>
  </si>
  <si>
    <t>Пономарева Ольга Викторовна</t>
  </si>
  <si>
    <t>03.04.2026</t>
  </si>
  <si>
    <t>12.10.1967</t>
  </si>
  <si>
    <t>29.05.2026</t>
  </si>
  <si>
    <t>Стржемеская Юлия Александровна</t>
  </si>
  <si>
    <t>28.09.1988</t>
  </si>
  <si>
    <t>Горбатенко С.А.</t>
  </si>
  <si>
    <t>0000000756</t>
  </si>
  <si>
    <t>Шатилова Татьяна Юрьевна</t>
  </si>
  <si>
    <t>30.05.1966</t>
  </si>
  <si>
    <t>00736</t>
  </si>
  <si>
    <t>Шамирян Альберт Варужанович</t>
  </si>
  <si>
    <t>26.04.1999</t>
  </si>
  <si>
    <t>Мегрелишвили М.Э.</t>
  </si>
  <si>
    <t>00947</t>
  </si>
  <si>
    <t>Коваленко Максим Александрович</t>
  </si>
  <si>
    <t>07.12.1983</t>
  </si>
  <si>
    <t>00973</t>
  </si>
  <si>
    <t>Ефремов Алексей Петрович</t>
  </si>
  <si>
    <t>Заместитель главного конструктора по изделию</t>
  </si>
  <si>
    <t>25.05.2026</t>
  </si>
  <si>
    <t>19.08.1975</t>
  </si>
  <si>
    <t>00655</t>
  </si>
  <si>
    <t>Арушанян Артем Артурович</t>
  </si>
  <si>
    <t>27.04.2023</t>
  </si>
  <si>
    <t>11.11.1994</t>
  </si>
  <si>
    <t>Карпенко А.В.</t>
  </si>
  <si>
    <t>00180</t>
  </si>
  <si>
    <t>Лихов Евгений Викторович</t>
  </si>
  <si>
    <t>16.03.2020</t>
  </si>
  <si>
    <t>04.09.1976</t>
  </si>
  <si>
    <t>00250</t>
  </si>
  <si>
    <t>Атаманов Евгений Анатольевич</t>
  </si>
  <si>
    <t>Механик</t>
  </si>
  <si>
    <t>29.09.1985</t>
  </si>
  <si>
    <t>0049</t>
  </si>
  <si>
    <t>Чаловская Мария Артёмовна</t>
  </si>
  <si>
    <t>16.12.2025</t>
  </si>
  <si>
    <t>30.07.2004</t>
  </si>
  <si>
    <t>Щитов И.А.</t>
  </si>
  <si>
    <t>Список увольнений</t>
  </si>
  <si>
    <t>Количество по полю ЦФО</t>
  </si>
  <si>
    <t>Текучесть в разрезе компаний (общая)</t>
  </si>
  <si>
    <t>План на 2026</t>
  </si>
  <si>
    <t>План</t>
  </si>
  <si>
    <t>Факт</t>
  </si>
  <si>
    <t>% выполнения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</si>
  <si>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</si>
  <si>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</si>
  <si>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</si>
  <si>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</si>
  <si>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</si>
  <si>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</si>
  <si>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</si>
  <si>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</si>
  <si>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</si>
  <si>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</si>
  <si>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</si>
  <si>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</si>
  <si>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ГОД</t>
  </si>
  <si>
    <t>численность</t>
  </si>
  <si>
    <t>увольнение</t>
  </si>
  <si>
    <t>текучесть</t>
  </si>
  <si>
    <t>НПО Турбулентность-ДОН</t>
  </si>
  <si>
    <t>Итого</t>
  </si>
  <si>
    <t>С накоплением</t>
  </si>
  <si>
    <t>Выполнение</t>
  </si>
  <si>
    <t>Текучесть в разрезе ЦФО</t>
  </si>
  <si>
    <t>СУП</t>
  </si>
  <si>
    <t>КБ</t>
  </si>
  <si>
    <t>КТО</t>
  </si>
  <si>
    <t>ПОиАСУ</t>
  </si>
  <si>
    <t>ОРКК</t>
  </si>
  <si>
    <t>Газпром</t>
  </si>
  <si>
    <t>БМИ</t>
  </si>
  <si>
    <t>ОДП</t>
  </si>
  <si>
    <t>ВЭД</t>
  </si>
  <si>
    <t>ОПМУ</t>
  </si>
  <si>
    <t>ТО</t>
  </si>
  <si>
    <t>администрация</t>
  </si>
  <si>
    <t>СПиР</t>
  </si>
  <si>
    <t>Хозслужба</t>
  </si>
  <si>
    <t>СБ</t>
  </si>
  <si>
    <t>руководство (Целищев, Ермаков, Макеев)</t>
  </si>
  <si>
    <t>Ермаков</t>
  </si>
  <si>
    <t>Нохаева/сектор сопровождения продаж</t>
  </si>
  <si>
    <t>Тимофеев/сектор сопровождения производства и продаж</t>
  </si>
  <si>
    <t>Емельяненко/сектор доработки и улучшения серийной продукции</t>
  </si>
  <si>
    <t>Асланян/сектор постановки на производство и несерийной продукции</t>
  </si>
  <si>
    <t>Макеев</t>
  </si>
  <si>
    <t>ЦФО Производство №1/ИТР</t>
  </si>
  <si>
    <t>ЦФО Производство №1/рабочие МЦ</t>
  </si>
  <si>
    <t>ЦФО  Производство №1/рабочие ПЦ</t>
  </si>
  <si>
    <r>
      <t xml:space="preserve">ЦФО Производство №2</t>
    </r>
    <r>
      <rPr>
        <rFont val="Calibri"/>
        <b val="true"/>
        <i val="false"/>
        <strike val="false"/>
        <color rgb="FF000000"/>
        <sz val="11"/>
        <u val="none"/>
      </rPr>
      <t xml:space="preserve"> </t>
    </r>
    <r>
      <rPr>
        <rFont val="Calibri"/>
        <b val="false"/>
        <i val="false"/>
        <strike val="false"/>
        <color rgb="FF000000"/>
        <sz val="11"/>
        <u val="none"/>
      </rPr>
      <t xml:space="preserve">ИТР/бухгалтер</t>
    </r>
  </si>
  <si>
    <t>ЦФО Производство №2 Рабочие</t>
  </si>
  <si>
    <t>Зайцев</t>
  </si>
  <si>
    <t>несерийное производство ИТР (Гутин, Гайбарян, Сулейманова, Пелих, Кармаза)</t>
  </si>
  <si>
    <t>рабочие несерийное производство (БМИ+ЭЦ)</t>
  </si>
  <si>
    <t>МС</t>
  </si>
  <si>
    <t>Рем.участок</t>
  </si>
  <si>
    <t>ОМиС</t>
  </si>
  <si>
    <t>ЦФО Служба развития (2ур)</t>
  </si>
  <si>
    <t>Сектор ИИ</t>
  </si>
  <si>
    <t>1С</t>
  </si>
  <si>
    <t>ИТ</t>
  </si>
  <si>
    <t>ОМТО</t>
  </si>
  <si>
    <t>Склад</t>
  </si>
  <si>
    <t>ТС</t>
  </si>
  <si>
    <t>ЦФО Технический директор (2 ур)</t>
  </si>
  <si>
    <t>служба тех.дир</t>
  </si>
  <si>
    <t>ЭС</t>
  </si>
  <si>
    <t>АХО</t>
  </si>
  <si>
    <t>Качество разработки</t>
  </si>
  <si>
    <r>
      <t xml:space="preserve">Щербина/</t>
    </r>
    <r>
      <rPr>
        <rFont val="Calibri"/>
        <b val="false"/>
        <i val="false"/>
        <strike val="false"/>
        <color rgb="FF000000"/>
        <sz val="11"/>
        <u val="none"/>
      </rPr>
      <t xml:space="preserve">Сектор разработки тех.решений</t>
    </r>
  </si>
  <si>
    <r>
      <t xml:space="preserve">Мещерюк/</t>
    </r>
    <r>
      <rPr>
        <rFont val="Calibri"/>
        <b val="false"/>
        <i val="false"/>
        <strike val="false"/>
        <color rgb="FF000000"/>
        <sz val="11"/>
        <u val="none"/>
      </rPr>
      <t xml:space="preserve">Сектор по пром.безопасности</t>
    </r>
  </si>
  <si>
    <t>Арсуноев</t>
  </si>
  <si>
    <t>ОТК1</t>
  </si>
  <si>
    <t>Служба</t>
  </si>
  <si>
    <t>ОТК2</t>
  </si>
  <si>
    <t>ЛНК</t>
  </si>
  <si>
    <t>СК</t>
  </si>
  <si>
    <t>СС</t>
  </si>
  <si>
    <t>ОТП</t>
  </si>
  <si>
    <t>Отдел рекламаций</t>
  </si>
  <si>
    <t>УД</t>
  </si>
  <si>
    <t>Рвизионная комиссия</t>
  </si>
  <si>
    <t>Юр. отдел</t>
  </si>
  <si>
    <t>Охрана</t>
  </si>
  <si>
    <t>Текучесть в адаптацию в разрезе ЦФО</t>
  </si>
  <si>
    <t>план приемы</t>
  </si>
  <si>
    <t>%</t>
  </si>
  <si>
    <t>Название компании</t>
  </si>
  <si>
    <t>Тема обучения</t>
  </si>
  <si>
    <t>Месяц обучения</t>
  </si>
  <si>
    <t>Дата начала обучения</t>
  </si>
  <si>
    <t>Дата окончания обучения</t>
  </si>
  <si>
    <t>Количество часов обучения</t>
  </si>
  <si>
    <t>Затраты на обучение, руб</t>
  </si>
  <si>
    <t>Допольнительные затраты</t>
  </si>
  <si>
    <t>Затраты на командировку</t>
  </si>
  <si>
    <t>Обучающая организация</t>
  </si>
  <si>
    <t>ФИО лектора</t>
  </si>
  <si>
    <t>Комментарии</t>
  </si>
  <si>
    <t>Биденко Е.Г.</t>
  </si>
  <si>
    <t>Предприятие</t>
  </si>
  <si>
    <t>Причина нетрудоспособности</t>
  </si>
  <si>
    <t>Месяц начала</t>
  </si>
  <si>
    <t>Месяц окончания</t>
  </si>
  <si>
    <t>Дата начала больничного листа</t>
  </si>
  <si>
    <t>Дата окончания больничного листа</t>
  </si>
  <si>
    <t>Количество календарных дней по болезни</t>
  </si>
  <si>
    <t>Сотрудник</t>
  </si>
  <si>
    <t>Возраст выхода</t>
  </si>
  <si>
    <t>Дата выхода на пенсию</t>
  </si>
  <si>
    <t>МГС</t>
  </si>
  <si>
    <t>Остроухов Андрей Анатольевич</t>
  </si>
  <si>
    <t xml:space="preserve">Контролер поста контроля  </t>
  </si>
  <si>
    <t>Четверня Людмила Ивановна</t>
  </si>
  <si>
    <t>Заготовительный участок для сборки UFG</t>
  </si>
  <si>
    <t>Ярмизина Евгения Александровна</t>
  </si>
  <si>
    <t>Технический писатель</t>
  </si>
  <si>
    <t>Корниенко Сергей Александрович</t>
  </si>
  <si>
    <t>№ п/п</t>
  </si>
  <si>
    <t>таб №</t>
  </si>
  <si>
    <t>Отпуск по беременности и родам</t>
  </si>
  <si>
    <t>Отпуск по уходу за ребенком до достижения им 1,5 лет</t>
  </si>
  <si>
    <t>Отпуск по уходу за ребенком до достижения им 3-х лет</t>
  </si>
  <si>
    <t>Начало</t>
  </si>
  <si>
    <t>Окончание</t>
  </si>
  <si>
    <t xml:space="preserve">Специалист по сопровождению 1С:ERP </t>
  </si>
  <si>
    <t xml:space="preserve"> </t>
  </si>
  <si>
    <t xml:space="preserve">Служба управления персоналом </t>
  </si>
  <si>
    <t>НП00-000007</t>
  </si>
  <si>
    <t>00-0000860</t>
  </si>
  <si>
    <t xml:space="preserve"> Коммерческая служба </t>
  </si>
  <si>
    <t xml:space="preserve">Коммерческий директор </t>
  </si>
  <si>
    <t>ООО МИЛАКА</t>
  </si>
  <si>
    <t>Срочный договор</t>
  </si>
  <si>
    <t>Причина заключения</t>
  </si>
  <si>
    <t>Гапонова К.С.</t>
  </si>
  <si>
    <t>Хаишбашян А.Л.</t>
  </si>
  <si>
    <t>Директор РМГ</t>
  </si>
  <si>
    <t>Директор ООО МГС</t>
  </si>
  <si>
    <t>Милютенко О.Н.</t>
  </si>
  <si>
    <t>Сапелкина М.А.</t>
  </si>
  <si>
    <t>Главный бухгалтер МГС</t>
  </si>
  <si>
    <t>Щитов ИА</t>
  </si>
  <si>
    <t>ООО Милака</t>
  </si>
  <si>
    <t>Полякова Н.И</t>
  </si>
  <si>
    <t>ООО ТД Амурская легенда</t>
  </si>
  <si>
    <t>Дата призыва</t>
  </si>
  <si>
    <t>Военкомат</t>
  </si>
  <si>
    <t>г.Ростов-на-Дону</t>
  </si>
  <si>
    <t xml:space="preserve">Сборочный участок №2 </t>
  </si>
  <si>
    <t xml:space="preserve">Слесарь-сборщик радиоэлектронной аппаратуры  </t>
  </si>
  <si>
    <t>ВК Миллеровского и Тарасовского и Чертковского районов РО</t>
  </si>
  <si>
    <t xml:space="preserve">Контролер </t>
  </si>
  <si>
    <t>ВК Октябрьского и Ворошиловского районов</t>
  </si>
  <si>
    <t>ВК Пролетарского и Первомайского районов РО</t>
  </si>
  <si>
    <t>Черненко Олег Константинович</t>
  </si>
  <si>
    <t>/Служба качества/</t>
  </si>
  <si>
    <t>Сидоренко Николай Михайлович</t>
  </si>
  <si>
    <t xml:space="preserve"> Сборочный участок №1</t>
  </si>
  <si>
    <t>Славина Ольга Николаевна</t>
  </si>
  <si>
    <t xml:space="preserve">Специалист по работе с рекламациями </t>
  </si>
  <si>
    <t>ООО АЛМАЗ</t>
  </si>
  <si>
    <t>Мишенин Игорь Петрович</t>
  </si>
  <si>
    <t xml:space="preserve">Начальник склада </t>
  </si>
  <si>
    <t>Дьяконова Олеся Сергеевна</t>
  </si>
  <si>
    <t xml:space="preserve"> Отдел продаж метрологических услуг </t>
  </si>
  <si>
    <t xml:space="preserve">Менеджер по сопровождению </t>
  </si>
  <si>
    <t>Вирабян Арнольд Юраевич</t>
  </si>
  <si>
    <t>Транспортный отдели</t>
  </si>
  <si>
    <t>Оккаев Валод Эрикович</t>
  </si>
  <si>
    <t xml:space="preserve"> Участок ремонта гарантийных приборов </t>
  </si>
  <si>
    <t>Абрамов Георгий Георгиевич</t>
  </si>
  <si>
    <t xml:space="preserve"> Транспортный отдел </t>
  </si>
  <si>
    <t>Бабичева Виктория Николаевна</t>
  </si>
  <si>
    <t xml:space="preserve"> Семикаракорский СЦ </t>
  </si>
  <si>
    <t xml:space="preserve">Кассир-приемщик </t>
  </si>
  <si>
    <t>Близнюкова Светлана Сергеевна</t>
  </si>
  <si>
    <t>Присталенко Георгий Владимирович</t>
  </si>
  <si>
    <t>Степанов Владимир Васильевич</t>
  </si>
  <si>
    <t xml:space="preserve"> Участок ЧПУ</t>
  </si>
  <si>
    <t>Терещенко Инна Александровна</t>
  </si>
  <si>
    <t xml:space="preserve"> Отдел продаж бытового оборудования </t>
  </si>
  <si>
    <t>Марсов Алексей Алексеевич</t>
  </si>
  <si>
    <t xml:space="preserve">Складской комплекс </t>
  </si>
  <si>
    <t>Шепель Станислав Павлович</t>
  </si>
  <si>
    <t xml:space="preserve">Инженер выходного контроля </t>
  </si>
  <si>
    <t>ОТК-1</t>
  </si>
  <si>
    <t>Каратаев Дмитрий Игоревич</t>
  </si>
  <si>
    <t xml:space="preserve"> Служба приема и размещения</t>
  </si>
  <si>
    <t xml:space="preserve">  Семикаракорский СЦ </t>
  </si>
  <si>
    <t xml:space="preserve">  Семикаракорск </t>
  </si>
  <si>
    <t>Халиков Рамиз Курбанович</t>
  </si>
  <si>
    <t xml:space="preserve"> Транспортный отдел  </t>
  </si>
  <si>
    <t>Абрамов Юрий Арсенович</t>
  </si>
  <si>
    <t>Мерзляков Алексей Сергеевич</t>
  </si>
  <si>
    <t xml:space="preserve">Ведущий инженер-проектировщик АСУТП </t>
  </si>
  <si>
    <t>Хурдаян Руслан Владиславович</t>
  </si>
  <si>
    <t xml:space="preserve">Сборщик </t>
  </si>
  <si>
    <t xml:space="preserve"> Участок сборки счетчиков </t>
  </si>
  <si>
    <t>Атаян Георгий Романович</t>
  </si>
  <si>
    <t xml:space="preserve"> /Производство №2/</t>
  </si>
  <si>
    <t xml:space="preserve"> /Производство БМИ/</t>
  </si>
  <si>
    <t>Слоневский Сергей Георгиевич</t>
  </si>
  <si>
    <t xml:space="preserve"> /Служба безопасности/</t>
  </si>
  <si>
    <t xml:space="preserve">Кладовщик </t>
  </si>
  <si>
    <t>/Складской комплекс/</t>
  </si>
  <si>
    <t xml:space="preserve">Заместитель главного метролога </t>
  </si>
  <si>
    <t>/Метрологическая служба/</t>
  </si>
  <si>
    <t>Екшикеева Алла Викторовна</t>
  </si>
  <si>
    <t>/Отдел по работе с ключевыми клиентами/,</t>
  </si>
  <si>
    <t>Вартеванян Хачерес Корапетович</t>
  </si>
  <si>
    <t xml:space="preserve">Инженер-конструктор 1 категории </t>
  </si>
  <si>
    <t>/Конструкторское бюро/</t>
  </si>
  <si>
    <t xml:space="preserve"> /Группа сопровождения продаж и производства/</t>
  </si>
  <si>
    <t>Песоцкий Андрей Владимирович</t>
  </si>
  <si>
    <t xml:space="preserve">Инженер-проектировщик АСУТП 1-й категории  </t>
  </si>
  <si>
    <t>/Отдел разработки ПО и АСУ/</t>
  </si>
  <si>
    <t>Чернышков Антон Валерьевич</t>
  </si>
  <si>
    <t xml:space="preserve">ОДПО </t>
  </si>
  <si>
    <t>Звягинцев Юрий Владимирович</t>
  </si>
  <si>
    <t xml:space="preserve"> /Отдел продаж бытового оборудования/</t>
  </si>
  <si>
    <t>Начальник сервисного центра /</t>
  </si>
  <si>
    <t>Сальский СЦ/</t>
  </si>
  <si>
    <t>ООО Метрогазсервис</t>
  </si>
  <si>
    <t>Куликов Антон Викторович</t>
  </si>
  <si>
    <t xml:space="preserve">Монтажник    </t>
  </si>
  <si>
    <t>Участок сборки счетчиков/</t>
  </si>
  <si>
    <t xml:space="preserve"> /Отдел технической поддержки </t>
  </si>
  <si>
    <t>Сафина Наталья Василовна</t>
  </si>
  <si>
    <t>Филин Станислав Сергеевич</t>
  </si>
  <si>
    <t xml:space="preserve">Инженер выходного контроля  </t>
  </si>
  <si>
    <t>Захаренко Руслан Александрович</t>
  </si>
  <si>
    <t xml:space="preserve"> /Слесарно-сварочный участок №2/</t>
  </si>
  <si>
    <t>Бронич Диана Антоновна</t>
  </si>
  <si>
    <t xml:space="preserve"> /Отдел технической поддержки/</t>
  </si>
  <si>
    <t>/Отдел внешнеэкономической деятельности/</t>
  </si>
  <si>
    <t>/Лаборатория неразрушающего контроля/</t>
  </si>
  <si>
    <t xml:space="preserve">Начальник лаборатории неразрушающего контроля </t>
  </si>
  <si>
    <t>Дягилев Константин Олегович</t>
  </si>
  <si>
    <t xml:space="preserve"> /Отдел сопровождения 1С/</t>
  </si>
  <si>
    <t>Килин Аркадий Александрович</t>
  </si>
  <si>
    <t>Инженер-проектировщик КИПиА 2 категории</t>
  </si>
  <si>
    <t>Рубанов Александр Андреевич</t>
  </si>
  <si>
    <t xml:space="preserve"> /Лаборатория неразрушающего контроля/</t>
  </si>
  <si>
    <t>Дефектоскопист</t>
  </si>
  <si>
    <t>Редькин Никита Андреевич</t>
  </si>
  <si>
    <t>/Сборочный участок №2/</t>
  </si>
  <si>
    <t xml:space="preserve">Слесарь-сборщик радиоэлектронной аппаратуры </t>
  </si>
  <si>
    <t xml:space="preserve">Инженер-метролог </t>
  </si>
  <si>
    <t>Мирошников Александр Юрьевич</t>
  </si>
  <si>
    <t xml:space="preserve"> /Отдел по работе с ключевыми клиентами/,  </t>
  </si>
  <si>
    <t>Хамидов Гафур Бахтиярович</t>
  </si>
  <si>
    <t>Зайченко Валерия Евгеньевна</t>
  </si>
  <si>
    <t>офис-менеджер</t>
  </si>
  <si>
    <t>Осипов Денис Васильевич</t>
  </si>
  <si>
    <t>Клименко Артём Григорьевич</t>
  </si>
  <si>
    <t xml:space="preserve">Инженер по ремонту </t>
  </si>
  <si>
    <t>Ковшиков Александр Леонидович</t>
  </si>
  <si>
    <t xml:space="preserve">Заместитель директора по качеству </t>
  </si>
  <si>
    <t xml:space="preserve">  Служба качества </t>
  </si>
  <si>
    <t>Медведева Оксана Владимировна</t>
  </si>
  <si>
    <t xml:space="preserve">Менеджер по сопровождению клиентов  </t>
  </si>
  <si>
    <t xml:space="preserve"> /Транспортный отдел /</t>
  </si>
  <si>
    <t xml:space="preserve">Фуфаев Александр Владимирович </t>
  </si>
  <si>
    <t>Менеджер по снабжению /</t>
  </si>
  <si>
    <t>Производство БМИ/</t>
  </si>
  <si>
    <t xml:space="preserve">Монтажник РЭА  </t>
  </si>
  <si>
    <t>/Монтажный участок №2</t>
  </si>
  <si>
    <t>Щербина Владимир</t>
  </si>
  <si>
    <t xml:space="preserve">Заместитель директора по проектированию, автоматизации и метрологии </t>
  </si>
  <si>
    <t>/Производство БМИ/</t>
  </si>
  <si>
    <t>Богуш Елена Владимировна</t>
  </si>
  <si>
    <t>Кудрявцева Анна Николаевна</t>
  </si>
  <si>
    <t xml:space="preserve"> /Управление делами/</t>
  </si>
  <si>
    <t>заместитель главного бухгалтера</t>
  </si>
  <si>
    <t>Румянцева Наталья Александровна</t>
  </si>
  <si>
    <t>Вед менеджер</t>
  </si>
  <si>
    <t xml:space="preserve">ИП Корниенко </t>
  </si>
  <si>
    <t>оператор 1С</t>
  </si>
  <si>
    <t>Головко Алексей Александрович</t>
  </si>
  <si>
    <t>Овечкин Андрей Александрович</t>
  </si>
  <si>
    <t>Инженер-электронщик /</t>
  </si>
  <si>
    <t>Резник Павел Анатольевич</t>
  </si>
  <si>
    <t>Гайдук Александр Сергеевич</t>
  </si>
  <si>
    <t>Сборщик /</t>
  </si>
  <si>
    <t>/Отдел по работе с рекламациями/</t>
  </si>
  <si>
    <t>Мягков Александр Сергеевич</t>
  </si>
  <si>
    <t>Монтажник РЭА /</t>
  </si>
  <si>
    <t>Участок ремонта гарантийных приборов/</t>
  </si>
  <si>
    <t>Савицкий Артём Витальевич</t>
  </si>
  <si>
    <t xml:space="preserve">Монтажник                                                      </t>
  </si>
  <si>
    <t xml:space="preserve">        /Участок сборки счетчиков/</t>
  </si>
  <si>
    <t>Коробова Дарья Витальевна</t>
  </si>
  <si>
    <t>Корниенко Никита Сергеевич</t>
  </si>
  <si>
    <t>Баталов Вячеслав Владимирович</t>
  </si>
  <si>
    <t>/Участок сборки счетчиков/</t>
  </si>
  <si>
    <t>Ясыров</t>
  </si>
  <si>
    <t xml:space="preserve">Менеджер по развитию 3 категории </t>
  </si>
  <si>
    <t>Служба развити</t>
  </si>
  <si>
    <t>Васильев Игорь Николаевич</t>
  </si>
  <si>
    <t xml:space="preserve"> Слесарь-сборщик радиоэлектронной аппаратуры  </t>
  </si>
  <si>
    <t>Заготовительный участок для сборки UFG/</t>
  </si>
  <si>
    <t>Разработчик электронных курсов /</t>
  </si>
  <si>
    <t>Служба управления персоналом/</t>
  </si>
  <si>
    <t xml:space="preserve"> Коломийцева София Витальевна</t>
  </si>
  <si>
    <t xml:space="preserve"> /Семикаракорский СЦ/</t>
  </si>
  <si>
    <t>Семикаракорск</t>
  </si>
  <si>
    <t>/Участок ремонта промышленного оборудования/</t>
  </si>
  <si>
    <t>Александрова Анастасия Александровна</t>
  </si>
  <si>
    <t>менеджер</t>
  </si>
  <si>
    <t>Менеджер по сопровождению клиентов  /Отдел продаж /</t>
  </si>
  <si>
    <t>Донченко Данил Русланович</t>
  </si>
  <si>
    <t>Диспетчер                                                              /Служба по развитию производства/</t>
  </si>
  <si>
    <t>Демин Сергей Владимирович</t>
  </si>
  <si>
    <t>Оператор трехмерной печати /Заготовительный участок для сборки UFG/</t>
  </si>
  <si>
    <t>Земляков Константин Сергеевич</t>
  </si>
  <si>
    <t>Монтажник РЭА /Заготовительный участок для сборки UFG/, (ТУРБУЛЕНТНОСТЬ-ДОН ООО НПО)</t>
  </si>
  <si>
    <t>Ракитин Вячеслав Михайлович</t>
  </si>
  <si>
    <t>Инженер по качеству    /Отдел технического контроля №1/</t>
  </si>
  <si>
    <t>Галат Евгения Сергеевна</t>
  </si>
  <si>
    <t>Переведенцев Павел Дмитриевич</t>
  </si>
  <si>
    <t>Слесарь-сборщик радиоэлектронной аппаратуры /Заготовительный участок для сборки UFG/, (ТУРБУЛЕНТНОСТЬ-ДОН ООО НПО)</t>
  </si>
  <si>
    <t>Карнаухов Сергей Сергеевич</t>
  </si>
  <si>
    <t>Догадин Александр Михайлович</t>
  </si>
  <si>
    <t>Захаров Александр Иванович</t>
  </si>
  <si>
    <t>Сборщик /Участок сборки счетчиков/</t>
  </si>
  <si>
    <t>Бастрыкин Валерий Сергеевич</t>
  </si>
  <si>
    <t>водитель</t>
  </si>
  <si>
    <t>Юхименко Сергей Александрович</t>
  </si>
  <si>
    <t>Группа инвалидности</t>
  </si>
  <si>
    <t>Срок инвалидности</t>
  </si>
  <si>
    <t>кладовщик - комплектовщик</t>
  </si>
  <si>
    <t>бессрочно</t>
  </si>
  <si>
    <t>НП00-00557</t>
  </si>
  <si>
    <t>НП00-00981</t>
  </si>
  <si>
    <t>Стаценко Виктор Валерьевич</t>
  </si>
  <si>
    <t xml:space="preserve">Специалист по качеству разработок  </t>
  </si>
  <si>
    <t>Плановый срок закрытия:</t>
  </si>
  <si>
    <t>с медосмотром:</t>
  </si>
  <si>
    <t>21 день</t>
  </si>
  <si>
    <t>для низкоквалифицированного персонала</t>
  </si>
  <si>
    <t>35 дней</t>
  </si>
  <si>
    <t>Нет заявки на подбор</t>
  </si>
  <si>
    <t>дополнительно к срокам подбора три недели на стажировку</t>
  </si>
  <si>
    <t>42 дня</t>
  </si>
  <si>
    <t>для менеджеров и начальников отделов</t>
  </si>
  <si>
    <t>45 дней</t>
  </si>
  <si>
    <t>84 дня</t>
  </si>
  <si>
    <t>руководители высшего звена, узкоквалифицированные специалисты, удаленный подбор (сервисные центры)</t>
  </si>
  <si>
    <t>без сроков</t>
  </si>
  <si>
    <t xml:space="preserve">вакансии в резерв </t>
  </si>
  <si>
    <t>Закрытый поиск</t>
  </si>
  <si>
    <t>Причина появления</t>
  </si>
  <si>
    <t>АВС</t>
  </si>
  <si>
    <t>Вакансия</t>
  </si>
  <si>
    <t>Месяц открытия</t>
  </si>
  <si>
    <t>Месяц закрытия план</t>
  </si>
  <si>
    <t>Месяц закрытия факт</t>
  </si>
  <si>
    <t>Дата открытия</t>
  </si>
  <si>
    <t>Дата закрытия плановая</t>
  </si>
  <si>
    <t>Дата закрытия факт</t>
  </si>
  <si>
    <t>Количество дней в работе</t>
  </si>
  <si>
    <t>Срок закрытия плановый</t>
  </si>
  <si>
    <t>Отклонения от срока</t>
  </si>
  <si>
    <t>Кандидат (ФИО)</t>
  </si>
  <si>
    <t>Кол-во дней</t>
  </si>
  <si>
    <t>Рекрутер</t>
  </si>
  <si>
    <t>Замена</t>
  </si>
  <si>
    <t>А</t>
  </si>
  <si>
    <t>ОПБМИ</t>
  </si>
  <si>
    <t>Мулявка В.</t>
  </si>
  <si>
    <t>Житкова Ева</t>
  </si>
  <si>
    <t>Грунтовский Дмитрий</t>
  </si>
  <si>
    <t>Камышанова Мария</t>
  </si>
  <si>
    <t>Отдел сопровождение 1С</t>
  </si>
  <si>
    <t>снята заказчиком до 01.03.2025</t>
  </si>
  <si>
    <t>Производство БМИ</t>
  </si>
  <si>
    <t>Гайбарян Юля</t>
  </si>
  <si>
    <t>Лаврикова Лариса</t>
  </si>
  <si>
    <t>Уборщица</t>
  </si>
  <si>
    <t>Левашова Марина</t>
  </si>
  <si>
    <t xml:space="preserve">Камышанова Мария </t>
  </si>
  <si>
    <t>закрыта заказчиком</t>
  </si>
  <si>
    <t>Механик по выпуску</t>
  </si>
  <si>
    <t>приостановл. Заказч. 19.01.2026</t>
  </si>
  <si>
    <t xml:space="preserve">Рюмин Василий </t>
  </si>
  <si>
    <t xml:space="preserve">Промт-инженер </t>
  </si>
  <si>
    <t>Уставицкий Андрей</t>
  </si>
  <si>
    <t>Елеева Анна</t>
  </si>
  <si>
    <t>Новиков Владимир</t>
  </si>
  <si>
    <t>Новая</t>
  </si>
  <si>
    <t>Попов Павел</t>
  </si>
  <si>
    <t>Холдинги 1</t>
  </si>
  <si>
    <t>Вишницкий Руслан</t>
  </si>
  <si>
    <t xml:space="preserve">Акимов Евгений </t>
  </si>
  <si>
    <t>Кривенко Грациан</t>
  </si>
  <si>
    <t>Лиходед Кристина</t>
  </si>
  <si>
    <t>ИП Корниенко</t>
  </si>
  <si>
    <t>Ковалева Вера</t>
  </si>
  <si>
    <t>Ульшин Иван</t>
  </si>
  <si>
    <t>Инженер по метрологии</t>
  </si>
  <si>
    <t>Анохин Сергей</t>
  </si>
  <si>
    <t xml:space="preserve">Производство  </t>
  </si>
  <si>
    <t>Мастер чистоты</t>
  </si>
  <si>
    <t xml:space="preserve">Задорожняя Ольга </t>
  </si>
  <si>
    <t>Горлачев Егор</t>
  </si>
  <si>
    <t>Упаковщик бутылей</t>
  </si>
  <si>
    <t>Снята заказчиком 11.02.2026</t>
  </si>
  <si>
    <t>Комарькова Анастасия</t>
  </si>
  <si>
    <t>вакансия закрыта заказчиком</t>
  </si>
  <si>
    <t>Ворончихина Елена</t>
  </si>
  <si>
    <t>Шевченко Виктория</t>
  </si>
  <si>
    <t>ЦФО Производство№1 (2 ур)</t>
  </si>
  <si>
    <t>ГСПП</t>
  </si>
  <si>
    <t>Инженер-конструктор</t>
  </si>
  <si>
    <t>Волкова Екатерина</t>
  </si>
  <si>
    <t>Великородный Андрей</t>
  </si>
  <si>
    <t>В</t>
  </si>
  <si>
    <t>Начальник службы логистики</t>
  </si>
  <si>
    <t>Романова Елизавета</t>
  </si>
  <si>
    <t>Лахно Ярослав</t>
  </si>
  <si>
    <t>Андреева Татьяна</t>
  </si>
  <si>
    <t>Гуреев Александр</t>
  </si>
  <si>
    <t>Игнатенко Анна</t>
  </si>
  <si>
    <t>Селимонка Татьяна</t>
  </si>
  <si>
    <t>приостановлен подбор до конца апреля</t>
  </si>
  <si>
    <t>Алмаз</t>
  </si>
  <si>
    <t>Участок сборки</t>
  </si>
  <si>
    <t>Слесарь-сборщик</t>
  </si>
  <si>
    <t>Манченко Александр</t>
  </si>
  <si>
    <t>Наладчик линии автопая</t>
  </si>
  <si>
    <t>Савченко Иван</t>
  </si>
  <si>
    <t>Водитель автомобиля С</t>
  </si>
  <si>
    <t>Атаманов Евгений</t>
  </si>
  <si>
    <t>Минаков Владимир</t>
  </si>
  <si>
    <t>Пономарева Ольга</t>
  </si>
  <si>
    <t>Колганова Александр</t>
  </si>
  <si>
    <t>Жалыбин Максим</t>
  </si>
  <si>
    <t>Офис Метрогазсервис</t>
  </si>
  <si>
    <t>Сафарян Валерий</t>
  </si>
  <si>
    <t>вакансия снята заказчиком</t>
  </si>
  <si>
    <t>ЦФО Операционный директор (2 ур)</t>
  </si>
  <si>
    <t>Липкина Анна</t>
  </si>
  <si>
    <t>Трубачева Елена</t>
  </si>
  <si>
    <t>Фисенко Александр</t>
  </si>
  <si>
    <t>СЦ Азов</t>
  </si>
  <si>
    <t>Григорьева Яна</t>
  </si>
  <si>
    <t>ЦФО Технический директор</t>
  </si>
  <si>
    <t>Служба качества разработок</t>
  </si>
  <si>
    <t>Тестировщик QA</t>
  </si>
  <si>
    <t>Рамазанов Роман</t>
  </si>
  <si>
    <t>ЦФО Директор НПО</t>
  </si>
  <si>
    <t>Начальник тендерного офиса</t>
  </si>
  <si>
    <t>Журба Елена</t>
  </si>
  <si>
    <t>Бабалыхян Арсен</t>
  </si>
  <si>
    <t>НПО Алмаз</t>
  </si>
  <si>
    <t>Дорошенко Игорь</t>
  </si>
  <si>
    <t>Акинина Татьяна</t>
  </si>
  <si>
    <t>Оператор станков ЧПУ</t>
  </si>
  <si>
    <t>Вагин Данил</t>
  </si>
  <si>
    <t>Зам. главного конструктора по проектной деятельности</t>
  </si>
  <si>
    <t>Шишкалова Екатерина</t>
  </si>
  <si>
    <t>Проневич Екатерина</t>
  </si>
  <si>
    <t>Бордоносенко Ольга</t>
  </si>
  <si>
    <t>Бечина Елена</t>
  </si>
  <si>
    <t>Самсоненко  Александр</t>
  </si>
  <si>
    <t>Брагидир участка сборки</t>
  </si>
  <si>
    <t xml:space="preserve">Заявка снята заказчиком </t>
  </si>
  <si>
    <t xml:space="preserve">ЦФО Производство №1 (1 ур)  </t>
  </si>
  <si>
    <t>Фисенко Полина</t>
  </si>
  <si>
    <t>Корнеев Илья</t>
  </si>
  <si>
    <t>Ван-Сен-Дю Мария</t>
  </si>
  <si>
    <t>Ващенко Вячеслав</t>
  </si>
  <si>
    <t>Гусанов Никита</t>
  </si>
  <si>
    <t xml:space="preserve">Кусраева Светлана </t>
  </si>
  <si>
    <t>Регулировщик РЭА</t>
  </si>
  <si>
    <t>Шевченко Дмитрий</t>
  </si>
  <si>
    <t xml:space="preserve">Свистов Максим </t>
  </si>
  <si>
    <t xml:space="preserve"> в больнице </t>
  </si>
  <si>
    <t>Гладуненко Павел</t>
  </si>
  <si>
    <t xml:space="preserve">Кузмичев Вячеслав </t>
  </si>
  <si>
    <t>B</t>
  </si>
  <si>
    <t>Конструкторское бюро </t>
  </si>
  <si>
    <t>Чехлатова Ксения</t>
  </si>
  <si>
    <t>Количество по полю Месяц закрытия факт</t>
  </si>
  <si>
    <t>ЦФО Руководство</t>
  </si>
  <si>
    <t>Фесенко Александр</t>
  </si>
  <si>
    <t>Руководитель проектного офиса</t>
  </si>
  <si>
    <t>Шишкалова</t>
  </si>
  <si>
    <t>Шацков Алексей???</t>
  </si>
  <si>
    <t xml:space="preserve">Кусраева </t>
  </si>
  <si>
    <t>Свистов Максим</t>
  </si>
  <si>
    <t>Вакансии по сроку закрытия</t>
  </si>
  <si>
    <t>Данные</t>
  </si>
  <si>
    <t>Количество по полю Вакансия</t>
  </si>
  <si>
    <t>Сумма по полю Срок закрытия плановый</t>
  </si>
  <si>
    <t>Сумма по полю Количество дней в работе</t>
  </si>
  <si>
    <t>Сумма по полю Отклонения от срока</t>
  </si>
  <si>
    <t>Вакансии по плану закрытия</t>
  </si>
  <si>
    <t>Директор по качеству</t>
  </si>
  <si>
    <t>Разработчик электронных курсов</t>
  </si>
  <si>
    <t>Инженер-разработчик РЭА</t>
  </si>
  <si>
    <t>Заместитель ГК по метрологии</t>
  </si>
  <si>
    <t>Заместитель ГК по изделию</t>
  </si>
  <si>
    <t>Помощник ГКИ</t>
  </si>
  <si>
    <t>Заместитель ГК по проектной деятельности</t>
  </si>
  <si>
    <t>Сварщик СО2</t>
  </si>
  <si>
    <t>Инженер-технолог</t>
  </si>
  <si>
    <t>Слесарь МСР (дробеструйщик)</t>
  </si>
  <si>
    <t>Специалист по развитию новых продуктов</t>
  </si>
  <si>
    <t>ЦФО Заготовительный</t>
  </si>
  <si>
    <t>Инженер-верификатор</t>
  </si>
  <si>
    <t>Разработчик микроконтроллеров</t>
  </si>
  <si>
    <t>Специалист по компьютерному зрению</t>
  </si>
  <si>
    <t>Специалист по работе рекламациями</t>
  </si>
  <si>
    <t>Инженер-проектировщик АСУТП</t>
  </si>
</sst>
</file>

<file path=xl/styles.xml><?xml version="1.0" encoding="utf-8"?>
<styleSheet xmlns="http://schemas.openxmlformats.org/spreadsheetml/2006/main" xml:space="preserve">
  <numFmts count="7">
    <numFmt numFmtId="164" formatCode="_-* #,##0_р_._-;\-* #,##0_р_._-;_-* \-??_р_._-;_-@_-"/>
    <numFmt numFmtId="165" formatCode="0.0%"/>
    <numFmt numFmtId="166" formatCode="mmmm;@"/>
    <numFmt numFmtId="167" formatCode="0000000000"/>
    <numFmt numFmtId="168" formatCode="_-* #,##0.00_р_._-;\-* #,##0.00_р_._-;_-* \-??_р_._-;_-@_-"/>
    <numFmt numFmtId="169" formatCode="_-* #,##0\ _₽_-;\-* #,##0\ _₽_-;_-* &quot;-&quot;??\ _₽_-;_-@_-"/>
    <numFmt numFmtId="170" formatCode="0.000"/>
  </numFmts>
  <fonts count="3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20"/>
      <color rgb="FF00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single"/>
      <sz val="11"/>
      <color rgb="FF0000FF"/>
      <name val="Calibr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FF0000"/>
      <name val="Calibri"/>
    </font>
    <font>
      <b val="1"/>
      <i val="0"/>
      <strike val="0"/>
      <u val="singl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000000"/>
      <name val="Tahoma"/>
    </font>
    <font>
      <b val="1"/>
      <i val="0"/>
      <strike val="0"/>
      <u val="none"/>
      <sz val="8"/>
      <color rgb="FF000000"/>
      <name val="Tahoma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ahoma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333333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Arial"/>
    </font>
    <font>
      <b val="0"/>
      <i val="0"/>
      <strike val="1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2"/>
      <color rgb="FF000000"/>
      <name val="Times"/>
    </font>
    <font>
      <b val="1"/>
      <i val="0"/>
      <strike val="0"/>
      <u val="none"/>
      <sz val="11"/>
      <color rgb="FF000000"/>
      <name val="Tahoma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0000"/>
      <name val="Calibri"/>
    </font>
  </fonts>
  <fills count="3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8080"/>
        <bgColor rgb="FFFF99CC"/>
      </patternFill>
    </fill>
    <fill>
      <patternFill patternType="solid">
        <fgColor rgb="FFCCFFCC"/>
        <bgColor rgb="FFCCFFFF"/>
      </patternFill>
    </fill>
    <fill>
      <patternFill patternType="solid">
        <fgColor rgb="FF99CC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FF9900"/>
        <bgColor rgb="FFFFCC00"/>
      </patternFill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C0504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C0C0C0"/>
        <bgColor rgb="FF808080"/>
      </patternFill>
    </fill>
    <fill>
      <patternFill patternType="solid">
        <fgColor rgb="FFF4ECC5"/>
        <bgColor rgb="FFFFFF99"/>
      </patternFill>
    </fill>
    <fill>
      <patternFill patternType="solid">
        <fgColor rgb="FFFFFFFF"/>
        <bgColor rgb="FFF4ECC5"/>
      </patternFill>
    </fill>
    <fill>
      <patternFill patternType="solid">
        <fgColor rgb="FFFFCC99"/>
        <bgColor rgb="FF000000"/>
      </patternFill>
    </fill>
    <fill>
      <patternFill patternType="solid">
        <fgColor rgb="FFFFCC99"/>
        <bgColor rgb="FFF4ECC5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CCCCFF"/>
      </patternFill>
    </fill>
  </fills>
  <borders count="4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double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</border>
    <border>
      <right style="thin">
        <color rgb="FFCCC085"/>
      </right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</border>
    <border>
      <left style="thin">
        <color rgb="FFABABAB"/>
      </left>
      <top style="thin">
        <color rgb="FFABABAB"/>
      </top>
    </border>
    <border>
      <left style="thin">
        <color rgb="FFFFFFFF"/>
      </left>
      <top style="thin">
        <color rgb="FFABABAB"/>
      </top>
    </border>
    <border>
      <left style="thin">
        <color rgb="FFFFFFFF"/>
      </left>
      <right style="thin">
        <color rgb="FFABABAB"/>
      </right>
      <top style="thin">
        <color rgb="FFABABAB"/>
      </top>
    </border>
    <border>
      <left style="thin">
        <color rgb="FFABABAB"/>
      </left>
      <top style="thin">
        <color rgb="FFABABAB"/>
      </top>
      <bottom style="thin">
        <color rgb="FFABABAB"/>
      </bottom>
    </border>
    <border>
      <top style="thin">
        <color rgb="FFABABAB"/>
      </top>
      <bottom style="thin">
        <color rgb="FFABABAB"/>
      </bottom>
    </border>
    <border>
      <right style="thin">
        <color rgb="FFABABAB"/>
      </right>
      <top style="thin">
        <color rgb="FFABABAB"/>
      </top>
      <bottom style="thin">
        <color rgb="FFABABAB"/>
      </bottom>
    </border>
    <border>
      <top style="thin">
        <color rgb="FFABABAB"/>
      </top>
    </border>
    <border>
      <right style="thin">
        <color rgb="FFABABAB"/>
      </right>
      <top style="thin">
        <color rgb="FFABABAB"/>
      </top>
    </border>
    <border>
      <left style="thin">
        <color rgb="FFABABAB"/>
      </left>
      <right style="thin">
        <color rgb="FFABABAB"/>
      </right>
      <top style="thin">
        <color rgb="FFABABAB"/>
      </top>
    </border>
    <border>
      <left style="thin">
        <color rgb="FFABABAB"/>
      </left>
    </border>
    <border>
      <right style="thin">
        <color rgb="FFABABAB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ABABAB"/>
      </top>
      <bottom style="thin">
        <color rgb="FFABABAB"/>
      </bottom>
    </border>
    <border>
      <left style="thin">
        <color rgb="FFABABAB"/>
      </left>
      <top style="thin">
        <color rgb="FFFFFFFF"/>
      </top>
    </border>
    <border>
      <right style="thin">
        <color rgb="FF000000"/>
      </right>
    </border>
    <border>
      <left style="thin">
        <color rgb="FFABABAB"/>
      </left>
      <right style="thin">
        <color rgb="FFABABAB"/>
      </right>
    </border>
    <border>
      <left style="thin">
        <color rgb="FF000000"/>
      </left>
      <top style="thin">
        <color rgb="FF000000"/>
      </top>
    </border>
    <border>
      <left style="thin">
        <color rgb="FFCCC085"/>
      </left>
      <right style="thin">
        <color rgb="FFCCC085"/>
      </right>
      <top style="thin">
        <color rgb="FFCCC085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ABABAB"/>
      </top>
    </border>
    <border>
      <left style="thin">
        <color rgb="FF000000"/>
      </left>
      <right style="thin">
        <color rgb="FF000000"/>
      </right>
      <top style="thin">
        <color rgb="FFABABAB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ABABAB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ABABAB"/>
      </top>
      <bottom style="thin">
        <color rgb="FF000000"/>
      </bottom>
    </border>
  </borders>
  <cellStyleXfs count="1">
    <xf numFmtId="0" fontId="0" fillId="0" borderId="0"/>
  </cellStyleXfs>
  <cellXfs count="774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general" vertical="top" textRotation="0" wrapText="true" shrinkToFit="false"/>
      <protection hidden="false"/>
    </xf>
    <xf xfId="0" fontId="1" numFmtId="0" fillId="0" borderId="1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top" textRotation="0" wrapText="true" shrinkToFit="false"/>
      <protection hidden="false"/>
    </xf>
    <xf xfId="0" fontId="1" numFmtId="0" fillId="0" borderId="0" applyFont="1" applyNumberFormat="0" applyFill="0" applyBorder="0" applyAlignment="1" applyProtection="true">
      <alignment horizontal="general" vertical="top" textRotation="0" wrapText="true" shrinkToFit="false"/>
      <protection hidden="false"/>
    </xf>
    <xf xfId="0" fontId="3" numFmtId="0" fillId="2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5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5"/>
      <protection hidden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6" numFmtId="0" fillId="0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0" fillId="3" borderId="2" applyFont="1" applyNumberFormat="0" applyFill="1" applyBorder="1" applyAlignment="1" applyProtection="true">
      <alignment horizontal="left" vertical="center" textRotation="0" wrapText="true" shrinkToFit="false"/>
      <protection hidden="false"/>
    </xf>
    <xf xfId="0" fontId="1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7" numFmtId="14" fillId="3" borderId="2" applyFont="1" applyNumberFormat="1" applyFill="1" applyBorder="1" applyAlignment="1" applyProtection="true">
      <alignment horizontal="left" vertical="center" textRotation="0" wrapText="true" shrinkToFit="false"/>
      <protection hidden="false"/>
    </xf>
    <xf xfId="0" fontId="8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3" borderId="2" applyFont="1" applyNumberFormat="0" applyFill="1" applyBorder="1" applyAlignment="1" applyProtection="true">
      <alignment horizontal="left" vertical="center" textRotation="0" wrapText="true" shrinkToFit="false"/>
      <protection hidden="false"/>
    </xf>
    <xf xfId="0" fontId="10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7" numFmtId="0" fillId="3" borderId="1" applyFont="1" applyNumberFormat="0" applyFill="1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8" numFmtId="0" fillId="0" borderId="1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11" numFmtId="0" fillId="4" borderId="0" applyFont="1" applyNumberFormat="0" applyFill="1" applyBorder="0" applyAlignment="0" applyProtection="true">
      <alignment horizontal="general" vertical="bottom" textRotation="0" wrapText="false" shrinkToFit="false"/>
      <protection hidden="false"/>
    </xf>
    <xf xfId="0" fontId="1" numFmtId="0" fillId="5" borderId="0" applyFont="1" applyNumberFormat="0" applyFill="1" applyBorder="0" applyAlignment="1" applyProtection="true">
      <alignment horizontal="center" vertical="center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0" numFmtId="0" fillId="6" borderId="0" applyFont="1" applyNumberFormat="0" applyFill="1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general" vertical="top" textRotation="0" wrapText="true" shrinkToFit="false"/>
      <protection hidden="false"/>
    </xf>
    <xf xfId="0" fontId="3" numFmtId="0" fillId="7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0" numFmtId="0" fillId="8" borderId="1" applyFont="0" applyNumberFormat="0" applyFill="1" applyBorder="1" applyAlignment="1" applyProtection="true">
      <alignment horizontal="general" vertical="center" textRotation="0" wrapText="tru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9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9" borderId="0" applyFont="0" applyNumberFormat="0" applyFill="1" applyBorder="0" applyAlignment="1" applyProtection="true">
      <alignment horizontal="center" vertical="center" textRotation="0" wrapText="true" shrinkToFit="false"/>
      <protection hidden="false"/>
    </xf>
    <xf xfId="0" fontId="13" numFmtId="0" fillId="0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hidden="false"/>
    </xf>
    <xf xfId="0" fontId="13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4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5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0" numFmtId="0" fillId="9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0" numFmtId="0" fillId="10" borderId="3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10" borderId="0" applyFont="0" applyNumberFormat="0" applyFill="1" applyBorder="0" applyAlignment="1" applyProtection="true">
      <alignment horizontal="general" vertical="center" textRotation="0" wrapText="false" shrinkToFit="false"/>
      <protection hidden="false"/>
    </xf>
    <xf xfId="0" fontId="14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6" numFmtId="0" fillId="0" borderId="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3" numFmtId="10" fillId="11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3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12" numFmtId="165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17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13" numFmtId="9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13" numFmtId="10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12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18" numFmtId="0" fillId="0" borderId="0" applyFont="1" applyNumberFormat="0" applyFill="0" applyBorder="0" applyAlignment="1" applyProtection="true">
      <alignment horizontal="general" vertical="bottom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18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165" fillId="0" borderId="1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19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0" numFmtId="0" fillId="0" borderId="1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2" fillId="0" borderId="1" applyFont="0" applyNumberFormat="1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0" numFmtId="0" fillId="12" borderId="0" applyFont="0" applyNumberFormat="0" applyFill="1" applyBorder="0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bottom" textRotation="0" wrapText="true" shrinkToFit="false"/>
      <protection hidden="false"/>
    </xf>
    <xf xfId="0" fontId="18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2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19" numFmtId="0" fillId="13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9" numFmtId="166" fillId="13" borderId="1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19" numFmtId="2" fillId="13" borderId="1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bottom" textRotation="0" wrapText="true" shrinkToFit="false"/>
      <protection hidden="false"/>
    </xf>
    <xf xfId="0" fontId="16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6" numFmtId="0" fillId="9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0" numFmtId="0" fillId="7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9" numFmtId="0" fillId="0" borderId="5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14" borderId="2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7" numFmtId="0" fillId="14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0" numFmtId="0" fillId="0" borderId="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5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5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20" numFmtId="1" fillId="0" borderId="4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3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" fillId="0" borderId="4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3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3" fillId="0" borderId="4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" fillId="0" borderId="6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" fillId="0" borderId="7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19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8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1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2" numFmtId="0" fillId="15" borderId="1" applyFont="1" applyNumberFormat="0" applyFill="1" applyBorder="1" applyAlignment="1" applyProtection="true">
      <alignment horizontal="left" vertical="top" textRotation="0" wrapText="false" shrinkToFit="false"/>
      <protection hidden="false"/>
    </xf>
    <xf xfId="0" fontId="23" numFmtId="0" fillId="16" borderId="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23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3" numFmtId="0" fillId="0" borderId="1" applyFont="1" applyNumberFormat="0" applyFill="0" applyBorder="1" applyAlignment="1" applyProtection="true">
      <alignment horizontal="general" vertical="top" textRotation="0" wrapText="false" shrinkToFit="false"/>
      <protection hidden="false"/>
    </xf>
    <xf xfId="0" fontId="0" numFmtId="0" fillId="0" borderId="8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2" numFmtId="0" fillId="15" borderId="1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22" numFmtId="0" fillId="16" borderId="1" applyFont="1" applyNumberFormat="0" applyFill="1" applyBorder="1" applyAlignment="1" applyProtection="true">
      <alignment horizontal="left" vertical="top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17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0" numFmtId="0" fillId="18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0" numFmtId="0" fillId="19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0" numFmtId="0" fillId="20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7" numFmtId="49" fillId="0" borderId="1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7" numFmtId="49" fillId="0" borderId="1" applyFont="1" applyNumberFormat="1" applyFill="0" applyBorder="1" applyAlignment="1" applyProtection="true">
      <alignment horizontal="center" vertical="center" textRotation="0" wrapText="true" shrinkToFit="false"/>
      <protection locked="false" hidden="false"/>
    </xf>
    <xf xfId="0" fontId="7" numFmtId="14" fillId="0" borderId="1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7" numFmtId="0" fillId="0" borderId="0" applyFont="1" applyNumberFormat="0" applyFill="0" applyBorder="0" applyAlignment="1" applyProtection="true">
      <alignment horizontal="general" vertical="bottom" textRotation="0" wrapText="true" shrinkToFit="false"/>
      <protection hidden="false"/>
    </xf>
    <xf xfId="0" fontId="19" numFmtId="0" fillId="0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right" vertical="bottom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bottom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1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right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0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8" numFmtId="0" fillId="0" borderId="0" applyFont="1" applyNumberFormat="0" applyFill="0" applyBorder="0" applyAlignment="1" applyProtection="true">
      <alignment horizontal="general" vertical="bottom" textRotation="0" wrapText="true" shrinkToFit="false"/>
      <protection hidden="false"/>
    </xf>
    <xf xfId="0" fontId="18" numFmtId="0" fillId="16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24" numFmtId="0" fillId="0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22" numFmtId="0" fillId="15" borderId="0" applyFont="1" applyNumberFormat="0" applyFill="1" applyBorder="0" applyAlignment="1" applyProtection="true">
      <alignment horizontal="left" vertical="top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24" numFmtId="0" fillId="0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24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4" numFmtId="0" fillId="21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5" borderId="1" applyFont="1" applyNumberFormat="0" applyFill="1" applyBorder="1" applyAlignment="1" applyProtection="true">
      <alignment horizontal="general" vertical="bottom" textRotation="0" wrapText="true" shrinkToFit="false"/>
      <protection hidden="false"/>
    </xf>
    <xf xfId="0" fontId="24" numFmtId="0" fillId="22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9" numFmtId="0" fillId="13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24" numFmtId="0" fillId="22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9" numFmtId="0" fillId="0" borderId="5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19" numFmtId="0" fillId="13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23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22" numFmtId="0" fillId="16" borderId="1" applyFont="1" applyNumberFormat="0" applyFill="1" applyBorder="1" applyAlignment="1" applyProtection="true">
      <alignment horizontal="left" vertical="top" textRotation="0" wrapText="false" shrinkToFit="false"/>
      <protection hidden="false"/>
    </xf>
    <xf xfId="0" fontId="23" numFmtId="0" fillId="0" borderId="1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25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5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5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5" numFmtId="14" fillId="0" borderId="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25" numFmtId="14" fillId="0" borderId="1" applyFont="1" applyNumberFormat="1" applyFill="0" applyBorder="1" applyAlignment="1" applyProtection="true">
      <alignment horizontal="left" vertical="center" textRotation="0" wrapText="false" shrinkToFit="false"/>
      <protection hidden="false"/>
    </xf>
    <xf xfId="0" fontId="25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25" numFmtId="14" fillId="12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25" numFmtId="167" fillId="0" borderId="9" applyFont="1" applyNumberFormat="1" applyFill="0" applyBorder="1" applyAlignment="1" applyProtection="true">
      <alignment horizontal="left" vertical="center" textRotation="0" wrapText="false" shrinkToFit="false"/>
      <protection hidden="false"/>
    </xf>
    <xf xfId="0" fontId="25" numFmtId="0" fillId="0" borderId="1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5" numFmtId="167" fillId="0" borderId="11" applyFont="1" applyNumberFormat="1" applyFill="0" applyBorder="1" applyAlignment="1" applyProtection="true">
      <alignment horizontal="left" vertical="center" textRotation="0" wrapText="false" shrinkToFit="false"/>
      <protection hidden="false"/>
    </xf>
    <xf xfId="0" fontId="25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5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5" numFmtId="14" fillId="0" borderId="12" applyFont="1" applyNumberFormat="1" applyFill="0" applyBorder="1" applyAlignment="1" applyProtection="true">
      <alignment horizontal="left" vertical="center" textRotation="0" wrapText="false" shrinkToFit="false"/>
      <protection hidden="false"/>
    </xf>
    <xf xfId="0" fontId="25" numFmtId="0" fillId="0" borderId="1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6" numFmtId="0" fillId="0" borderId="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3" numFmtId="10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20" numFmtId="10" fillId="0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hidden="false"/>
    </xf>
    <xf xfId="0" fontId="9" numFmtId="0" fillId="0" borderId="14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16" borderId="14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0" numFmtId="165" fillId="0" borderId="1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center" textRotation="0" wrapText="false" shrinkToFit="false"/>
      <protection hidden="false"/>
    </xf>
    <xf xfId="0" fontId="0" numFmtId="14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22" numFmtId="14" fillId="16" borderId="1" applyFont="1" applyNumberFormat="1" applyFill="1" applyBorder="1" applyAlignment="1" applyProtection="true">
      <alignment horizontal="left" vertical="top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12" borderId="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24" numFmtId="0" fillId="22" borderId="1" applyFont="1" applyNumberFormat="0" applyFill="1" applyBorder="1" applyAlignment="1" applyProtection="true">
      <alignment horizontal="general" vertical="center" textRotation="0" wrapText="tru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6" numFmtId="14" fillId="13" borderId="1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7" numFmtId="14" fillId="0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9" numFmtId="0" fillId="13" borderId="1" applyFont="1" applyNumberFormat="0" applyFill="1" applyBorder="1" applyAlignment="1" applyProtection="true">
      <alignment horizontal="general" vertical="center" textRotation="0" wrapText="true" shrinkToFit="false"/>
      <protection hidden="false"/>
    </xf>
    <xf xfId="0" fontId="9" numFmtId="14" fillId="0" borderId="1" applyFont="1" applyNumberFormat="1" applyFill="0" applyBorder="1" applyAlignment="1" applyProtection="true">
      <alignment horizontal="left" vertical="center" textRotation="0" wrapText="true" shrinkToFit="false"/>
      <protection hidden="false"/>
    </xf>
    <xf xfId="0" fontId="27" numFmtId="0" fillId="13" borderId="2" applyFont="1" applyNumberFormat="0" applyFill="1" applyBorder="1" applyAlignment="1" applyProtection="true">
      <alignment horizontal="left" vertical="center" textRotation="0" wrapText="true" shrinkToFit="false"/>
      <protection hidden="false"/>
    </xf>
    <xf xfId="0" fontId="7" numFmtId="14" fillId="0" borderId="1" applyFont="1" applyNumberFormat="1" applyFill="0" applyBorder="1" applyAlignment="1" applyProtection="true">
      <alignment horizontal="left" vertical="center" textRotation="0" wrapText="true" shrinkToFit="false"/>
      <protection hidden="false"/>
    </xf>
    <xf xfId="0" fontId="19" numFmtId="14" fillId="13" borderId="1" applyFont="1" applyNumberFormat="1" applyFill="1" applyBorder="1" applyAlignment="1" applyProtection="true">
      <alignment horizontal="left" vertical="center" textRotation="0" wrapText="true" shrinkToFit="false"/>
      <protection hidden="false"/>
    </xf>
    <xf xfId="0" fontId="0" numFmtId="14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7" numFmtId="14" fillId="0" borderId="1" applyFont="1" applyNumberFormat="1" applyFill="0" applyBorder="1" applyAlignment="1" applyProtection="true">
      <alignment horizontal="left" vertical="center" textRotation="0" wrapText="true" shrinkToFit="false"/>
      <protection hidden="false"/>
    </xf>
    <xf xfId="0" fontId="19" numFmtId="0" fillId="13" borderId="1" applyFont="1" applyNumberFormat="0" applyFill="1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19" numFmtId="0" fillId="13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7" numFmtId="49" fillId="0" borderId="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9" numFmtId="0" fillId="13" borderId="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3" numFmtId="10" fillId="11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7" numFmtId="164" fillId="0" borderId="0" applyFont="1" applyNumberFormat="1" applyFill="0" applyBorder="0" applyAlignment="1" applyProtection="true">
      <alignment horizontal="right" vertical="bottom" textRotation="0" wrapText="false" shrinkToFit="false"/>
      <protection hidden="false"/>
    </xf>
    <xf xfId="0" fontId="25" numFmtId="14" fillId="12" borderId="1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bottom" textRotation="0" wrapText="true" shrinkToFit="false"/>
      <protection hidden="false"/>
    </xf>
    <xf xfId="0" fontId="0" numFmtId="0" fillId="0" borderId="1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14" fillId="0" borderId="1" applyFont="0" applyNumberFormat="1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0" borderId="8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8" numFmtId="0" fillId="0" borderId="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8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28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8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29" numFmtId="0" fillId="23" borderId="14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29" numFmtId="0" fillId="23" borderId="15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9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0" borderId="14" applyFont="0" applyNumberFormat="0" applyFill="0" applyBorder="1" applyAlignment="1" applyProtection="true">
      <alignment horizontal="left" vertical="top" textRotation="0" wrapText="false" shrinkToFit="false"/>
      <protection hidden="false"/>
    </xf>
    <xf xfId="0" fontId="0" numFmtId="0" fillId="24" borderId="14" applyFont="0" applyNumberFormat="0" applyFill="1" applyBorder="1" applyAlignment="1" applyProtection="true">
      <alignment horizontal="left" vertical="top" textRotation="0" wrapText="false" shrinkToFit="false"/>
      <protection hidden="false"/>
    </xf>
    <xf xfId="0" fontId="0" numFmtId="0" fillId="0" borderId="1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4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25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0" numFmtId="0" fillId="26" borderId="14" applyFont="0" applyNumberFormat="0" applyFill="1" applyBorder="1" applyAlignment="1" applyProtection="true">
      <alignment horizontal="left" vertical="top" textRotation="0" wrapText="false" shrinkToFit="false"/>
      <protection hidden="false"/>
    </xf>
    <xf xfId="0" fontId="0" numFmtId="0" fillId="25" borderId="0" applyFont="0" applyNumberFormat="0" applyFill="1" applyBorder="0" applyAlignment="1" applyProtection="true">
      <alignment horizontal="center" vertical="center" textRotation="0" wrapText="false" shrinkToFit="false"/>
      <protection hidden="false"/>
    </xf>
    <xf xfId="0" fontId="0" numFmtId="0" fillId="25" borderId="0" applyFont="0" applyNumberFormat="0" applyFill="1" applyBorder="0" applyAlignment="1" applyProtection="true">
      <alignment horizontal="center" vertical="center" textRotation="0" wrapText="false" shrinkToFit="false"/>
      <protection hidden="false"/>
    </xf>
    <xf xfId="0" fontId="0" numFmtId="14" fillId="25" borderId="0" applyFont="0" applyNumberFormat="1" applyFill="1" applyBorder="0" applyAlignment="1" applyProtection="true">
      <alignment horizontal="center" vertical="center" textRotation="0" wrapText="false" shrinkToFit="false"/>
      <protection hidden="false"/>
    </xf>
    <xf xfId="0" fontId="0" numFmtId="14" fillId="0" borderId="1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14" fillId="25" borderId="14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14" fillId="26" borderId="14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14" fillId="24" borderId="14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27" borderId="0" applyFont="0" applyNumberFormat="0" applyFill="1" applyBorder="0" applyAlignment="1" applyProtection="true">
      <alignment horizontal="left" vertical="center" textRotation="0" wrapText="false" shrinkToFit="false"/>
      <protection hidden="false"/>
    </xf>
    <xf xfId="0" fontId="0" numFmtId="0" fillId="0" borderId="16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7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8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9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9" numFmtId="0" fillId="0" borderId="20" applyFont="1" applyNumberFormat="0" applyFill="0" applyBorder="1" applyAlignment="1" applyProtection="true">
      <alignment horizontal="right" vertical="bottom" textRotation="0" wrapText="false" shrinkToFit="false"/>
      <protection hidden="false"/>
    </xf>
    <xf xfId="0" fontId="19" numFmtId="0" fillId="0" borderId="2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2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22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7" applyFont="0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23" applyFont="0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24" applyFont="0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17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25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7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26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6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6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16" borderId="1" applyFont="0" applyNumberFormat="0" applyFill="1" applyBorder="1" applyAlignment="1" applyProtection="true">
      <alignment horizontal="left" vertical="center" textRotation="0" wrapText="false" shrinkToFit="false"/>
      <protection hidden="false"/>
    </xf>
    <xf xfId="0" fontId="0" numFmtId="0" fillId="0" borderId="17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23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24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26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26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27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25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6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25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165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0" numFmtId="14" fillId="0" borderId="1" applyFont="0" applyNumberFormat="1" applyFill="0" applyBorder="1" applyAlignment="1" applyProtection="true">
      <alignment horizontal="left" vertical="center" textRotation="0" wrapText="false" shrinkToFit="false"/>
      <protection hidden="false"/>
    </xf>
    <xf xfId="0" fontId="0" numFmtId="14" fillId="0" borderId="1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0" numFmtId="14" fillId="0" borderId="1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1" fillId="0" borderId="1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" fillId="0" borderId="28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center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4" fillId="0" borderId="29" applyFont="0" applyNumberFormat="1" applyFill="0" applyBorder="1" applyAlignment="1" applyProtection="true">
      <alignment horizontal="left" vertical="center" textRotation="0" wrapText="false" shrinkToFit="false"/>
      <protection hidden="false"/>
    </xf>
    <xf xfId="0" fontId="19" numFmtId="0" fillId="0" borderId="30" applyFont="1" applyNumberFormat="0" applyFill="0" applyBorder="1" applyAlignment="1" applyProtection="true">
      <alignment horizontal="right" vertical="bottom" textRotation="0" wrapText="false" shrinkToFit="false"/>
      <protection hidden="false"/>
    </xf>
    <xf xfId="0" fontId="0" numFmtId="0" fillId="0" borderId="3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19" numFmtId="0" fillId="13" borderId="1" applyFont="1" applyNumberFormat="0" applyFill="1" applyBorder="1" applyAlignment="1" applyProtection="true">
      <alignment horizontal="left" vertical="center" textRotation="0" wrapText="true" shrinkToFit="false"/>
      <protection hidden="false"/>
    </xf>
    <xf xfId="0" fontId="12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19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4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14" fillId="0" borderId="1" applyFont="0" applyNumberFormat="1" applyFill="0" applyBorder="1" applyAlignment="1" applyProtection="true">
      <alignment horizontal="left" vertical="bottom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24" numFmtId="0" fillId="22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0" numFmtId="2" fillId="0" borderId="0" applyFont="0" applyNumberFormat="1" applyFill="0" applyBorder="0" applyAlignment="1" applyProtection="true">
      <alignment horizontal="left" vertical="center" textRotation="0" wrapText="false" shrinkToFit="false"/>
      <protection hidden="false"/>
    </xf>
    <xf xfId="0" fontId="0" numFmtId="2" fillId="0" borderId="1" applyFont="0" applyNumberFormat="1" applyFill="0" applyBorder="1" applyAlignment="1" applyProtection="true">
      <alignment horizontal="left" vertical="center" textRotation="0" wrapText="false" shrinkToFit="false"/>
      <protection hidden="false"/>
    </xf>
    <xf xfId="0" fontId="0" numFmtId="0" fillId="16" borderId="1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2" fillId="0" borderId="1" applyFont="0" applyNumberFormat="1" applyFill="0" applyBorder="1" applyAlignment="1" applyProtection="true">
      <alignment horizontal="left" vertical="center" textRotation="0" wrapText="false" shrinkToFit="false"/>
      <protection hidden="false"/>
    </xf>
    <xf xfId="0" fontId="0" numFmtId="1" fillId="16" borderId="1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16" borderId="1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general" vertical="top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center" textRotation="0" wrapText="false" shrinkToFit="false"/>
      <protection hidden="false"/>
    </xf>
    <xf xfId="0" fontId="30" numFmtId="167" fillId="12" borderId="1" applyFont="1" applyNumberFormat="1" applyFill="1" applyBorder="1" applyAlignment="1" applyProtection="true">
      <alignment horizontal="left" vertical="top" textRotation="0" wrapText="false" shrinkToFit="false"/>
      <protection hidden="false"/>
    </xf>
    <xf xfId="0" fontId="30" numFmtId="0" fillId="12" borderId="1" applyFont="1" applyNumberFormat="0" applyFill="1" applyBorder="1" applyAlignment="1" applyProtection="true">
      <alignment horizontal="left" vertical="top" textRotation="0" wrapText="false" shrinkToFit="false"/>
      <protection hidden="false"/>
    </xf>
    <xf xfId="0" fontId="30" numFmtId="0" fillId="16" borderId="1" applyFont="1" applyNumberFormat="0" applyFill="1" applyBorder="1" applyAlignment="1" applyProtection="true">
      <alignment horizontal="left" vertical="top" textRotation="0" wrapText="false" shrinkToFit="false"/>
      <protection hidden="false"/>
    </xf>
    <xf xfId="0" fontId="30" numFmtId="0" fillId="12" borderId="1" applyFont="1" applyNumberFormat="0" applyFill="1" applyBorder="1" applyAlignment="1" applyProtection="true">
      <alignment horizontal="left" vertical="top" textRotation="0" wrapText="false" shrinkToFit="false"/>
      <protection hidden="false"/>
    </xf>
    <xf xfId="0" fontId="1" numFmtId="0" fillId="12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18" numFmtId="14" fillId="12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8" numFmtId="14" fillId="12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8" numFmtId="0" fillId="12" borderId="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0" numFmtId="0" fillId="12" borderId="1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0" numFmtId="14" fillId="12" borderId="1" applyFont="0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1" numFmtId="0" fillId="16" borderId="1" applyFont="1" applyNumberFormat="0" applyFill="1" applyBorder="1" applyAlignment="1" applyProtection="true">
      <alignment horizontal="left" vertical="center" textRotation="0" wrapText="true" shrinkToFit="false"/>
      <protection hidden="false"/>
    </xf>
    <xf xfId="0" fontId="31" numFmtId="0" fillId="16" borderId="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31" numFmtId="0" fillId="16" borderId="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31" numFmtId="167" fillId="16" borderId="1" applyFont="1" applyNumberFormat="1" applyFill="1" applyBorder="1" applyAlignment="1" applyProtection="true">
      <alignment horizontal="left" vertical="center" textRotation="0" wrapText="false" shrinkToFit="false"/>
      <protection hidden="false"/>
    </xf>
    <xf xfId="0" fontId="31" numFmtId="0" fillId="16" borderId="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31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31" numFmtId="14" fillId="0" borderId="1" applyFont="1" applyNumberFormat="1" applyFill="0" applyBorder="1" applyAlignment="1" applyProtection="true">
      <alignment horizontal="left" vertical="bottom" textRotation="0" wrapText="false" shrinkToFit="false"/>
      <protection hidden="false"/>
    </xf>
    <xf xfId="0" fontId="31" numFmtId="0" fillId="0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16" borderId="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9" numFmtId="0" fillId="0" borderId="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0" numFmtId="167" fillId="28" borderId="1" applyFont="1" applyNumberFormat="1" applyFill="1" applyBorder="1" applyAlignment="1" applyProtection="true">
      <alignment horizontal="left" vertical="top" textRotation="0" wrapText="false" shrinkToFit="false"/>
      <protection hidden="false"/>
    </xf>
    <xf xfId="0" fontId="30" numFmtId="0" fillId="28" borderId="1" applyFont="1" applyNumberFormat="0" applyFill="1" applyBorder="1" applyAlignment="1" applyProtection="true">
      <alignment horizontal="left" vertical="top" textRotation="0" wrapText="false" shrinkToFit="false"/>
      <protection hidden="false"/>
    </xf>
    <xf xfId="0" fontId="30" numFmtId="0" fillId="29" borderId="1" applyFont="1" applyNumberFormat="0" applyFill="1" applyBorder="1" applyAlignment="1" applyProtection="true">
      <alignment horizontal="left" vertical="top" textRotation="0" wrapText="false" shrinkToFit="false"/>
      <protection hidden="false"/>
    </xf>
    <xf xfId="0" fontId="30" numFmtId="0" fillId="28" borderId="1" applyFont="1" applyNumberFormat="0" applyFill="1" applyBorder="1" applyAlignment="1" applyProtection="true">
      <alignment horizontal="left" vertical="top" textRotation="0" wrapText="false" shrinkToFit="false"/>
      <protection hidden="false"/>
    </xf>
    <xf xfId="0" fontId="1" numFmtId="0" fillId="28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1" numFmtId="0" fillId="29" borderId="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8" numFmtId="14" fillId="28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8" numFmtId="14" fillId="28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6" numFmtId="0" fillId="0" borderId="6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0" numFmtId="1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6" numFmtId="10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8" numFmtId="3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6" numFmtId="0" fillId="0" borderId="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6" numFmtId="10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6" numFmtId="164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10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8" numFmtId="3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6" numFmtId="10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6" numFmtId="0" fillId="0" borderId="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3" fillId="0" borderId="1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6" numFmtId="0" fillId="0" borderId="8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6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20" numFmtId="10" fillId="25" borderId="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25" borderId="1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0" numFmtId="165" fillId="25" borderId="1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9" fillId="25" borderId="1" applyFont="0" applyNumberFormat="1" applyFill="1" applyBorder="1" applyAlignment="1" applyProtection="true">
      <alignment horizontal="center" vertical="bottom" textRotation="0" wrapText="false" shrinkToFit="false"/>
      <protection hidden="false"/>
    </xf>
    <xf xfId="0" fontId="20" numFmtId="10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0" fillId="0" borderId="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0" numFmtId="1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0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64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10" fillId="0" borderId="1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9" fillId="0" borderId="1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0" numFmtId="1" fillId="0" borderId="2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0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1" fillId="0" borderId="2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0" fillId="0" borderId="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25" borderId="8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32" numFmtId="164" fillId="11" borderId="29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0" fillId="11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64" fillId="11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64" fillId="11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64" fillId="0" borderId="3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10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19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19" numFmtId="168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32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19" numFmtId="10" fillId="11" borderId="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9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9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5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19" numFmtId="0" fillId="25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19" numFmtId="165" fillId="25" borderId="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9" numFmtId="165" fillId="25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9" numFmtId="165" fillId="11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24" numFmtId="14" fillId="18" borderId="1" applyFont="1" applyNumberFormat="1" applyFill="1" applyBorder="1" applyAlignment="1" applyProtection="true">
      <alignment horizontal="left" vertical="center" textRotation="0" wrapText="true" shrinkToFit="false"/>
      <protection locked="false" hidden="false"/>
    </xf>
    <xf xfId="0" fontId="24" numFmtId="0" fillId="21" borderId="1" applyFont="1" applyNumberFormat="0" applyFill="1" applyBorder="1" applyAlignment="1" applyProtection="true">
      <alignment horizontal="left" vertical="center" textRotation="0" wrapText="true" shrinkToFit="false"/>
      <protection hidden="false"/>
    </xf>
    <xf xfId="0" fontId="24" numFmtId="49" fillId="0" borderId="1" applyFont="1" applyNumberFormat="1" applyFill="0" applyBorder="1" applyAlignment="1" applyProtection="true">
      <alignment horizontal="left" vertical="center" textRotation="0" wrapText="true" shrinkToFit="false"/>
      <protection hidden="false"/>
    </xf>
    <xf xfId="0" fontId="3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13" borderId="2" applyFont="1" applyNumberFormat="0" applyFill="1" applyBorder="1" applyAlignment="1" applyProtection="true">
      <alignment horizontal="left" vertical="center" textRotation="0" wrapText="true" shrinkToFit="false"/>
      <protection hidden="false"/>
    </xf>
    <xf xfId="0" fontId="19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center" textRotation="0" wrapText="false" shrinkToFit="false"/>
      <protection hidden="false"/>
    </xf>
    <xf xfId="0" fontId="0" numFmtId="14" fillId="0" borderId="0" applyFont="0" applyNumberFormat="1" applyFill="0" applyBorder="0" applyAlignment="1" applyProtection="true">
      <alignment horizontal="left" vertical="center" textRotation="0" wrapText="false" shrinkToFit="false"/>
      <protection hidden="false"/>
    </xf>
    <xf xfId="0" fontId="9" numFmtId="14" fillId="0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19" numFmtId="0" fillId="0" borderId="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hidden="false"/>
    </xf>
    <xf xfId="0" fontId="24" numFmtId="14" fillId="0" borderId="1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2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 hidden="false"/>
    </xf>
    <xf xfId="0" fontId="24" numFmtId="0" fillId="0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4" numFmtId="0" fillId="0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4" numFmtId="49" fillId="0" borderId="1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24" numFmtId="0" fillId="0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0" numFmtId="165" fillId="0" borderId="2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1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20" numFmtId="10" fillId="0" borderId="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164" fillId="0" borderId="1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20" numFmtId="10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3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9" numFmtId="9" fillId="25" borderId="2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20" numFmtId="3" fillId="0" borderId="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0" fillId="0" borderId="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64" fillId="0" borderId="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10" fillId="0" borderId="2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0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64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10" fillId="0" borderId="1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right" vertical="bottom" textRotation="0" wrapText="false" shrinkToFit="false"/>
      <protection hidden="false"/>
    </xf>
    <xf xfId="0" fontId="19" numFmtId="0" fillId="0" borderId="0" applyFont="1" applyNumberFormat="0" applyFill="0" applyBorder="0" applyAlignment="1" applyProtection="true">
      <alignment horizontal="general" vertical="bottom" textRotation="0" wrapText="true" shrinkToFit="false"/>
      <protection hidden="false"/>
    </xf>
    <xf xfId="0" fontId="0" numFmtId="0" fillId="0" borderId="17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20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20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25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33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6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165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165" fillId="0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9" fillId="0" borderId="0" applyFont="0" applyNumberFormat="1" applyFill="0" applyBorder="0" applyAlignment="1" applyProtection="true">
      <alignment horizontal="center" vertical="bottom" textRotation="0" wrapText="false" shrinkToFit="false"/>
      <protection hidden="false"/>
    </xf>
    <xf xfId="0" fontId="20" numFmtId="10" fillId="0" borderId="34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0" fillId="0" borderId="6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165" fillId="25" borderId="1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1" fillId="16" borderId="28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3" numFmtId="1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20" numFmtId="1" fillId="0" borderId="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0" fillId="0" borderId="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3" fillId="0" borderId="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9" fillId="25" borderId="1" applyFont="0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165" fillId="25" borderId="1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165" fillId="16" borderId="1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16" borderId="1" applyFont="0" applyNumberFormat="0" applyFill="1" applyBorder="1" applyAlignment="1" applyProtection="true">
      <alignment horizontal="right" vertical="bottom" textRotation="0" wrapText="false" shrinkToFit="false"/>
      <protection hidden="false"/>
    </xf>
    <xf xfId="0" fontId="0" numFmtId="9" fillId="16" borderId="1" applyFont="0" applyNumberFormat="1" applyFill="1" applyBorder="1" applyAlignment="1" applyProtection="true">
      <alignment horizontal="center" vertical="bottom" textRotation="0" wrapText="false" shrinkToFit="false"/>
      <protection hidden="false"/>
    </xf>
    <xf xfId="0" fontId="19" numFmtId="165" fillId="16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9" fillId="16" borderId="28" applyFont="0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0" fillId="16" borderId="1" applyFont="0" applyNumberFormat="0" applyFill="1" applyBorder="1" applyAlignment="1" applyProtection="true">
      <alignment horizontal="right" vertical="bottom" textRotation="0" wrapText="true" shrinkToFit="false"/>
      <protection hidden="false"/>
    </xf>
    <xf xfId="0" fontId="19" numFmtId="9" fillId="16" borderId="2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9" numFmtId="165" fillId="16" borderId="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16" borderId="1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0" numFmtId="165" fillId="16" borderId="2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165" fillId="16" borderId="1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165" fillId="16" borderId="2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9" fillId="16" borderId="34" applyFont="0" applyNumberFormat="1" applyFill="1" applyBorder="1" applyAlignment="1" applyProtection="true">
      <alignment horizontal="center" vertical="bottom" textRotation="0" wrapText="false" shrinkToFit="false"/>
      <protection hidden="false"/>
    </xf>
    <xf xfId="0" fontId="9" numFmtId="0" fillId="0" borderId="35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0" numFmtId="0" fillId="0" borderId="2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0" numFmtId="0" fillId="0" borderId="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9" fillId="16" borderId="28" applyFont="0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9" fillId="16" borderId="28" applyFont="0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9" fillId="16" borderId="36" applyFont="0" applyNumberFormat="1" applyFill="1" applyBorder="1" applyAlignment="1" applyProtection="true">
      <alignment horizontal="center" vertical="bottom" textRotation="0" wrapText="false" shrinkToFit="false"/>
      <protection hidden="false"/>
    </xf>
    <xf xfId="0" fontId="20" numFmtId="10" fillId="0" borderId="4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0" fillId="0" borderId="6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9" numFmtId="9" fillId="25" borderId="2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9" numFmtId="0" fillId="30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19" numFmtId="165" fillId="30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9" numFmtId="0" fillId="16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0" numFmtId="0" fillId="16" borderId="1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19" numFmtId="0" fillId="30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19" numFmtId="165" fillId="30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9" numFmtId="9" fillId="30" borderId="2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165" fillId="30" borderId="1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16" borderId="1" applyFont="0" applyNumberFormat="0" applyFill="1" applyBorder="1" applyAlignment="1" applyProtection="true">
      <alignment horizontal="general" vertical="center" textRotation="0" wrapText="false" shrinkToFit="false"/>
      <protection hidden="false"/>
    </xf>
    <xf xfId="0" fontId="0" numFmtId="165" fillId="30" borderId="1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0" borderId="2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0" numFmtId="164" fillId="0" borderId="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0" numFmtId="10" fillId="0" borderId="2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9" numFmtId="9" fillId="30" borderId="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9" numFmtId="9" fillId="16" borderId="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9" numFmtId="0" fillId="30" borderId="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9" numFmtId="0" fillId="16" borderId="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9" numFmtId="0" fillId="25" borderId="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0" numFmtId="0" fillId="16" borderId="1" applyFont="0" applyNumberFormat="0" applyFill="1" applyBorder="1" applyAlignment="1" applyProtection="true">
      <alignment horizontal="left" vertical="bottom" textRotation="0" wrapText="false" shrinkToFit="false"/>
      <protection hidden="false"/>
    </xf>
    <xf xfId="0" fontId="0" numFmtId="0" fillId="16" borderId="1" applyFont="0" applyNumberFormat="0" applyFill="1" applyBorder="1" applyAlignment="1" applyProtection="true">
      <alignment horizontal="left" vertical="bottom" textRotation="0" wrapText="true" shrinkToFit="false"/>
      <protection hidden="false"/>
    </xf>
    <xf xfId="0" fontId="19" numFmtId="0" fillId="25" borderId="1" applyFont="1" applyNumberFormat="0" applyFill="1" applyBorder="1" applyAlignment="1" applyProtection="true">
      <alignment horizontal="left" vertical="bottom" textRotation="0" wrapText="true" shrinkToFit="false"/>
      <protection hidden="false"/>
    </xf>
    <xf xfId="0" fontId="9" numFmtId="0" fillId="0" borderId="14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0" numFmtId="0" fillId="0" borderId="16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25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17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37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8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38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165" fillId="27" borderId="1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9" fillId="16" borderId="1" applyFont="0" applyNumberFormat="1" applyFill="1" applyBorder="1" applyAlignment="1" applyProtection="true">
      <alignment horizontal="center" vertical="bottom" textRotation="0" wrapText="false" shrinkToFit="false"/>
      <protection hidden="false"/>
    </xf>
    <xf xfId="0" fontId="19" numFmtId="9" fillId="25" borderId="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9" numFmtId="9" fillId="25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9" fillId="0" borderId="1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19" numFmtId="9" fillId="30" borderId="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20" numFmtId="1" fillId="27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0" numFmtId="9" fillId="25" borderId="1" applyFont="0" applyNumberFormat="1" applyFill="1" applyBorder="1" applyAlignment="1" applyProtection="true">
      <alignment horizontal="center" vertical="bottom" textRotation="0" wrapText="false" shrinkToFit="false"/>
      <protection hidden="false"/>
    </xf>
    <xf xfId="0" fontId="19" numFmtId="9" fillId="16" borderId="2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1" fillId="0" borderId="1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" fillId="0" borderId="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9" numFmtId="0" fillId="25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19" numFmtId="0" fillId="25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19" numFmtId="165" fillId="25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9" numFmtId="9" fillId="25" borderId="2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20" numFmtId="3" fillId="16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20" numFmtId="1" fillId="16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0" numFmtId="169" fillId="16" borderId="0" applyFont="0" applyNumberFormat="1" applyFill="1" applyBorder="0" applyAlignment="0" applyProtection="true">
      <alignment horizontal="general" vertical="bottom" textRotation="0" wrapText="false" shrinkToFit="false"/>
      <protection hidden="false"/>
    </xf>
    <xf xfId="0" fontId="0" numFmtId="1" fillId="16" borderId="0" applyFont="0" applyNumberFormat="1" applyFill="1" applyBorder="0" applyAlignment="0" applyProtection="true">
      <alignment horizontal="general" vertical="bottom" textRotation="0" wrapText="false" shrinkToFit="false"/>
      <protection hidden="false"/>
    </xf>
    <xf xfId="0" fontId="0" numFmtId="165" fillId="16" borderId="0" applyFont="0" applyNumberFormat="1" applyFill="1" applyBorder="0" applyAlignment="0" applyProtection="true">
      <alignment horizontal="general" vertical="bottom" textRotation="0" wrapText="false" shrinkToFit="false"/>
      <protection hidden="false"/>
    </xf>
    <xf xfId="0" fontId="0" numFmtId="0" fillId="16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19" numFmtId="0" fillId="31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19" numFmtId="165" fillId="31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9" numFmtId="9" fillId="31" borderId="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20" numFmtId="10" fillId="16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20" numFmtId="164" fillId="16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0" numFmtId="10" fillId="16" borderId="1" applyFont="0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0" fillId="18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19" numFmtId="165" fillId="18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9" numFmtId="9" fillId="18" borderId="2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9" numFmtId="0" fillId="19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19" numFmtId="165" fillId="19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9" numFmtId="9" fillId="19" borderId="2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9" numFmtId="0" fillId="32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19" numFmtId="165" fillId="32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9" numFmtId="9" fillId="32" borderId="2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20" numFmtId="1" fillId="32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20" numFmtId="1" fillId="32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20" numFmtId="10" fillId="32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20" numFmtId="10" fillId="32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20" numFmtId="3" fillId="32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20" numFmtId="10" fillId="32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20" numFmtId="164" fillId="32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0" numFmtId="10" fillId="32" borderId="2" applyFont="0" applyNumberFormat="1" applyFill="1" applyBorder="1" applyAlignment="0" applyProtection="true">
      <alignment horizontal="general" vertical="bottom" textRotation="0" wrapText="false" shrinkToFit="false"/>
      <protection hidden="false"/>
    </xf>
    <xf xfId="0" fontId="0" numFmtId="169" fillId="32" borderId="0" applyFont="0" applyNumberFormat="1" applyFill="1" applyBorder="0" applyAlignment="0" applyProtection="true">
      <alignment horizontal="general" vertical="bottom" textRotation="0" wrapText="false" shrinkToFit="false"/>
      <protection hidden="false"/>
    </xf>
    <xf xfId="0" fontId="0" numFmtId="1" fillId="32" borderId="0" applyFont="0" applyNumberFormat="1" applyFill="1" applyBorder="0" applyAlignment="0" applyProtection="true">
      <alignment horizontal="general" vertical="bottom" textRotation="0" wrapText="false" shrinkToFit="false"/>
      <protection hidden="false"/>
    </xf>
    <xf xfId="0" fontId="0" numFmtId="165" fillId="32" borderId="0" applyFont="0" applyNumberFormat="1" applyFill="1" applyBorder="0" applyAlignment="0" applyProtection="true">
      <alignment horizontal="general" vertical="bottom" textRotation="0" wrapText="false" shrinkToFit="false"/>
      <protection hidden="false"/>
    </xf>
    <xf xfId="0" fontId="0" numFmtId="0" fillId="32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20" numFmtId="1" fillId="16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20" numFmtId="3" fillId="16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20" numFmtId="10" fillId="16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0" fillId="19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19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9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" fillId="19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9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9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9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19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9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" fillId="19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19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9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64" fillId="19" borderId="29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0" fillId="19" borderId="29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69" fillId="19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1" fillId="19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165" fillId="19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0" fillId="19" borderId="0" applyFont="1" applyNumberFormat="0" applyFill="1" applyBorder="0" applyAlignment="0" applyProtection="true">
      <alignment horizontal="general" vertical="bottom" textRotation="0" wrapText="false" shrinkToFit="false"/>
      <protection hidden="false"/>
    </xf>
    <xf xfId="0" fontId="19" numFmtId="0" fillId="18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18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8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" fillId="18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8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8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8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18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8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" fillId="18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18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8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64" fillId="18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0" fillId="18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69" fillId="18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1" fillId="18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165" fillId="18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0" fillId="18" borderId="0" applyFont="1" applyNumberFormat="0" applyFill="1" applyBorder="0" applyAlignment="0" applyProtection="true">
      <alignment horizontal="general" vertical="bottom" textRotation="0" wrapText="false" shrinkToFit="false"/>
      <protection hidden="false"/>
    </xf>
    <xf xfId="0" fontId="19" numFmtId="0" fillId="16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19" numFmtId="165" fillId="16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9" numFmtId="9" fillId="16" borderId="2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9" numFmtId="0" fillId="16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16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6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" fillId="16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6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6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6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16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6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" fillId="16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16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16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64" fillId="16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0" fillId="16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69" fillId="16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1" fillId="16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165" fillId="16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0" fillId="16" borderId="0" applyFont="1" applyNumberFormat="0" applyFill="1" applyBorder="0" applyAlignment="0" applyProtection="true">
      <alignment horizontal="general" vertical="bottom" textRotation="0" wrapText="false" shrinkToFit="false"/>
      <protection hidden="false"/>
    </xf>
    <xf xfId="0" fontId="19" numFmtId="165" fillId="16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9" numFmtId="9" fillId="16" borderId="36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32" numFmtId="3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" fillId="25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25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" fillId="25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25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64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0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69" fillId="25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1" fillId="25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165" fillId="25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0" fillId="25" borderId="0" applyFont="1" applyNumberFormat="0" applyFill="1" applyBorder="0" applyAlignment="0" applyProtection="true">
      <alignment horizontal="general" vertical="bottom" textRotation="0" wrapText="false" shrinkToFit="false"/>
      <protection hidden="false"/>
    </xf>
    <xf xfId="0" fontId="19" numFmtId="0" fillId="25" borderId="1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32" numFmtId="1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64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0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64" fillId="25" borderId="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32" numFmtId="10" fillId="25" borderId="34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0" fillId="30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30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30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" fillId="30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30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30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30" borderId="34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30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30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" fillId="30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30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30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64" fillId="30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0" fillId="30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69" fillId="30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1" fillId="30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165" fillId="30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0" fillId="30" borderId="0" applyFont="1" applyNumberFormat="0" applyFill="1" applyBorder="0" applyAlignment="0" applyProtection="true">
      <alignment horizontal="general" vertical="bottom" textRotation="0" wrapText="false" shrinkToFit="false"/>
      <protection hidden="false"/>
    </xf>
    <xf xfId="0" fontId="32" numFmtId="3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" fillId="25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34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25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" fillId="25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25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25" borderId="2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64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0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69" fillId="25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1" fillId="25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165" fillId="25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0" fillId="25" borderId="0" applyFont="1" applyNumberFormat="0" applyFill="1" applyBorder="0" applyAlignment="0" applyProtection="true">
      <alignment horizontal="general" vertical="bottom" textRotation="0" wrapText="false" shrinkToFit="false"/>
      <protection hidden="false"/>
    </xf>
    <xf xfId="0" fontId="19" numFmtId="0" fillId="31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31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31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" fillId="31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0" fillId="31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164" fillId="31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0" fillId="31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169" fillId="31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1" fillId="31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165" fillId="31" borderId="0" applyFont="1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9" numFmtId="0" fillId="31" borderId="0" applyFont="1" applyNumberFormat="0" applyFill="1" applyBorder="0" applyAlignment="0" applyProtection="true">
      <alignment horizontal="general" vertical="bottom" textRotation="0" wrapText="false" shrinkToFit="false"/>
      <protection hidden="false"/>
    </xf>
    <xf xfId="0" fontId="0" numFmtId="10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19" numFmtId="1" fillId="25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0" fillId="0" borderId="1" applyFont="1" applyNumberFormat="0" applyFill="0" applyBorder="1" applyAlignment="1" applyProtection="true">
      <alignment horizontal="right" vertical="bottom" textRotation="0" wrapText="false" shrinkToFit="false"/>
      <protection hidden="false"/>
    </xf>
    <xf xfId="0" fontId="32" numFmtId="1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32" numFmtId="10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32" numFmtId="10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32" numFmtId="1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32" numFmtId="3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32" numFmtId="10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32" numFmtId="164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9" numFmtId="10" fillId="0" borderId="1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20" numFmtId="10" fillId="16" borderId="39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20" numFmtId="3" fillId="16" borderId="4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32" numFmtId="3" fillId="25" borderId="4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20" numFmtId="10" fillId="32" borderId="40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0" numFmtId="164" fillId="0" borderId="1" applyFont="0" applyNumberFormat="1" applyFill="0" applyBorder="1" applyAlignment="0" applyProtection="true">
      <alignment horizontal="general" vertical="bottom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0" numFmtId="0" fillId="0" borderId="2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2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2" fillId="0" borderId="2" applyFont="0" applyNumberFormat="1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0" numFmtId="0" fillId="0" borderId="2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0" numFmtId="1" fillId="0" borderId="6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32" numFmtId="1" fillId="25" borderId="6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19" numFmtId="9" fillId="16" borderId="34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0" fillId="16" borderId="2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8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19" numFmtId="0" fillId="16" borderId="1" applyFont="1" applyNumberFormat="0" applyFill="1" applyBorder="1" applyAlignment="1" applyProtection="true">
      <alignment horizontal="right" vertical="bottom" textRotation="0" wrapText="false" shrinkToFit="false"/>
      <protection hidden="false"/>
    </xf>
    <xf xfId="0" fontId="24" numFmtId="0" fillId="22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9" numFmtId="0" fillId="27" borderId="1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9" numFmtId="0" fillId="0" borderId="14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34" numFmtId="0" fillId="0" borderId="14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34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29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0" numFmtId="14" fillId="0" borderId="1" applyFont="0" applyNumberFormat="1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14" applyFont="1" applyNumberFormat="0" applyFill="0" applyBorder="1" applyAlignment="1" applyProtection="true">
      <alignment horizontal="right" vertical="top" textRotation="0" wrapText="true" shrinkToFit="false"/>
      <protection hidden="false"/>
    </xf>
    <xf xfId="0" fontId="9" numFmtId="0" fillId="0" borderId="14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1" fillId="0" borderId="14" applyFont="1" applyNumberFormat="1" applyFill="0" applyBorder="1" applyAlignment="1" applyProtection="true">
      <alignment horizontal="right" vertical="top" textRotation="0" wrapText="true" shrinkToFit="false"/>
      <protection hidden="false"/>
    </xf>
    <xf xfId="0" fontId="9" numFmtId="170" fillId="0" borderId="14" applyFont="1" applyNumberFormat="1" applyFill="0" applyBorder="1" applyAlignment="1" applyProtection="true">
      <alignment horizontal="right" vertical="top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right" vertical="top" textRotation="0" wrapText="true" shrinkToFit="false"/>
      <protection hidden="false"/>
    </xf>
    <xf xfId="0" fontId="9" numFmtId="1" fillId="0" borderId="1" applyFont="1" applyNumberFormat="1" applyFill="0" applyBorder="1" applyAlignment="1" applyProtection="true">
      <alignment horizontal="right" vertical="top" textRotation="0" wrapText="true" shrinkToFit="false"/>
      <protection hidden="false"/>
    </xf>
    <xf xfId="0" fontId="0" numFmtId="0" fillId="0" borderId="30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3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31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41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42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33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top" textRotation="0" wrapText="true" shrinkToFit="false"/>
      <protection hidden="false"/>
    </xf>
    <xf xfId="0" fontId="35" numFmtId="0" fillId="0" borderId="0" applyFont="1" applyNumberFormat="0" applyFill="0" applyBorder="0" applyAlignment="1" applyProtection="true">
      <alignment horizontal="center" vertical="top" textRotation="0" wrapText="true" shrinkToFit="false"/>
      <protection hidden="false"/>
    </xf>
    <xf xfId="0" fontId="36" numFmtId="0" fillId="0" borderId="0" applyFont="1" applyNumberFormat="0" applyFill="0" applyBorder="0" applyAlignment="1" applyProtection="true">
      <alignment horizontal="center" vertical="top" textRotation="0" wrapText="true" shrinkToFit="false"/>
      <protection hidden="false"/>
    </xf>
    <xf xfId="0" fontId="19" numFmtId="0" fillId="13" borderId="28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9" numFmtId="0" fillId="13" borderId="3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9" numFmtId="0" fillId="13" borderId="4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5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5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5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5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5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5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5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7" numFmtId="0" fillId="0" borderId="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7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7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19" numFmtId="0" fillId="13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9" numFmtId="0" fillId="13" borderId="8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9" numFmtId="0" fillId="13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24" numFmtId="0" fillId="22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24" numFmtId="0" fillId="22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9" numFmtId="0" fillId="13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9" numFmtId="0" fillId="13" borderId="8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9" numFmtId="0" fillId="13" borderId="28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9" numFmtId="0" fillId="13" borderId="4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9" numFmtId="0" fillId="13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9" numFmtId="10" fillId="27" borderId="1" applyFont="1" applyNumberFormat="1" applyFill="1" applyBorder="1" applyAlignment="0" applyProtection="true">
      <alignment horizontal="general" vertical="bottom" textRotation="0" wrapText="false" shrinkToFit="false"/>
      <protection hidden="false"/>
    </xf>
    <xf xfId="0" fontId="6" numFmtId="165" fillId="27" borderId="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9" numFmtId="0" fillId="33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37"/>
  <sheetViews>
    <sheetView tabSelected="1" workbookViewId="0" showGridLines="true" showRowColHeaders="1">
      <pane ySplit="2" topLeftCell="A173" activePane="bottomLeft" state="frozen"/>
      <selection pane="bottomLeft" activeCell="C8" sqref="C8:C232"/>
    </sheetView>
  </sheetViews>
  <sheetFormatPr customHeight="true" defaultRowHeight="12.75" defaultColWidth="9.140625" outlineLevelRow="1" outlineLevelCol="0"/>
  <cols>
    <col min="1" max="1" width="42.140625" customWidth="true" style="1"/>
    <col min="2" max="2" width="38" customWidth="true" style="2"/>
    <col min="3" max="3" width="31.140625" customWidth="true" style="3"/>
  </cols>
  <sheetData>
    <row r="1" spans="1:3" customHeight="1" ht="12.75">
      <c r="A1" s="743" t="s">
        <v>0</v>
      </c>
      <c r="B1" s="743"/>
      <c r="C1" s="743"/>
    </row>
    <row r="2" spans="1:3" customHeight="1" ht="12.75">
      <c r="A2" s="743"/>
      <c r="B2" s="743"/>
      <c r="C2" s="743"/>
    </row>
    <row r="3" spans="1:3" customHeight="1" ht="11.25">
      <c r="A3" s="4"/>
      <c r="B3" s="4"/>
      <c r="C3" s="4"/>
    </row>
    <row r="4" spans="1:3" customHeight="1" ht="39">
      <c r="A4" s="744" t="s">
        <v>1</v>
      </c>
      <c r="B4" s="744"/>
      <c r="C4" s="4"/>
    </row>
    <row r="5" spans="1:3" customHeight="1" ht="39.75">
      <c r="A5" s="745" t="s">
        <v>2</v>
      </c>
      <c r="B5" s="745"/>
      <c r="C5" s="4"/>
    </row>
    <row r="6" spans="1:3" customHeight="1" ht="41.25">
      <c r="A6" s="744" t="s">
        <v>3</v>
      </c>
      <c r="B6" s="744"/>
      <c r="C6" s="4"/>
    </row>
    <row r="7" spans="1:3" customHeight="1" ht="12.75">
      <c r="B7" s="5"/>
    </row>
    <row r="8" spans="1:3" customHeight="1" ht="53.25">
      <c r="A8" s="6" t="s">
        <v>4</v>
      </c>
      <c r="B8" s="7" t="s">
        <v>5</v>
      </c>
    </row>
    <row r="9" spans="1:3" customHeight="1" ht="14.25" hidden="true" outlineLevel="1">
      <c r="A9" t="s">
        <v>6</v>
      </c>
      <c r="B9" s="5"/>
    </row>
    <row r="10" spans="1:3" customHeight="1" ht="14.25" hidden="true" outlineLevel="1">
      <c r="A10" s="8" t="s">
        <v>7</v>
      </c>
      <c r="B10" s="5"/>
    </row>
    <row r="11" spans="1:3" customHeight="1" ht="14.25" hidden="true" outlineLevel="1">
      <c r="A11" s="9" t="s">
        <v>8</v>
      </c>
      <c r="B11" s="5"/>
    </row>
    <row r="12" spans="1:3" customHeight="1" ht="14.25" hidden="true" outlineLevel="1">
      <c r="A12" s="9" t="s">
        <v>9</v>
      </c>
      <c r="B12" s="5"/>
    </row>
    <row r="13" spans="1:3" customHeight="1" ht="14.25" hidden="true" outlineLevel="1">
      <c r="A13" s="9" t="s">
        <v>10</v>
      </c>
      <c r="B13" s="5"/>
    </row>
    <row r="14" spans="1:3" customHeight="1" ht="14.25" hidden="true" outlineLevel="1">
      <c r="A14" s="9" t="s">
        <v>11</v>
      </c>
      <c r="B14" s="5"/>
    </row>
    <row r="15" spans="1:3" customHeight="1" ht="14.25" hidden="true" outlineLevel="1">
      <c r="A15" s="9" t="s">
        <v>12</v>
      </c>
      <c r="B15" s="5"/>
    </row>
    <row r="16" spans="1:3" customHeight="1" ht="14.25" hidden="true" outlineLevel="1">
      <c r="A16" s="10" t="s">
        <v>13</v>
      </c>
      <c r="B16" s="5"/>
    </row>
    <row r="17" spans="1:3" customHeight="1" ht="31.5" hidden="true" outlineLevel="1" s="12" customFormat="1">
      <c r="A17" s="11" t="s">
        <v>14</v>
      </c>
      <c r="B17" s="11" t="s">
        <v>15</v>
      </c>
    </row>
    <row r="18" spans="1:3" customHeight="1" ht="27.75" hidden="true" outlineLevel="1">
      <c r="A18" s="13" t="s">
        <v>16</v>
      </c>
      <c r="B18" s="14" t="s">
        <v>17</v>
      </c>
    </row>
    <row r="19" spans="1:3" customHeight="1" ht="27.75" hidden="true" outlineLevel="1">
      <c r="A19" s="13" t="s">
        <v>18</v>
      </c>
      <c r="B19" s="14" t="s">
        <v>19</v>
      </c>
    </row>
    <row r="20" spans="1:3" customHeight="1" ht="27.75" hidden="true" outlineLevel="1">
      <c r="A20" s="13" t="s">
        <v>20</v>
      </c>
      <c r="B20" s="14" t="s">
        <v>21</v>
      </c>
    </row>
    <row r="21" spans="1:3" customHeight="1" ht="27.75" hidden="true" outlineLevel="1">
      <c r="A21" s="15" t="s">
        <v>22</v>
      </c>
      <c r="B21" s="14" t="s">
        <v>23</v>
      </c>
    </row>
    <row r="22" spans="1:3" customHeight="1" ht="27.75" hidden="true" outlineLevel="1">
      <c r="A22" s="15" t="s">
        <v>24</v>
      </c>
      <c r="B22" s="14" t="s">
        <v>25</v>
      </c>
    </row>
    <row r="23" spans="1:3" customHeight="1" ht="27.75" hidden="true" outlineLevel="1">
      <c r="A23" s="13" t="s">
        <v>26</v>
      </c>
      <c r="B23" s="14" t="s">
        <v>27</v>
      </c>
    </row>
    <row r="24" spans="1:3" customHeight="1" ht="27.75" hidden="true" outlineLevel="1">
      <c r="A24" s="13" t="s">
        <v>28</v>
      </c>
      <c r="B24" s="14" t="s">
        <v>29</v>
      </c>
    </row>
    <row r="25" spans="1:3" customHeight="1" ht="27.75" hidden="true" outlineLevel="1">
      <c r="A25" s="13" t="s">
        <v>30</v>
      </c>
      <c r="B25" s="14" t="s">
        <v>30</v>
      </c>
    </row>
    <row r="26" spans="1:3" customHeight="1" ht="27.75" hidden="true" outlineLevel="1">
      <c r="A26" s="13" t="s">
        <v>31</v>
      </c>
      <c r="B26" s="16" t="s">
        <v>32</v>
      </c>
    </row>
    <row r="27" spans="1:3" customHeight="1" ht="27.75" hidden="true" outlineLevel="1">
      <c r="A27" s="13" t="s">
        <v>33</v>
      </c>
      <c r="B27" s="14" t="s">
        <v>34</v>
      </c>
    </row>
    <row r="28" spans="1:3" customHeight="1" ht="27.75" hidden="true" outlineLevel="1">
      <c r="A28" s="13" t="s">
        <v>35</v>
      </c>
      <c r="B28" s="14" t="s">
        <v>36</v>
      </c>
    </row>
    <row r="29" spans="1:3" customHeight="1" ht="27.75" hidden="true" outlineLevel="1">
      <c r="A29" s="13" t="s">
        <v>37</v>
      </c>
      <c r="B29" s="14" t="s">
        <v>38</v>
      </c>
    </row>
    <row r="30" spans="1:3" customHeight="1" ht="27.75" hidden="true" outlineLevel="1">
      <c r="A30" s="13" t="s">
        <v>39</v>
      </c>
      <c r="B30" s="14" t="s">
        <v>40</v>
      </c>
    </row>
    <row r="31" spans="1:3" customHeight="1" ht="27.75" hidden="true" outlineLevel="1">
      <c r="A31" s="13" t="s">
        <v>41</v>
      </c>
      <c r="B31" s="14"/>
    </row>
    <row r="32" spans="1:3" customHeight="1" ht="27.75" hidden="true" outlineLevel="1">
      <c r="A32" s="13" t="s">
        <v>42</v>
      </c>
      <c r="B32" s="14" t="s">
        <v>43</v>
      </c>
    </row>
    <row r="33" spans="1:3" customHeight="1" ht="27.75" hidden="true" outlineLevel="1">
      <c r="A33" s="17" t="s">
        <v>44</v>
      </c>
      <c r="B33" s="14" t="s">
        <v>45</v>
      </c>
    </row>
    <row r="34" spans="1:3" customHeight="1" ht="27.75" hidden="true" outlineLevel="1">
      <c r="A34" s="13" t="s">
        <v>46</v>
      </c>
      <c r="B34" s="14" t="s">
        <v>47</v>
      </c>
    </row>
    <row r="35" spans="1:3" customHeight="1" ht="27.75" hidden="true" outlineLevel="1">
      <c r="A35" s="13" t="s">
        <v>48</v>
      </c>
      <c r="B35" s="18"/>
    </row>
    <row r="36" spans="1:3" customHeight="1" ht="39.75" hidden="true" outlineLevel="1">
      <c r="A36" s="13" t="s">
        <v>49</v>
      </c>
      <c r="B36" s="14" t="s">
        <v>50</v>
      </c>
    </row>
    <row r="37" spans="1:3" customHeight="1" ht="27.75" hidden="true" outlineLevel="1">
      <c r="A37" s="19" t="s">
        <v>51</v>
      </c>
      <c r="B37" s="14" t="s">
        <v>51</v>
      </c>
    </row>
    <row r="38" spans="1:3" customHeight="1" ht="12.75" collapsed="true">
      <c r="A38" s="5"/>
      <c r="B38" s="5"/>
    </row>
    <row r="39" spans="1:3" customHeight="1" ht="48">
      <c r="A39" s="6" t="s">
        <v>52</v>
      </c>
      <c r="B39" s="7" t="s">
        <v>5</v>
      </c>
    </row>
    <row r="40" spans="1:3" customHeight="1" ht="31.5" hidden="true" outlineLevel="1">
      <c r="A40" s="11" t="s">
        <v>53</v>
      </c>
      <c r="B40" s="11" t="s">
        <v>15</v>
      </c>
    </row>
    <row r="41" spans="1:3" customHeight="1" ht="33" hidden="true" outlineLevel="1">
      <c r="A41" s="13" t="s">
        <v>54</v>
      </c>
      <c r="B41" s="2" t="s">
        <v>17</v>
      </c>
    </row>
    <row r="42" spans="1:3" customHeight="1" ht="33" hidden="true" outlineLevel="1">
      <c r="A42" s="13" t="s">
        <v>18</v>
      </c>
      <c r="B42" s="2" t="s">
        <v>19</v>
      </c>
    </row>
    <row r="43" spans="1:3" customHeight="1" ht="33" hidden="true" outlineLevel="1">
      <c r="A43" s="13" t="s">
        <v>26</v>
      </c>
      <c r="B43" s="14" t="s">
        <v>29</v>
      </c>
    </row>
    <row r="44" spans="1:3" customHeight="1" ht="33" hidden="true" outlineLevel="1">
      <c r="A44" s="13" t="s">
        <v>28</v>
      </c>
      <c r="B44" s="2" t="s">
        <v>40</v>
      </c>
    </row>
    <row r="45" spans="1:3" customHeight="1" ht="33" hidden="true" outlineLevel="1">
      <c r="A45" s="13" t="s">
        <v>44</v>
      </c>
      <c r="B45" s="2" t="s">
        <v>55</v>
      </c>
    </row>
    <row r="46" spans="1:3" customHeight="1" ht="33" hidden="true" outlineLevel="1">
      <c r="A46" s="13" t="s">
        <v>39</v>
      </c>
      <c r="B46" s="14" t="s">
        <v>40</v>
      </c>
    </row>
    <row r="47" spans="1:3" customHeight="1" ht="33" hidden="true" outlineLevel="1" s="20" customFormat="1">
      <c r="A47" s="13" t="s">
        <v>56</v>
      </c>
      <c r="B47" s="14" t="s">
        <v>56</v>
      </c>
    </row>
    <row r="48" spans="1:3" customHeight="1" ht="33" hidden="true" outlineLevel="1" s="20" customFormat="1">
      <c r="A48" s="13" t="s">
        <v>57</v>
      </c>
      <c r="B48" s="16" t="s">
        <v>32</v>
      </c>
    </row>
    <row r="49" spans="1:3" customHeight="1" ht="33" hidden="true" outlineLevel="1" s="20" customFormat="1">
      <c r="A49" s="13" t="s">
        <v>58</v>
      </c>
      <c r="B49" s="2" t="s">
        <v>59</v>
      </c>
    </row>
    <row r="50" spans="1:3" customHeight="1" ht="33" hidden="true" outlineLevel="1" s="20" customFormat="1">
      <c r="A50" s="13" t="s">
        <v>60</v>
      </c>
      <c r="B50" s="2" t="s">
        <v>61</v>
      </c>
    </row>
    <row r="51" spans="1:3" customHeight="1" ht="33" hidden="true" outlineLevel="1" s="20" customFormat="1">
      <c r="A51" s="13" t="s">
        <v>62</v>
      </c>
      <c r="B51" s="2" t="s">
        <v>62</v>
      </c>
    </row>
    <row r="52" spans="1:3" customHeight="1" ht="33" hidden="true" outlineLevel="1" s="20" customFormat="1">
      <c r="A52" s="13" t="s">
        <v>63</v>
      </c>
      <c r="B52" s="2" t="s">
        <v>64</v>
      </c>
    </row>
    <row r="53" spans="1:3" customHeight="1" ht="33" hidden="true" outlineLevel="1" s="20" customFormat="1">
      <c r="A53" s="13" t="s">
        <v>65</v>
      </c>
      <c r="B53" s="21" t="s">
        <v>66</v>
      </c>
    </row>
    <row r="54" spans="1:3" customHeight="1" ht="33" hidden="true" outlineLevel="1" s="20" customFormat="1">
      <c r="A54" s="13" t="s">
        <v>67</v>
      </c>
      <c r="B54" s="14" t="s">
        <v>23</v>
      </c>
    </row>
    <row r="55" spans="1:3" customHeight="1" ht="33" hidden="true" outlineLevel="1" s="20" customFormat="1">
      <c r="A55" s="13" t="s">
        <v>33</v>
      </c>
      <c r="B55" s="14" t="s">
        <v>34</v>
      </c>
    </row>
    <row r="56" spans="1:3" customHeight="1" ht="33" hidden="true" outlineLevel="1" s="20" customFormat="1">
      <c r="A56" s="13" t="s">
        <v>68</v>
      </c>
      <c r="B56" s="2" t="s">
        <v>69</v>
      </c>
    </row>
    <row r="57" spans="1:3" customHeight="1" ht="33" hidden="true" outlineLevel="1" s="20" customFormat="1">
      <c r="A57" s="13" t="s">
        <v>70</v>
      </c>
      <c r="B57" s="2" t="s">
        <v>67</v>
      </c>
    </row>
    <row r="58" spans="1:3" customHeight="1" ht="33" hidden="true" outlineLevel="1" s="20" customFormat="1">
      <c r="A58" s="13" t="s">
        <v>71</v>
      </c>
      <c r="B58" s="2" t="s">
        <v>72</v>
      </c>
    </row>
    <row r="59" spans="1:3" customHeight="1" ht="33" hidden="true" outlineLevel="1" s="20" customFormat="1">
      <c r="A59" s="13" t="s">
        <v>73</v>
      </c>
      <c r="B59" s="2" t="s">
        <v>30</v>
      </c>
    </row>
    <row r="60" spans="1:3" customHeight="1" ht="33" hidden="true" outlineLevel="1" s="20" customFormat="1">
      <c r="A60" s="13" t="s">
        <v>51</v>
      </c>
      <c r="B60" s="2" t="s">
        <v>51</v>
      </c>
    </row>
    <row r="61" spans="1:3" customHeight="1" ht="33" hidden="true" outlineLevel="1" s="20" customFormat="1">
      <c r="A61" s="19" t="s">
        <v>74</v>
      </c>
      <c r="B61" s="2" t="s">
        <v>75</v>
      </c>
    </row>
    <row r="62" spans="1:3" customHeight="1" ht="12.75" hidden="true" outlineLevel="1" s="20" customFormat="1">
      <c r="A62" s="5"/>
      <c r="B62" s="5"/>
    </row>
    <row r="63" spans="1:3" customHeight="1" ht="12.75" collapsed="true" s="20" customFormat="1">
      <c r="A63" s="5"/>
      <c r="B63" s="5"/>
    </row>
    <row r="64" spans="1:3" customHeight="1" ht="50.25" s="20" customFormat="1">
      <c r="A64" s="6" t="s">
        <v>76</v>
      </c>
      <c r="B64" s="7" t="s">
        <v>5</v>
      </c>
    </row>
    <row r="65" spans="1:3" customHeight="1" ht="12.75" hidden="true" outlineLevel="1" s="20" customFormat="1"/>
    <row r="66" spans="1:3" customHeight="1" ht="12.75" hidden="true" outlineLevel="1" s="20" customFormat="1">
      <c r="A66" s="22" t="s">
        <v>77</v>
      </c>
      <c r="B66" s="5"/>
    </row>
    <row r="67" spans="1:3" customHeight="1" ht="15" hidden="true" outlineLevel="1" s="20" customFormat="1">
      <c r="A67" t="s">
        <v>78</v>
      </c>
      <c r="B67" s="5"/>
    </row>
    <row r="68" spans="1:3" customHeight="1" ht="12.75" hidden="true" outlineLevel="1" s="20" customFormat="1">
      <c r="A68" s="23"/>
      <c r="B68" s="24" t="s">
        <v>79</v>
      </c>
    </row>
    <row r="69" spans="1:3" customHeight="1" ht="12.75" hidden="true" outlineLevel="1" s="20" customFormat="1">
      <c r="A69" s="25"/>
      <c r="B69" s="24" t="s">
        <v>80</v>
      </c>
    </row>
    <row r="70" spans="1:3" customHeight="1" ht="12.75" hidden="true" outlineLevel="1" s="20" customFormat="1">
      <c r="A70" s="5"/>
      <c r="B70" s="5"/>
    </row>
    <row r="71" spans="1:3" customHeight="1" ht="12.75" collapsed="true" s="20" customFormat="1">
      <c r="A71" s="5"/>
      <c r="B71" s="5"/>
    </row>
    <row r="72" spans="1:3" customHeight="1" ht="50.25" s="20" customFormat="1">
      <c r="A72" s="6" t="s">
        <v>81</v>
      </c>
      <c r="B72" s="7" t="s">
        <v>5</v>
      </c>
    </row>
    <row r="73" spans="1:3" customHeight="1" ht="17.25" hidden="true" outlineLevel="1">
      <c r="A73" t="s">
        <v>82</v>
      </c>
      <c r="B73" s="5"/>
    </row>
    <row r="74" spans="1:3" customHeight="1" ht="15.75" hidden="true" outlineLevel="1">
      <c r="A74" s="8" t="s">
        <v>7</v>
      </c>
      <c r="B74" s="5"/>
    </row>
    <row r="75" spans="1:3" customHeight="1" ht="13.5" hidden="true" outlineLevel="1">
      <c r="A75" s="9" t="s">
        <v>8</v>
      </c>
      <c r="B75" s="5"/>
    </row>
    <row r="76" spans="1:3" customHeight="1" ht="13.5" hidden="true" outlineLevel="1">
      <c r="A76" s="9" t="s">
        <v>9</v>
      </c>
      <c r="B76" s="5"/>
    </row>
    <row r="77" spans="1:3" customHeight="1" ht="13.5" hidden="true" outlineLevel="1">
      <c r="A77" s="9" t="s">
        <v>10</v>
      </c>
      <c r="B77" s="5"/>
    </row>
    <row r="78" spans="1:3" customHeight="1" ht="13.5" hidden="true" outlineLevel="1">
      <c r="A78" s="9" t="s">
        <v>11</v>
      </c>
      <c r="B78" s="5"/>
    </row>
    <row r="79" spans="1:3" customHeight="1" ht="13.5" hidden="true" outlineLevel="1">
      <c r="A79" s="9" t="s">
        <v>12</v>
      </c>
      <c r="B79" s="5"/>
    </row>
    <row r="80" spans="1:3" customHeight="1" ht="13.5" hidden="true" outlineLevel="1"/>
    <row r="81" spans="1:3" customHeight="1" ht="13.5" hidden="true" outlineLevel="1">
      <c r="A81" t="s">
        <v>83</v>
      </c>
      <c r="B81" s="5"/>
    </row>
    <row r="82" spans="1:3" customHeight="1" ht="13.5" hidden="true" outlineLevel="1">
      <c r="A82"/>
      <c r="B82" s="5"/>
    </row>
    <row r="83" spans="1:3" customHeight="1" ht="13.5" hidden="true" outlineLevel="1">
      <c r="A83" s="26" t="s">
        <v>84</v>
      </c>
      <c r="B83" s="5"/>
    </row>
    <row r="84" spans="1:3" customHeight="1" ht="12.75" collapsed="true" s="20" customFormat="1">
      <c r="A84" s="5"/>
      <c r="B84" s="5"/>
    </row>
    <row r="85" spans="1:3" customHeight="1" ht="50.25" s="20" customFormat="1">
      <c r="A85" s="6" t="s">
        <v>85</v>
      </c>
      <c r="B85" s="7" t="s">
        <v>5</v>
      </c>
    </row>
    <row r="86" spans="1:3" customHeight="1" ht="12.75" hidden="true" outlineLevel="1" s="20" customFormat="1">
      <c r="A86" s="5"/>
      <c r="B86" s="5"/>
    </row>
    <row r="87" spans="1:3" customHeight="1" ht="12.75" hidden="true" outlineLevel="1" s="20" customFormat="1">
      <c r="A87" s="22" t="s">
        <v>77</v>
      </c>
      <c r="B87" s="5"/>
    </row>
    <row r="88" spans="1:3" customHeight="1" ht="15" hidden="true" outlineLevel="1" s="20" customFormat="1">
      <c r="A88" t="s">
        <v>86</v>
      </c>
      <c r="B88" s="5"/>
    </row>
    <row r="89" spans="1:3" customHeight="1" ht="12.75" hidden="true" outlineLevel="1" s="20" customFormat="1">
      <c r="A89" s="23"/>
      <c r="B89" s="24" t="s">
        <v>87</v>
      </c>
    </row>
    <row r="90" spans="1:3" customHeight="1" ht="12.75" hidden="true" outlineLevel="1" s="20" customFormat="1">
      <c r="A90" s="25"/>
      <c r="B90" s="24" t="s">
        <v>88</v>
      </c>
    </row>
    <row r="91" spans="1:3" customHeight="1" ht="12.75" hidden="true" outlineLevel="1" s="28" customFormat="1">
      <c r="A91" s="5"/>
      <c r="B91" s="27"/>
    </row>
    <row r="92" spans="1:3" customHeight="1" ht="38.25" hidden="true" outlineLevel="1" s="28" customFormat="1">
      <c r="A92" s="5" t="s">
        <v>89</v>
      </c>
      <c r="B92" s="27"/>
    </row>
    <row r="93" spans="1:3" customHeight="1" ht="51" hidden="true" outlineLevel="1" s="20" customFormat="1">
      <c r="A93" s="5" t="s">
        <v>90</v>
      </c>
      <c r="B93" s="5"/>
    </row>
    <row r="94" spans="1:3" customHeight="1" ht="12.75" collapsed="true" s="20" customFormat="1">
      <c r="A94" s="5"/>
      <c r="B94" s="5"/>
    </row>
    <row r="95" spans="1:3" customHeight="1" ht="50.25" s="20" customFormat="1">
      <c r="A95" s="6" t="s">
        <v>91</v>
      </c>
      <c r="B95" s="7" t="s">
        <v>5</v>
      </c>
    </row>
    <row r="96" spans="1:3" customHeight="1" ht="12.75" hidden="true" outlineLevel="1" s="20" customFormat="1"/>
    <row r="97" spans="1:3" customHeight="1" ht="12.75" hidden="true" outlineLevel="1" s="20" customFormat="1">
      <c r="A97" s="22" t="s">
        <v>77</v>
      </c>
      <c r="B97" s="5"/>
    </row>
    <row r="98" spans="1:3" customHeight="1" ht="15" hidden="true" outlineLevel="1" s="20" customFormat="1">
      <c r="A98" t="s">
        <v>92</v>
      </c>
      <c r="B98" s="5"/>
    </row>
    <row r="99" spans="1:3" customHeight="1" ht="12.75" hidden="true" outlineLevel="1" s="20" customFormat="1">
      <c r="A99" s="23"/>
      <c r="B99" s="24" t="s">
        <v>93</v>
      </c>
    </row>
    <row r="100" spans="1:3" customHeight="1" ht="12.75" hidden="true" outlineLevel="1" s="20" customFormat="1">
      <c r="A100" s="25"/>
      <c r="B100" s="24" t="s">
        <v>94</v>
      </c>
    </row>
    <row r="101" spans="1:3" customHeight="1" ht="25.5" hidden="true" outlineLevel="1" s="28" customFormat="1">
      <c r="A101" s="5" t="s">
        <v>95</v>
      </c>
      <c r="B101" s="27"/>
    </row>
    <row r="102" spans="1:3" customHeight="1" ht="12.75" hidden="true" outlineLevel="1" s="28" customFormat="1">
      <c r="A102" s="5"/>
      <c r="B102" s="27"/>
    </row>
    <row r="103" spans="1:3" customHeight="1" ht="12.75" hidden="true" outlineLevel="1" s="20" customFormat="1">
      <c r="A103" s="5"/>
      <c r="B103" s="5"/>
    </row>
    <row r="104" spans="1:3" customHeight="1" ht="12.75" collapsed="true" s="20" customFormat="1">
      <c r="A104" s="5"/>
      <c r="B104" s="5"/>
    </row>
    <row r="105" spans="1:3" customHeight="1" ht="50.25" s="20" customFormat="1">
      <c r="A105" s="6" t="s">
        <v>96</v>
      </c>
      <c r="B105" s="7" t="s">
        <v>5</v>
      </c>
    </row>
    <row r="106" spans="1:3" customHeight="1" ht="12.75" hidden="true" outlineLevel="1" s="20" customFormat="1">
      <c r="A106" s="5"/>
      <c r="B106" s="5"/>
    </row>
    <row r="107" spans="1:3" customHeight="1" ht="15" hidden="true" outlineLevel="1" s="20" customFormat="1">
      <c r="A107" s="29" t="s">
        <v>97</v>
      </c>
      <c r="B107" s="30"/>
    </row>
    <row r="108" spans="1:3" customHeight="1" ht="12.75" collapsed="true" s="20" customFormat="1">
      <c r="A108" s="5"/>
      <c r="B108" s="5"/>
    </row>
    <row r="109" spans="1:3" customHeight="1" ht="50.25" s="20" customFormat="1">
      <c r="A109" s="6" t="s">
        <v>98</v>
      </c>
      <c r="B109" s="7" t="s">
        <v>5</v>
      </c>
    </row>
    <row r="110" spans="1:3" customHeight="1" ht="12.75" outlineLevel="1" s="20" customFormat="1">
      <c r="A110" s="5"/>
      <c r="B110" s="5"/>
    </row>
    <row r="111" spans="1:3" customHeight="1" ht="15" outlineLevel="1" s="20" customFormat="1">
      <c r="A111" s="29" t="s">
        <v>99</v>
      </c>
      <c r="B111" s="30"/>
    </row>
    <row r="113" spans="1:3" customHeight="1" ht="50.25" s="20" customFormat="1">
      <c r="A113" s="6" t="s">
        <v>100</v>
      </c>
      <c r="B113" s="7" t="s">
        <v>5</v>
      </c>
    </row>
    <row r="114" spans="1:3" customHeight="1" ht="12.75" hidden="true" outlineLevel="1" s="20" customFormat="1">
      <c r="A114" s="5"/>
      <c r="B114" s="5"/>
    </row>
    <row r="115" spans="1:3" customHeight="1" ht="15" hidden="true" outlineLevel="1" s="20" customFormat="1">
      <c r="A115" s="29" t="s">
        <v>101</v>
      </c>
      <c r="B115" s="30"/>
    </row>
    <row r="116" spans="1:3" customHeight="1" ht="15" hidden="true" outlineLevel="1" s="20" customFormat="1">
      <c r="A116" s="29" t="s">
        <v>102</v>
      </c>
      <c r="B116" s="30"/>
    </row>
    <row r="117" spans="1:3" customHeight="1" ht="15" hidden="true" outlineLevel="1" s="20" customFormat="1">
      <c r="A117" s="29" t="s">
        <v>103</v>
      </c>
      <c r="B117" s="30"/>
    </row>
    <row r="118" spans="1:3" customHeight="1" ht="15" collapsed="true" s="20" customFormat="1">
      <c r="A118" s="29"/>
      <c r="B118" s="5"/>
    </row>
    <row r="119" spans="1:3" customHeight="1" ht="48" s="20" customFormat="1">
      <c r="A119" s="31" t="s">
        <v>104</v>
      </c>
      <c r="B119" s="7" t="s">
        <v>105</v>
      </c>
    </row>
    <row r="120" spans="1:3" customHeight="1" ht="21" hidden="true" outlineLevel="1" s="20" customFormat="1">
      <c r="A120" t="s">
        <v>106</v>
      </c>
      <c r="B120" s="5"/>
    </row>
    <row r="121" spans="1:3" customHeight="1" ht="15" hidden="true" outlineLevel="1" s="20" customFormat="1">
      <c r="A121" s="32" t="s">
        <v>107</v>
      </c>
      <c r="B121" s="5"/>
    </row>
    <row r="122" spans="1:3" customHeight="1" ht="15" hidden="true" outlineLevel="1" s="20" customFormat="1">
      <c r="A122" s="32" t="s">
        <v>108</v>
      </c>
      <c r="B122"/>
    </row>
    <row r="123" spans="1:3" customHeight="1" ht="15" hidden="true" outlineLevel="1" s="20" customFormat="1">
      <c r="A123" s="32" t="s">
        <v>109</v>
      </c>
      <c r="B123"/>
    </row>
    <row r="124" spans="1:3" customHeight="1" ht="15" hidden="true" outlineLevel="1" s="20" customFormat="1">
      <c r="A124" s="32" t="s">
        <v>110</v>
      </c>
      <c r="B124" s="24"/>
    </row>
    <row r="125" spans="1:3" customHeight="1" ht="15" hidden="true" outlineLevel="1" s="20" customFormat="1">
      <c r="A125" s="32" t="s">
        <v>111</v>
      </c>
      <c r="B125" s="24"/>
    </row>
    <row r="126" spans="1:3" customHeight="1" ht="15" hidden="true" outlineLevel="1" s="20" customFormat="1">
      <c r="A126" s="32" t="s">
        <v>112</v>
      </c>
      <c r="B126" s="5"/>
    </row>
    <row r="127" spans="1:3" customHeight="1" ht="15" hidden="true" outlineLevel="1" s="20" customFormat="1">
      <c r="A127" s="32" t="s">
        <v>113</v>
      </c>
      <c r="B127" s="5"/>
    </row>
    <row r="128" spans="1:3" customHeight="1" ht="12.75" hidden="true" outlineLevel="1" s="20" customFormat="1"/>
    <row r="129" spans="1:3" customHeight="1" ht="12.75" collapsed="true" s="20" customFormat="1"/>
    <row r="130" spans="1:3" customHeight="1" ht="48" s="20" customFormat="1">
      <c r="A130" s="31" t="s">
        <v>114</v>
      </c>
      <c r="B130" s="7" t="s">
        <v>115</v>
      </c>
    </row>
    <row r="131" spans="1:3" customHeight="1" ht="21" hidden="true" outlineLevel="1" s="20" customFormat="1">
      <c r="A131" t="s">
        <v>116</v>
      </c>
      <c r="B131" s="5"/>
    </row>
    <row r="132" spans="1:3" customHeight="1" ht="12.75" hidden="true" outlineLevel="1" s="20" customFormat="1">
      <c r="A132" s="5"/>
      <c r="B132" s="5"/>
    </row>
    <row r="133" spans="1:3" customHeight="1" ht="12.75" collapsed="true" s="20" customFormat="1">
      <c r="A133" s="5"/>
      <c r="B133" s="5"/>
    </row>
    <row r="134" spans="1:3" customHeight="1" ht="48" s="20" customFormat="1">
      <c r="A134" s="31" t="s">
        <v>117</v>
      </c>
      <c r="B134" s="7" t="s">
        <v>115</v>
      </c>
    </row>
    <row r="135" spans="1:3" customHeight="1" ht="21" hidden="true" outlineLevel="1" s="20" customFormat="1">
      <c r="A135" t="s">
        <v>118</v>
      </c>
      <c r="B135" s="5"/>
    </row>
    <row r="136" spans="1:3" customHeight="1" ht="12.75" hidden="true" outlineLevel="1" s="20" customFormat="1"/>
    <row r="137" spans="1:3" customHeight="1" ht="12.75" collapsed="true" s="20" customFormat="1"/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mergeCells>
    <mergeCell ref="A1:C2"/>
    <mergeCell ref="A4:B4"/>
    <mergeCell ref="A5:B5"/>
    <mergeCell ref="A6:B6"/>
  </mergeCells>
  <hyperlinks>
    <hyperlink ref="B26" location="Справочник!A1"/>
    <hyperlink ref="B48" location="Справочник!A1"/>
    <hyperlink ref="B53" location="Текучесть!A1"/>
  </hyperlinks>
  <printOptions gridLines="false" gridLinesSet="true"/>
  <pageMargins left="0.25" right="0.25" top="0.75" bottom="0.75" header="0.51180555555556" footer="0.51180555555556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314"/>
  <sheetViews>
    <sheetView tabSelected="0" workbookViewId="0" showGridLines="true" showRowColHeaders="1">
      <pane xSplit="2" ySplit="1" topLeftCell="C2" activePane="bottomRight" state="frozen"/>
      <selection pane="topRight"/>
      <selection pane="bottomLeft"/>
      <selection pane="bottomRight" activeCell="A1" sqref="A1:C1048576"/>
    </sheetView>
  </sheetViews>
  <sheetFormatPr customHeight="true" defaultRowHeight="15" defaultColWidth="9.140625" outlineLevelRow="0" outlineLevelCol="0"/>
  <cols>
    <col min="1" max="1" width="30.140625" customWidth="true" style="33"/>
    <col min="2" max="2" width="32.7109375" customWidth="true" style="33"/>
    <col min="3" max="3" width="19.5703125" customWidth="true" style="33"/>
    <col min="4" max="4" width="17" customWidth="true" style="33"/>
    <col min="5" max="5" width="17.5703125" customWidth="true" style="33"/>
    <col min="6" max="6" width="16.42578125" customWidth="true" style="33"/>
    <col min="7" max="7" width="9.140625" style="55"/>
    <col min="8" max="8" width="34.28515625" customWidth="true" style="55"/>
  </cols>
  <sheetData>
    <row r="1" spans="1:8" customHeight="1" ht="29.25" s="34" customFormat="1">
      <c r="A1" s="95" t="s">
        <v>26</v>
      </c>
      <c r="B1" s="96" t="s">
        <v>28</v>
      </c>
      <c r="C1" s="96" t="s">
        <v>31</v>
      </c>
      <c r="D1" s="96" t="s">
        <v>119</v>
      </c>
      <c r="E1" s="96" t="s">
        <v>44</v>
      </c>
      <c r="F1" s="96" t="s">
        <v>120</v>
      </c>
      <c r="G1" s="96" t="s">
        <v>121</v>
      </c>
      <c r="H1" s="96" t="s">
        <v>122</v>
      </c>
    </row>
    <row r="2" spans="1:8" customHeight="1" ht="15" s="35" customFormat="1">
      <c r="A2" s="67" t="s">
        <v>123</v>
      </c>
      <c r="B2" s="67" t="s">
        <v>124</v>
      </c>
      <c r="C2" s="91" t="s">
        <v>125</v>
      </c>
      <c r="D2" s="91" t="s">
        <v>126</v>
      </c>
      <c r="E2" s="91" t="s">
        <v>127</v>
      </c>
      <c r="F2" s="91" t="s">
        <v>128</v>
      </c>
      <c r="G2" s="107" t="s">
        <v>129</v>
      </c>
      <c r="H2" s="128" t="s">
        <v>130</v>
      </c>
    </row>
    <row r="3" spans="1:8" customHeight="1" ht="15" s="35" customFormat="1">
      <c r="A3" s="88" t="s">
        <v>131</v>
      </c>
      <c r="B3" s="88" t="s">
        <v>132</v>
      </c>
      <c r="C3" s="91" t="s">
        <v>133</v>
      </c>
      <c r="D3" s="91" t="s">
        <v>126</v>
      </c>
      <c r="E3" s="91" t="s">
        <v>127</v>
      </c>
      <c r="F3" s="91" t="s">
        <v>128</v>
      </c>
      <c r="G3" s="107" t="s">
        <v>134</v>
      </c>
      <c r="H3" s="128" t="s">
        <v>135</v>
      </c>
    </row>
    <row r="4" spans="1:8" customHeight="1" ht="15" s="35" customFormat="1">
      <c r="A4" s="67" t="s">
        <v>136</v>
      </c>
      <c r="B4" s="67" t="s">
        <v>137</v>
      </c>
      <c r="C4" s="91" t="s">
        <v>138</v>
      </c>
      <c r="D4" s="91" t="s">
        <v>139</v>
      </c>
      <c r="E4" s="91" t="s">
        <v>140</v>
      </c>
      <c r="F4" s="91" t="s">
        <v>141</v>
      </c>
      <c r="G4" s="107" t="s">
        <v>142</v>
      </c>
      <c r="H4" s="60" t="s">
        <v>143</v>
      </c>
    </row>
    <row r="5" spans="1:8" customHeight="1" ht="15" s="35" customFormat="1">
      <c r="A5" s="67" t="s">
        <v>136</v>
      </c>
      <c r="B5" s="67" t="s">
        <v>144</v>
      </c>
      <c r="C5" s="91" t="s">
        <v>145</v>
      </c>
      <c r="D5" s="91" t="s">
        <v>139</v>
      </c>
      <c r="E5" s="91" t="s">
        <v>140</v>
      </c>
      <c r="F5" s="91" t="s">
        <v>141</v>
      </c>
      <c r="G5" s="107" t="s">
        <v>146</v>
      </c>
      <c r="H5" s="60" t="s">
        <v>143</v>
      </c>
    </row>
    <row r="6" spans="1:8" customHeight="1" ht="15" s="35" customFormat="1">
      <c r="A6" s="67" t="s">
        <v>147</v>
      </c>
      <c r="B6" s="67" t="s">
        <v>144</v>
      </c>
      <c r="C6" s="91" t="s">
        <v>145</v>
      </c>
      <c r="D6" s="91" t="s">
        <v>139</v>
      </c>
      <c r="E6" s="91" t="s">
        <v>140</v>
      </c>
      <c r="F6" s="91" t="s">
        <v>148</v>
      </c>
      <c r="G6" s="107" t="s">
        <v>146</v>
      </c>
      <c r="H6" s="60" t="s">
        <v>143</v>
      </c>
    </row>
    <row r="7" spans="1:8" customHeight="1" ht="15" s="35" customFormat="1">
      <c r="A7" s="67" t="s">
        <v>147</v>
      </c>
      <c r="B7" s="67" t="s">
        <v>149</v>
      </c>
      <c r="C7" s="91" t="s">
        <v>125</v>
      </c>
      <c r="D7" s="91" t="s">
        <v>139</v>
      </c>
      <c r="E7" s="91" t="s">
        <v>140</v>
      </c>
      <c r="F7" s="91" t="s">
        <v>148</v>
      </c>
      <c r="G7" s="107" t="s">
        <v>142</v>
      </c>
      <c r="H7" s="60" t="s">
        <v>143</v>
      </c>
    </row>
    <row r="8" spans="1:8" customHeight="1" ht="15" s="35" customFormat="1">
      <c r="A8" s="67" t="s">
        <v>150</v>
      </c>
      <c r="B8" s="67" t="s">
        <v>137</v>
      </c>
      <c r="C8" s="91" t="s">
        <v>138</v>
      </c>
      <c r="D8" s="91" t="s">
        <v>139</v>
      </c>
      <c r="E8" s="91" t="s">
        <v>140</v>
      </c>
      <c r="F8" s="91" t="s">
        <v>151</v>
      </c>
      <c r="G8" s="107" t="s">
        <v>142</v>
      </c>
      <c r="H8" s="60" t="s">
        <v>143</v>
      </c>
    </row>
    <row r="9" spans="1:8" customHeight="1" ht="15" s="35" customFormat="1">
      <c r="A9" s="67" t="s">
        <v>150</v>
      </c>
      <c r="B9" s="67" t="s">
        <v>144</v>
      </c>
      <c r="C9" s="91" t="s">
        <v>145</v>
      </c>
      <c r="D9" s="91" t="s">
        <v>139</v>
      </c>
      <c r="E9" s="91" t="s">
        <v>140</v>
      </c>
      <c r="F9" s="91" t="s">
        <v>151</v>
      </c>
      <c r="G9" s="107" t="s">
        <v>146</v>
      </c>
      <c r="H9" s="60" t="s">
        <v>143</v>
      </c>
    </row>
    <row r="10" spans="1:8" customHeight="1" ht="15" s="35" customFormat="1">
      <c r="A10" s="105" t="s">
        <v>152</v>
      </c>
      <c r="B10" s="105" t="s">
        <v>153</v>
      </c>
      <c r="C10" s="94" t="s">
        <v>154</v>
      </c>
      <c r="D10" s="94" t="s">
        <v>126</v>
      </c>
      <c r="E10" s="93" t="s">
        <v>127</v>
      </c>
      <c r="F10" s="94" t="s">
        <v>128</v>
      </c>
      <c r="G10" s="107" t="s">
        <v>155</v>
      </c>
      <c r="H10" s="229" t="s">
        <v>156</v>
      </c>
    </row>
    <row r="11" spans="1:8" customHeight="1" ht="15" s="35" customFormat="1">
      <c r="A11" s="67" t="s">
        <v>152</v>
      </c>
      <c r="B11" s="67" t="s">
        <v>157</v>
      </c>
      <c r="C11" s="91" t="s">
        <v>154</v>
      </c>
      <c r="D11" s="91" t="s">
        <v>126</v>
      </c>
      <c r="E11" s="91" t="s">
        <v>127</v>
      </c>
      <c r="F11" s="91" t="s">
        <v>128</v>
      </c>
      <c r="G11" s="107" t="s">
        <v>158</v>
      </c>
      <c r="H11" s="229" t="s">
        <v>156</v>
      </c>
    </row>
    <row r="12" spans="1:8" customHeight="1" ht="15" s="35" customFormat="1">
      <c r="A12" s="67" t="s">
        <v>152</v>
      </c>
      <c r="B12" s="102" t="s">
        <v>159</v>
      </c>
      <c r="C12" s="91" t="s">
        <v>138</v>
      </c>
      <c r="D12" s="94" t="s">
        <v>126</v>
      </c>
      <c r="E12" s="94" t="s">
        <v>127</v>
      </c>
      <c r="F12" s="94" t="s">
        <v>128</v>
      </c>
      <c r="G12" s="107" t="s">
        <v>155</v>
      </c>
      <c r="H12" s="229" t="s">
        <v>156</v>
      </c>
    </row>
    <row r="13" spans="1:8" customHeight="1" ht="15" s="35" customFormat="1">
      <c r="A13" s="97" t="s">
        <v>160</v>
      </c>
      <c r="B13" s="97" t="s">
        <v>161</v>
      </c>
      <c r="C13" s="91" t="s">
        <v>154</v>
      </c>
      <c r="D13" s="91" t="s">
        <v>126</v>
      </c>
      <c r="E13" s="91" t="s">
        <v>127</v>
      </c>
      <c r="F13" s="91" t="s">
        <v>128</v>
      </c>
      <c r="G13" s="107" t="s">
        <v>155</v>
      </c>
      <c r="H13" s="229" t="s">
        <v>156</v>
      </c>
    </row>
    <row r="14" spans="1:8" customHeight="1" ht="15" s="35" customFormat="1">
      <c r="A14" s="97" t="s">
        <v>160</v>
      </c>
      <c r="B14" s="97" t="s">
        <v>162</v>
      </c>
      <c r="C14" s="91" t="s">
        <v>154</v>
      </c>
      <c r="D14" s="91" t="s">
        <v>126</v>
      </c>
      <c r="E14" s="91" t="s">
        <v>127</v>
      </c>
      <c r="F14" s="91" t="s">
        <v>128</v>
      </c>
      <c r="G14" s="107" t="s">
        <v>155</v>
      </c>
      <c r="H14" s="229" t="s">
        <v>156</v>
      </c>
    </row>
    <row r="15" spans="1:8" customHeight="1" ht="15">
      <c r="A15" s="97" t="s">
        <v>160</v>
      </c>
      <c r="B15" s="97" t="s">
        <v>163</v>
      </c>
      <c r="C15" s="91" t="s">
        <v>145</v>
      </c>
      <c r="D15" s="91" t="s">
        <v>126</v>
      </c>
      <c r="E15" s="91" t="s">
        <v>127</v>
      </c>
      <c r="F15" s="91" t="s">
        <v>128</v>
      </c>
      <c r="G15" s="107" t="s">
        <v>164</v>
      </c>
      <c r="H15" s="229" t="s">
        <v>156</v>
      </c>
    </row>
    <row r="16" spans="1:8" customHeight="1" ht="15">
      <c r="A16" s="67" t="s">
        <v>165</v>
      </c>
      <c r="B16" s="67" t="s">
        <v>137</v>
      </c>
      <c r="C16" s="91" t="s">
        <v>138</v>
      </c>
      <c r="D16" s="91" t="s">
        <v>139</v>
      </c>
      <c r="E16" s="91" t="s">
        <v>140</v>
      </c>
      <c r="F16" s="91" t="s">
        <v>166</v>
      </c>
      <c r="G16" s="107" t="s">
        <v>142</v>
      </c>
      <c r="H16" s="60" t="s">
        <v>143</v>
      </c>
    </row>
    <row r="17" spans="1:8" customHeight="1" ht="15">
      <c r="A17" s="67" t="s">
        <v>165</v>
      </c>
      <c r="B17" s="67" t="s">
        <v>144</v>
      </c>
      <c r="C17" s="91" t="s">
        <v>145</v>
      </c>
      <c r="D17" s="91" t="s">
        <v>139</v>
      </c>
      <c r="E17" s="91" t="s">
        <v>140</v>
      </c>
      <c r="F17" s="91" t="s">
        <v>166</v>
      </c>
      <c r="G17" s="107" t="s">
        <v>146</v>
      </c>
      <c r="H17" s="60" t="s">
        <v>143</v>
      </c>
    </row>
    <row r="18" spans="1:8" customHeight="1" ht="15">
      <c r="A18" s="67" t="s">
        <v>167</v>
      </c>
      <c r="B18" s="67" t="s">
        <v>168</v>
      </c>
      <c r="C18" s="91" t="s">
        <v>145</v>
      </c>
      <c r="D18" s="91" t="s">
        <v>126</v>
      </c>
      <c r="E18" s="91" t="s">
        <v>127</v>
      </c>
      <c r="F18" s="91" t="s">
        <v>128</v>
      </c>
      <c r="G18" s="107" t="s">
        <v>158</v>
      </c>
      <c r="H18" s="60" t="s">
        <v>169</v>
      </c>
    </row>
    <row r="19" spans="1:8" customHeight="1" ht="15">
      <c r="A19" s="67" t="s">
        <v>170</v>
      </c>
      <c r="B19" s="67" t="s">
        <v>137</v>
      </c>
      <c r="C19" s="91" t="s">
        <v>138</v>
      </c>
      <c r="D19" s="91" t="s">
        <v>139</v>
      </c>
      <c r="E19" s="91" t="s">
        <v>140</v>
      </c>
      <c r="F19" s="91" t="s">
        <v>171</v>
      </c>
      <c r="G19" s="107" t="s">
        <v>142</v>
      </c>
      <c r="H19" s="60" t="s">
        <v>143</v>
      </c>
    </row>
    <row r="20" spans="1:8" customHeight="1" ht="15">
      <c r="A20" s="67" t="s">
        <v>170</v>
      </c>
      <c r="B20" s="67" t="s">
        <v>144</v>
      </c>
      <c r="C20" s="91" t="s">
        <v>145</v>
      </c>
      <c r="D20" s="91" t="s">
        <v>139</v>
      </c>
      <c r="E20" s="91" t="s">
        <v>140</v>
      </c>
      <c r="F20" s="91" t="s">
        <v>171</v>
      </c>
      <c r="G20" s="107" t="s">
        <v>146</v>
      </c>
      <c r="H20" s="60" t="s">
        <v>143</v>
      </c>
    </row>
    <row r="21" spans="1:8" customHeight="1" ht="15">
      <c r="A21" s="67" t="s">
        <v>170</v>
      </c>
      <c r="B21" s="67" t="s">
        <v>149</v>
      </c>
      <c r="C21" s="91" t="s">
        <v>125</v>
      </c>
      <c r="D21" s="91" t="s">
        <v>139</v>
      </c>
      <c r="E21" s="91" t="s">
        <v>140</v>
      </c>
      <c r="F21" s="91" t="s">
        <v>171</v>
      </c>
      <c r="G21" s="107" t="s">
        <v>142</v>
      </c>
      <c r="H21" s="60" t="s">
        <v>143</v>
      </c>
    </row>
    <row r="22" spans="1:8" customHeight="1" ht="15">
      <c r="A22" s="108" t="s">
        <v>172</v>
      </c>
      <c r="B22" s="93" t="s">
        <v>173</v>
      </c>
      <c r="C22" s="94" t="s">
        <v>145</v>
      </c>
      <c r="D22" s="94" t="s">
        <v>139</v>
      </c>
      <c r="E22" s="94" t="s">
        <v>174</v>
      </c>
      <c r="F22" s="94" t="s">
        <v>128</v>
      </c>
      <c r="G22" s="107" t="s">
        <v>175</v>
      </c>
      <c r="H22" s="60" t="s">
        <v>176</v>
      </c>
    </row>
    <row r="23" spans="1:8" customHeight="1" ht="15">
      <c r="A23" s="108" t="s">
        <v>172</v>
      </c>
      <c r="B23" s="109" t="s">
        <v>177</v>
      </c>
      <c r="C23" s="94" t="s">
        <v>178</v>
      </c>
      <c r="D23" s="94" t="s">
        <v>139</v>
      </c>
      <c r="E23" s="94" t="s">
        <v>174</v>
      </c>
      <c r="F23" s="94" t="s">
        <v>128</v>
      </c>
      <c r="G23" s="107" t="s">
        <v>179</v>
      </c>
      <c r="H23" s="60" t="s">
        <v>176</v>
      </c>
    </row>
    <row r="24" spans="1:8" customHeight="1" ht="15">
      <c r="A24" s="67" t="s">
        <v>180</v>
      </c>
      <c r="B24" s="102" t="s">
        <v>181</v>
      </c>
      <c r="C24" s="91" t="s">
        <v>154</v>
      </c>
      <c r="D24" s="94" t="s">
        <v>126</v>
      </c>
      <c r="E24" s="94" t="s">
        <v>127</v>
      </c>
      <c r="F24" s="94" t="s">
        <v>128</v>
      </c>
      <c r="G24" s="107" t="s">
        <v>155</v>
      </c>
      <c r="H24" s="60" t="s">
        <v>182</v>
      </c>
    </row>
    <row r="25" spans="1:8" customHeight="1" ht="15">
      <c r="A25" s="67" t="s">
        <v>180</v>
      </c>
      <c r="B25" s="67" t="s">
        <v>183</v>
      </c>
      <c r="C25" s="91" t="s">
        <v>154</v>
      </c>
      <c r="D25" s="91" t="s">
        <v>126</v>
      </c>
      <c r="E25" s="91" t="s">
        <v>127</v>
      </c>
      <c r="F25" s="91" t="s">
        <v>128</v>
      </c>
      <c r="G25" s="107" t="s">
        <v>155</v>
      </c>
      <c r="H25" s="60" t="s">
        <v>182</v>
      </c>
    </row>
    <row r="26" spans="1:8" customHeight="1" ht="15">
      <c r="A26" s="67" t="s">
        <v>180</v>
      </c>
      <c r="B26" s="67" t="s">
        <v>184</v>
      </c>
      <c r="C26" s="91" t="s">
        <v>154</v>
      </c>
      <c r="D26" s="91" t="s">
        <v>126</v>
      </c>
      <c r="E26" s="91" t="s">
        <v>127</v>
      </c>
      <c r="F26" s="91" t="s">
        <v>128</v>
      </c>
      <c r="G26" s="107" t="s">
        <v>155</v>
      </c>
      <c r="H26" s="60" t="s">
        <v>182</v>
      </c>
    </row>
    <row r="27" spans="1:8" customHeight="1" ht="15" s="36" customFormat="1">
      <c r="A27" s="67" t="s">
        <v>180</v>
      </c>
      <c r="B27" s="67" t="s">
        <v>185</v>
      </c>
      <c r="C27" s="91" t="s">
        <v>154</v>
      </c>
      <c r="D27" s="91" t="s">
        <v>126</v>
      </c>
      <c r="E27" s="91" t="s">
        <v>127</v>
      </c>
      <c r="F27" s="91" t="s">
        <v>128</v>
      </c>
      <c r="G27" s="107" t="s">
        <v>155</v>
      </c>
      <c r="H27" s="60" t="s">
        <v>182</v>
      </c>
    </row>
    <row r="28" spans="1:8" customHeight="1" ht="15" s="36" customFormat="1">
      <c r="A28" s="67" t="s">
        <v>180</v>
      </c>
      <c r="B28" s="67" t="s">
        <v>186</v>
      </c>
      <c r="C28" s="91" t="s">
        <v>154</v>
      </c>
      <c r="D28" s="91" t="s">
        <v>126</v>
      </c>
      <c r="E28" s="91" t="s">
        <v>127</v>
      </c>
      <c r="F28" s="91" t="s">
        <v>128</v>
      </c>
      <c r="G28" s="107" t="s">
        <v>155</v>
      </c>
      <c r="H28" s="60" t="s">
        <v>182</v>
      </c>
    </row>
    <row r="29" spans="1:8" customHeight="1" ht="15" s="36" customFormat="1">
      <c r="A29" s="105" t="s">
        <v>180</v>
      </c>
      <c r="B29" s="105" t="s">
        <v>187</v>
      </c>
      <c r="C29" s="93" t="s">
        <v>154</v>
      </c>
      <c r="D29" s="93" t="s">
        <v>126</v>
      </c>
      <c r="E29" s="93" t="s">
        <v>127</v>
      </c>
      <c r="F29" s="94" t="s">
        <v>128</v>
      </c>
      <c r="G29" s="107" t="s">
        <v>155</v>
      </c>
      <c r="H29" s="60" t="s">
        <v>182</v>
      </c>
    </row>
    <row r="30" spans="1:8" customHeight="1" ht="15" s="36" customFormat="1">
      <c r="A30" s="67" t="s">
        <v>180</v>
      </c>
      <c r="B30" s="67" t="s">
        <v>188</v>
      </c>
      <c r="C30" s="91" t="s">
        <v>145</v>
      </c>
      <c r="D30" s="91" t="s">
        <v>126</v>
      </c>
      <c r="E30" s="91" t="s">
        <v>127</v>
      </c>
      <c r="F30" s="91" t="s">
        <v>128</v>
      </c>
      <c r="G30" s="107" t="s">
        <v>164</v>
      </c>
      <c r="H30" s="60" t="s">
        <v>182</v>
      </c>
    </row>
    <row r="31" spans="1:8" customHeight="1" ht="15" s="36" customFormat="1">
      <c r="A31" s="105" t="s">
        <v>180</v>
      </c>
      <c r="B31" s="105" t="s">
        <v>189</v>
      </c>
      <c r="C31" s="94" t="s">
        <v>145</v>
      </c>
      <c r="D31" s="93" t="s">
        <v>126</v>
      </c>
      <c r="E31" s="94" t="s">
        <v>127</v>
      </c>
      <c r="F31" s="94" t="s">
        <v>128</v>
      </c>
      <c r="G31" s="107" t="s">
        <v>164</v>
      </c>
      <c r="H31" s="60" t="s">
        <v>182</v>
      </c>
    </row>
    <row r="32" spans="1:8" customHeight="1" ht="15" s="36" customFormat="1">
      <c r="A32" s="105" t="s">
        <v>180</v>
      </c>
      <c r="B32" s="105" t="s">
        <v>190</v>
      </c>
      <c r="C32" s="94" t="s">
        <v>145</v>
      </c>
      <c r="D32" s="93" t="s">
        <v>126</v>
      </c>
      <c r="E32" s="94" t="s">
        <v>127</v>
      </c>
      <c r="F32" s="94" t="s">
        <v>128</v>
      </c>
      <c r="G32" s="107" t="s">
        <v>164</v>
      </c>
      <c r="H32" s="60" t="s">
        <v>182</v>
      </c>
    </row>
    <row r="33" spans="1:8" customHeight="1" ht="15" s="36" customFormat="1">
      <c r="A33" s="67" t="s">
        <v>180</v>
      </c>
      <c r="B33" s="67" t="s">
        <v>191</v>
      </c>
      <c r="C33" s="91" t="s">
        <v>154</v>
      </c>
      <c r="D33" s="91" t="s">
        <v>126</v>
      </c>
      <c r="E33" s="91" t="s">
        <v>127</v>
      </c>
      <c r="F33" s="91" t="s">
        <v>128</v>
      </c>
      <c r="G33" s="107" t="s">
        <v>155</v>
      </c>
      <c r="H33" s="60" t="s">
        <v>182</v>
      </c>
    </row>
    <row r="34" spans="1:8" customHeight="1" ht="15" s="36" customFormat="1">
      <c r="A34" s="67" t="s">
        <v>180</v>
      </c>
      <c r="B34" s="67" t="s">
        <v>192</v>
      </c>
      <c r="C34" s="91" t="s">
        <v>154</v>
      </c>
      <c r="D34" s="91" t="s">
        <v>126</v>
      </c>
      <c r="E34" s="91" t="s">
        <v>127</v>
      </c>
      <c r="F34" s="91" t="s">
        <v>128</v>
      </c>
      <c r="G34" s="107" t="s">
        <v>155</v>
      </c>
      <c r="H34" s="60" t="s">
        <v>182</v>
      </c>
    </row>
    <row r="35" spans="1:8" customHeight="1" ht="15" s="36" customFormat="1">
      <c r="A35" s="67" t="s">
        <v>180</v>
      </c>
      <c r="B35" s="67" t="s">
        <v>193</v>
      </c>
      <c r="C35" s="91" t="s">
        <v>154</v>
      </c>
      <c r="D35" s="91" t="s">
        <v>126</v>
      </c>
      <c r="E35" s="91" t="s">
        <v>127</v>
      </c>
      <c r="F35" s="91" t="s">
        <v>128</v>
      </c>
      <c r="G35" s="107" t="s">
        <v>155</v>
      </c>
      <c r="H35" s="60" t="s">
        <v>182</v>
      </c>
    </row>
    <row r="36" spans="1:8" customHeight="1" ht="15" s="36" customFormat="1">
      <c r="A36" s="67" t="s">
        <v>180</v>
      </c>
      <c r="B36" s="67" t="s">
        <v>194</v>
      </c>
      <c r="C36" s="91" t="s">
        <v>154</v>
      </c>
      <c r="D36" s="91" t="s">
        <v>126</v>
      </c>
      <c r="E36" s="91" t="s">
        <v>127</v>
      </c>
      <c r="F36" s="91" t="s">
        <v>128</v>
      </c>
      <c r="G36" s="107" t="s">
        <v>155</v>
      </c>
      <c r="H36" s="60" t="s">
        <v>182</v>
      </c>
    </row>
    <row r="37" spans="1:8" customHeight="1" ht="15" s="36" customFormat="1">
      <c r="A37" s="67" t="s">
        <v>180</v>
      </c>
      <c r="B37" s="102" t="s">
        <v>195</v>
      </c>
      <c r="C37" s="91" t="s">
        <v>154</v>
      </c>
      <c r="D37" s="94" t="s">
        <v>126</v>
      </c>
      <c r="E37" s="94" t="s">
        <v>127</v>
      </c>
      <c r="F37" s="94" t="s">
        <v>128</v>
      </c>
      <c r="G37" s="107" t="s">
        <v>155</v>
      </c>
      <c r="H37" s="60" t="s">
        <v>182</v>
      </c>
    </row>
    <row r="38" spans="1:8" customHeight="1" ht="15" s="36" customFormat="1">
      <c r="A38" s="67" t="s">
        <v>180</v>
      </c>
      <c r="B38" s="67" t="s">
        <v>196</v>
      </c>
      <c r="C38" s="91" t="s">
        <v>154</v>
      </c>
      <c r="D38" s="91" t="s">
        <v>126</v>
      </c>
      <c r="E38" s="91" t="s">
        <v>127</v>
      </c>
      <c r="F38" s="91" t="s">
        <v>128</v>
      </c>
      <c r="G38" s="107" t="s">
        <v>155</v>
      </c>
      <c r="H38" s="60" t="s">
        <v>182</v>
      </c>
    </row>
    <row r="39" spans="1:8" customHeight="1" ht="15" s="36" customFormat="1">
      <c r="A39" s="67" t="s">
        <v>180</v>
      </c>
      <c r="B39" s="67" t="s">
        <v>197</v>
      </c>
      <c r="C39" s="91" t="s">
        <v>154</v>
      </c>
      <c r="D39" s="91" t="s">
        <v>126</v>
      </c>
      <c r="E39" s="91" t="s">
        <v>127</v>
      </c>
      <c r="F39" s="91" t="s">
        <v>128</v>
      </c>
      <c r="G39" s="107" t="s">
        <v>155</v>
      </c>
      <c r="H39" s="60" t="s">
        <v>182</v>
      </c>
    </row>
    <row r="40" spans="1:8" customHeight="1" ht="15" s="36" customFormat="1">
      <c r="A40" s="67" t="s">
        <v>180</v>
      </c>
      <c r="B40" s="67" t="s">
        <v>198</v>
      </c>
      <c r="C40" s="91" t="s">
        <v>154</v>
      </c>
      <c r="D40" s="91" t="s">
        <v>126</v>
      </c>
      <c r="E40" s="91" t="s">
        <v>127</v>
      </c>
      <c r="F40" s="91" t="s">
        <v>128</v>
      </c>
      <c r="G40" s="107" t="s">
        <v>155</v>
      </c>
      <c r="H40" s="60" t="s">
        <v>182</v>
      </c>
    </row>
    <row r="41" spans="1:8" customHeight="1" ht="15" s="36" customFormat="1">
      <c r="A41" s="67" t="s">
        <v>180</v>
      </c>
      <c r="B41" s="67" t="s">
        <v>199</v>
      </c>
      <c r="C41" s="91" t="s">
        <v>154</v>
      </c>
      <c r="D41" s="91" t="s">
        <v>126</v>
      </c>
      <c r="E41" s="91" t="s">
        <v>127</v>
      </c>
      <c r="F41" s="91" t="s">
        <v>128</v>
      </c>
      <c r="G41" s="107" t="s">
        <v>155</v>
      </c>
      <c r="H41" s="60" t="s">
        <v>182</v>
      </c>
    </row>
    <row r="42" spans="1:8" customHeight="1" ht="15" s="36" customFormat="1">
      <c r="A42" s="105" t="s">
        <v>180</v>
      </c>
      <c r="B42" s="105" t="s">
        <v>200</v>
      </c>
      <c r="C42" s="93" t="s">
        <v>154</v>
      </c>
      <c r="D42" s="93" t="s">
        <v>126</v>
      </c>
      <c r="E42" s="93" t="s">
        <v>127</v>
      </c>
      <c r="F42" s="94" t="s">
        <v>128</v>
      </c>
      <c r="G42" s="107" t="s">
        <v>155</v>
      </c>
      <c r="H42" s="60" t="s">
        <v>182</v>
      </c>
    </row>
    <row r="43" spans="1:8" customHeight="1" ht="15" s="36" customFormat="1">
      <c r="A43" s="67" t="s">
        <v>180</v>
      </c>
      <c r="B43" s="67" t="s">
        <v>201</v>
      </c>
      <c r="C43" s="91" t="s">
        <v>154</v>
      </c>
      <c r="D43" s="91" t="s">
        <v>126</v>
      </c>
      <c r="E43" s="91" t="s">
        <v>127</v>
      </c>
      <c r="F43" s="91" t="s">
        <v>128</v>
      </c>
      <c r="G43" s="107" t="s">
        <v>155</v>
      </c>
      <c r="H43" s="60" t="s">
        <v>182</v>
      </c>
    </row>
    <row r="44" spans="1:8" customHeight="1" ht="15" s="36" customFormat="1">
      <c r="A44" s="67" t="s">
        <v>180</v>
      </c>
      <c r="B44" s="67" t="s">
        <v>202</v>
      </c>
      <c r="C44" s="91" t="s">
        <v>154</v>
      </c>
      <c r="D44" s="91" t="s">
        <v>126</v>
      </c>
      <c r="E44" s="91" t="s">
        <v>127</v>
      </c>
      <c r="F44" s="91" t="s">
        <v>128</v>
      </c>
      <c r="G44" s="107" t="s">
        <v>155</v>
      </c>
      <c r="H44" s="60" t="s">
        <v>182</v>
      </c>
    </row>
    <row r="45" spans="1:8" customHeight="1" ht="15.75" s="36" customFormat="1">
      <c r="A45" s="67" t="s">
        <v>180</v>
      </c>
      <c r="B45" s="67" t="s">
        <v>203</v>
      </c>
      <c r="C45" s="91" t="s">
        <v>154</v>
      </c>
      <c r="D45" s="91" t="s">
        <v>126</v>
      </c>
      <c r="E45" s="91" t="s">
        <v>127</v>
      </c>
      <c r="F45" s="91" t="s">
        <v>128</v>
      </c>
      <c r="G45" s="107" t="s">
        <v>155</v>
      </c>
      <c r="H45" s="60" t="s">
        <v>182</v>
      </c>
    </row>
    <row r="46" spans="1:8" customHeight="1" ht="15.75" s="36" customFormat="1">
      <c r="A46" s="67" t="s">
        <v>180</v>
      </c>
      <c r="B46" s="98" t="s">
        <v>204</v>
      </c>
      <c r="C46" s="91" t="s">
        <v>154</v>
      </c>
      <c r="D46" s="91" t="s">
        <v>126</v>
      </c>
      <c r="E46" s="91" t="s">
        <v>127</v>
      </c>
      <c r="F46" s="91" t="s">
        <v>128</v>
      </c>
      <c r="G46" s="107" t="s">
        <v>155</v>
      </c>
      <c r="H46" s="60" t="s">
        <v>182</v>
      </c>
    </row>
    <row r="47" spans="1:8" customHeight="1" ht="16.5" s="36" customFormat="1">
      <c r="A47" s="67" t="s">
        <v>180</v>
      </c>
      <c r="B47" s="102" t="s">
        <v>205</v>
      </c>
      <c r="C47" s="91" t="s">
        <v>154</v>
      </c>
      <c r="D47" s="94" t="s">
        <v>126</v>
      </c>
      <c r="E47" s="94" t="s">
        <v>127</v>
      </c>
      <c r="F47" s="94" t="s">
        <v>128</v>
      </c>
      <c r="G47" s="107" t="s">
        <v>155</v>
      </c>
      <c r="H47" s="60" t="s">
        <v>182</v>
      </c>
    </row>
    <row r="48" spans="1:8" customHeight="1" ht="16.5" s="36" customFormat="1">
      <c r="A48" s="67" t="s">
        <v>180</v>
      </c>
      <c r="B48" s="67" t="s">
        <v>206</v>
      </c>
      <c r="C48" s="91" t="s">
        <v>154</v>
      </c>
      <c r="D48" s="91" t="s">
        <v>126</v>
      </c>
      <c r="E48" s="91" t="s">
        <v>127</v>
      </c>
      <c r="F48" s="91" t="s">
        <v>128</v>
      </c>
      <c r="G48" s="107" t="s">
        <v>155</v>
      </c>
      <c r="H48" s="60" t="s">
        <v>182</v>
      </c>
    </row>
    <row r="49" spans="1:8" customHeight="1" ht="15" s="36" customFormat="1">
      <c r="A49" s="67" t="s">
        <v>180</v>
      </c>
      <c r="B49" s="67" t="s">
        <v>207</v>
      </c>
      <c r="C49" s="91" t="s">
        <v>154</v>
      </c>
      <c r="D49" s="91" t="s">
        <v>126</v>
      </c>
      <c r="E49" s="91" t="s">
        <v>127</v>
      </c>
      <c r="F49" s="91" t="s">
        <v>128</v>
      </c>
      <c r="G49" s="107" t="s">
        <v>155</v>
      </c>
      <c r="H49" s="60" t="s">
        <v>182</v>
      </c>
    </row>
    <row r="50" spans="1:8" customHeight="1" ht="15">
      <c r="A50" s="70" t="s">
        <v>208</v>
      </c>
      <c r="B50" s="103" t="s">
        <v>209</v>
      </c>
      <c r="C50" s="91" t="s">
        <v>154</v>
      </c>
      <c r="D50" s="94" t="s">
        <v>126</v>
      </c>
      <c r="E50" s="94" t="s">
        <v>127</v>
      </c>
      <c r="F50" s="94" t="s">
        <v>128</v>
      </c>
      <c r="G50" s="107" t="s">
        <v>155</v>
      </c>
      <c r="H50" s="60" t="s">
        <v>182</v>
      </c>
    </row>
    <row r="51" spans="1:8" customHeight="1" ht="15">
      <c r="A51" s="70" t="s">
        <v>208</v>
      </c>
      <c r="B51" s="103" t="s">
        <v>210</v>
      </c>
      <c r="C51" s="94" t="s">
        <v>178</v>
      </c>
      <c r="D51" s="94" t="s">
        <v>126</v>
      </c>
      <c r="E51" s="93" t="s">
        <v>127</v>
      </c>
      <c r="F51" s="94" t="s">
        <v>128</v>
      </c>
      <c r="G51" s="107" t="s">
        <v>211</v>
      </c>
      <c r="H51" s="60" t="s">
        <v>182</v>
      </c>
    </row>
    <row r="52" spans="1:8" customHeight="1" ht="15">
      <c r="A52" s="105" t="s">
        <v>212</v>
      </c>
      <c r="B52" s="105" t="s">
        <v>213</v>
      </c>
      <c r="C52" s="93" t="s">
        <v>154</v>
      </c>
      <c r="D52" s="93" t="s">
        <v>126</v>
      </c>
      <c r="E52" s="93" t="s">
        <v>127</v>
      </c>
      <c r="F52" s="94" t="s">
        <v>128</v>
      </c>
      <c r="G52" s="107" t="s">
        <v>155</v>
      </c>
      <c r="H52" s="60" t="s">
        <v>182</v>
      </c>
    </row>
    <row r="53" spans="1:8" customHeight="1" ht="15">
      <c r="A53" s="105" t="s">
        <v>212</v>
      </c>
      <c r="B53" s="105" t="s">
        <v>214</v>
      </c>
      <c r="C53" s="93" t="s">
        <v>154</v>
      </c>
      <c r="D53" s="93" t="s">
        <v>126</v>
      </c>
      <c r="E53" s="93" t="s">
        <v>127</v>
      </c>
      <c r="F53" s="94" t="s">
        <v>128</v>
      </c>
      <c r="G53" s="107" t="s">
        <v>155</v>
      </c>
      <c r="H53" s="60" t="s">
        <v>182</v>
      </c>
    </row>
    <row r="54" spans="1:8" customHeight="1" ht="15">
      <c r="A54" s="105" t="s">
        <v>212</v>
      </c>
      <c r="B54" s="105" t="s">
        <v>215</v>
      </c>
      <c r="C54" s="93" t="s">
        <v>154</v>
      </c>
      <c r="D54" s="93" t="s">
        <v>126</v>
      </c>
      <c r="E54" s="93" t="s">
        <v>127</v>
      </c>
      <c r="F54" s="94" t="s">
        <v>128</v>
      </c>
      <c r="G54" s="107" t="s">
        <v>155</v>
      </c>
      <c r="H54" s="60" t="s">
        <v>182</v>
      </c>
    </row>
    <row r="55" spans="1:8" customHeight="1" ht="15">
      <c r="A55" s="67" t="s">
        <v>216</v>
      </c>
      <c r="B55" s="67" t="s">
        <v>183</v>
      </c>
      <c r="C55" s="91" t="s">
        <v>154</v>
      </c>
      <c r="D55" s="91" t="s">
        <v>139</v>
      </c>
      <c r="E55" s="94" t="s">
        <v>217</v>
      </c>
      <c r="F55" s="91" t="s">
        <v>128</v>
      </c>
      <c r="G55" s="107" t="s">
        <v>218</v>
      </c>
      <c r="H55" s="60" t="s">
        <v>219</v>
      </c>
    </row>
    <row r="56" spans="1:8" customHeight="1" ht="15">
      <c r="A56" s="105" t="s">
        <v>216</v>
      </c>
      <c r="B56" s="105" t="s">
        <v>220</v>
      </c>
      <c r="C56" s="94" t="s">
        <v>145</v>
      </c>
      <c r="D56" s="93" t="s">
        <v>126</v>
      </c>
      <c r="E56" s="94" t="s">
        <v>217</v>
      </c>
      <c r="F56" s="94" t="s">
        <v>128</v>
      </c>
      <c r="G56" s="107" t="s">
        <v>175</v>
      </c>
      <c r="H56" s="60" t="s">
        <v>219</v>
      </c>
    </row>
    <row r="57" spans="1:8" customHeight="1" ht="15">
      <c r="A57" s="67" t="s">
        <v>216</v>
      </c>
      <c r="B57" s="67" t="s">
        <v>221</v>
      </c>
      <c r="C57" s="94" t="s">
        <v>145</v>
      </c>
      <c r="D57" s="91" t="s">
        <v>139</v>
      </c>
      <c r="E57" s="94" t="s">
        <v>217</v>
      </c>
      <c r="F57" s="91" t="s">
        <v>128</v>
      </c>
      <c r="G57" s="107" t="s">
        <v>146</v>
      </c>
      <c r="H57" s="60" t="s">
        <v>219</v>
      </c>
    </row>
    <row r="58" spans="1:8" customHeight="1" ht="15">
      <c r="A58" s="67" t="s">
        <v>216</v>
      </c>
      <c r="B58" s="67" t="s">
        <v>222</v>
      </c>
      <c r="C58" s="91" t="s">
        <v>138</v>
      </c>
      <c r="D58" s="91" t="s">
        <v>139</v>
      </c>
      <c r="E58" s="94" t="s">
        <v>127</v>
      </c>
      <c r="F58" s="91" t="s">
        <v>128</v>
      </c>
      <c r="G58" s="107" t="s">
        <v>129</v>
      </c>
      <c r="H58" s="60" t="s">
        <v>219</v>
      </c>
    </row>
    <row r="59" spans="1:8" customHeight="1" ht="15">
      <c r="A59" s="67" t="s">
        <v>216</v>
      </c>
      <c r="B59" s="67" t="s">
        <v>223</v>
      </c>
      <c r="C59" s="91" t="s">
        <v>154</v>
      </c>
      <c r="D59" s="91" t="s">
        <v>139</v>
      </c>
      <c r="E59" s="94" t="s">
        <v>217</v>
      </c>
      <c r="F59" s="91" t="s">
        <v>128</v>
      </c>
      <c r="G59" s="107" t="s">
        <v>218</v>
      </c>
      <c r="H59" s="60" t="s">
        <v>219</v>
      </c>
    </row>
    <row r="60" spans="1:8" customHeight="1" ht="15">
      <c r="A60" s="67" t="s">
        <v>224</v>
      </c>
      <c r="B60" s="67" t="s">
        <v>225</v>
      </c>
      <c r="C60" s="91" t="s">
        <v>125</v>
      </c>
      <c r="D60" s="91" t="s">
        <v>126</v>
      </c>
      <c r="E60" s="91" t="s">
        <v>127</v>
      </c>
      <c r="F60" s="91" t="s">
        <v>128</v>
      </c>
      <c r="G60" s="107" t="s">
        <v>129</v>
      </c>
      <c r="H60" s="60" t="s">
        <v>226</v>
      </c>
    </row>
    <row r="61" spans="1:8" customHeight="1" ht="15">
      <c r="A61" s="67" t="s">
        <v>224</v>
      </c>
      <c r="B61" s="67" t="s">
        <v>227</v>
      </c>
      <c r="C61" s="91" t="s">
        <v>154</v>
      </c>
      <c r="D61" s="91" t="s">
        <v>126</v>
      </c>
      <c r="E61" s="91" t="s">
        <v>217</v>
      </c>
      <c r="F61" s="91" t="s">
        <v>128</v>
      </c>
      <c r="G61" s="107" t="s">
        <v>155</v>
      </c>
      <c r="H61" s="60" t="s">
        <v>226</v>
      </c>
    </row>
    <row r="62" spans="1:8" customHeight="1" ht="15">
      <c r="A62" s="67" t="s">
        <v>228</v>
      </c>
      <c r="B62" s="67" t="s">
        <v>229</v>
      </c>
      <c r="C62" s="91" t="s">
        <v>138</v>
      </c>
      <c r="D62" s="91" t="s">
        <v>126</v>
      </c>
      <c r="E62" s="91" t="s">
        <v>217</v>
      </c>
      <c r="F62" s="91" t="s">
        <v>128</v>
      </c>
      <c r="G62" s="107" t="s">
        <v>129</v>
      </c>
      <c r="H62" s="60" t="s">
        <v>226</v>
      </c>
    </row>
    <row r="63" spans="1:8" customHeight="1" ht="15">
      <c r="A63" s="194" t="s">
        <v>228</v>
      </c>
      <c r="B63" s="194" t="s">
        <v>230</v>
      </c>
      <c r="C63" s="91" t="s">
        <v>145</v>
      </c>
      <c r="D63" s="91" t="s">
        <v>126</v>
      </c>
      <c r="E63" s="91" t="s">
        <v>217</v>
      </c>
      <c r="F63" s="91" t="s">
        <v>128</v>
      </c>
      <c r="G63" s="107" t="s">
        <v>158</v>
      </c>
      <c r="H63" s="60" t="s">
        <v>226</v>
      </c>
    </row>
    <row r="64" spans="1:8" customHeight="1" ht="15">
      <c r="A64" s="67" t="s">
        <v>228</v>
      </c>
      <c r="B64" s="67" t="s">
        <v>231</v>
      </c>
      <c r="C64" s="91" t="s">
        <v>125</v>
      </c>
      <c r="D64" s="91" t="s">
        <v>126</v>
      </c>
      <c r="E64" s="91" t="s">
        <v>127</v>
      </c>
      <c r="F64" s="91" t="s">
        <v>128</v>
      </c>
      <c r="G64" s="107" t="s">
        <v>129</v>
      </c>
      <c r="H64" s="60" t="s">
        <v>226</v>
      </c>
    </row>
    <row r="65" spans="1:8" customHeight="1" ht="15">
      <c r="A65" s="67" t="s">
        <v>228</v>
      </c>
      <c r="B65" s="67" t="s">
        <v>232</v>
      </c>
      <c r="C65" s="91" t="s">
        <v>125</v>
      </c>
      <c r="D65" s="91" t="s">
        <v>126</v>
      </c>
      <c r="E65" s="91" t="s">
        <v>127</v>
      </c>
      <c r="F65" s="91" t="s">
        <v>128</v>
      </c>
      <c r="G65" s="107" t="s">
        <v>129</v>
      </c>
      <c r="H65" s="60" t="s">
        <v>226</v>
      </c>
    </row>
    <row r="66" spans="1:8" customHeight="1" ht="15">
      <c r="A66" s="67" t="s">
        <v>233</v>
      </c>
      <c r="B66" s="67" t="s">
        <v>234</v>
      </c>
      <c r="C66" s="91" t="s">
        <v>125</v>
      </c>
      <c r="D66" s="91" t="s">
        <v>139</v>
      </c>
      <c r="E66" s="91" t="s">
        <v>217</v>
      </c>
      <c r="F66" s="91" t="s">
        <v>128</v>
      </c>
      <c r="G66" s="107" t="s">
        <v>142</v>
      </c>
      <c r="H66" s="60" t="s">
        <v>226</v>
      </c>
    </row>
    <row r="67" spans="1:8" customHeight="1" ht="15">
      <c r="A67" s="67" t="s">
        <v>233</v>
      </c>
      <c r="B67" s="67" t="s">
        <v>235</v>
      </c>
      <c r="C67" s="91" t="s">
        <v>125</v>
      </c>
      <c r="D67" s="91" t="s">
        <v>139</v>
      </c>
      <c r="E67" s="91" t="s">
        <v>217</v>
      </c>
      <c r="F67" s="91" t="s">
        <v>128</v>
      </c>
      <c r="G67" s="107" t="s">
        <v>142</v>
      </c>
      <c r="H67" s="60" t="s">
        <v>226</v>
      </c>
    </row>
    <row r="68" spans="1:8" customHeight="1" ht="15">
      <c r="A68" s="67" t="s">
        <v>236</v>
      </c>
      <c r="B68" s="67" t="s">
        <v>137</v>
      </c>
      <c r="C68" s="91" t="s">
        <v>138</v>
      </c>
      <c r="D68" s="91" t="s">
        <v>139</v>
      </c>
      <c r="E68" s="91" t="s">
        <v>140</v>
      </c>
      <c r="F68" s="91" t="s">
        <v>237</v>
      </c>
      <c r="G68" s="107" t="s">
        <v>142</v>
      </c>
      <c r="H68" s="60" t="s">
        <v>143</v>
      </c>
    </row>
    <row r="69" spans="1:8" customHeight="1" ht="15">
      <c r="A69" s="67" t="s">
        <v>236</v>
      </c>
      <c r="B69" s="67" t="s">
        <v>144</v>
      </c>
      <c r="C69" s="91" t="s">
        <v>145</v>
      </c>
      <c r="D69" s="91" t="s">
        <v>139</v>
      </c>
      <c r="E69" s="91" t="s">
        <v>140</v>
      </c>
      <c r="F69" s="91" t="s">
        <v>237</v>
      </c>
      <c r="G69" s="107" t="s">
        <v>146</v>
      </c>
      <c r="H69" s="60" t="s">
        <v>143</v>
      </c>
    </row>
    <row r="70" spans="1:8" customHeight="1" ht="15">
      <c r="A70" s="90" t="s">
        <v>238</v>
      </c>
      <c r="B70" s="90" t="s">
        <v>239</v>
      </c>
      <c r="C70" s="93" t="s">
        <v>138</v>
      </c>
      <c r="D70" s="93" t="s">
        <v>139</v>
      </c>
      <c r="E70" s="93" t="s">
        <v>174</v>
      </c>
      <c r="F70" s="94" t="s">
        <v>128</v>
      </c>
      <c r="G70" s="107" t="s">
        <v>142</v>
      </c>
      <c r="H70" s="60" t="s">
        <v>135</v>
      </c>
    </row>
    <row r="71" spans="1:8" customHeight="1" ht="15">
      <c r="A71" s="90" t="s">
        <v>240</v>
      </c>
      <c r="B71" s="90" t="s">
        <v>239</v>
      </c>
      <c r="C71" s="93" t="s">
        <v>138</v>
      </c>
      <c r="D71" s="93" t="s">
        <v>139</v>
      </c>
      <c r="E71" s="93" t="s">
        <v>174</v>
      </c>
      <c r="F71" s="94" t="s">
        <v>128</v>
      </c>
      <c r="G71" s="107" t="s">
        <v>142</v>
      </c>
      <c r="H71" s="60" t="s">
        <v>135</v>
      </c>
    </row>
    <row r="72" spans="1:8" customHeight="1" ht="15">
      <c r="A72" s="90" t="s">
        <v>241</v>
      </c>
      <c r="B72" s="90" t="s">
        <v>239</v>
      </c>
      <c r="C72" s="93" t="s">
        <v>138</v>
      </c>
      <c r="D72" s="93" t="s">
        <v>139</v>
      </c>
      <c r="E72" s="93" t="s">
        <v>174</v>
      </c>
      <c r="F72" s="94" t="s">
        <v>128</v>
      </c>
      <c r="G72" s="107" t="s">
        <v>142</v>
      </c>
      <c r="H72" s="60" t="s">
        <v>135</v>
      </c>
    </row>
    <row r="73" spans="1:8" customHeight="1" ht="15">
      <c r="A73" s="67" t="s">
        <v>242</v>
      </c>
      <c r="B73" s="67" t="s">
        <v>243</v>
      </c>
      <c r="C73" s="91" t="s">
        <v>154</v>
      </c>
      <c r="D73" s="91" t="s">
        <v>126</v>
      </c>
      <c r="E73" s="91" t="s">
        <v>127</v>
      </c>
      <c r="F73" s="91" t="s">
        <v>128</v>
      </c>
      <c r="G73" s="107" t="s">
        <v>155</v>
      </c>
      <c r="H73" s="60" t="s">
        <v>156</v>
      </c>
    </row>
    <row r="74" spans="1:8" customHeight="1" ht="15">
      <c r="A74" s="67" t="s">
        <v>242</v>
      </c>
      <c r="B74" s="67" t="s">
        <v>244</v>
      </c>
      <c r="C74" s="91" t="s">
        <v>154</v>
      </c>
      <c r="D74" s="91" t="s">
        <v>126</v>
      </c>
      <c r="E74" s="91" t="s">
        <v>127</v>
      </c>
      <c r="F74" s="91" t="s">
        <v>128</v>
      </c>
      <c r="G74" s="107" t="s">
        <v>155</v>
      </c>
      <c r="H74" s="60" t="s">
        <v>143</v>
      </c>
    </row>
    <row r="75" spans="1:8" customHeight="1" ht="15">
      <c r="A75" s="67" t="s">
        <v>242</v>
      </c>
      <c r="B75" s="97" t="s">
        <v>163</v>
      </c>
      <c r="C75" s="91" t="s">
        <v>145</v>
      </c>
      <c r="D75" s="91" t="s">
        <v>126</v>
      </c>
      <c r="E75" s="91" t="s">
        <v>127</v>
      </c>
      <c r="F75" s="91" t="s">
        <v>128</v>
      </c>
      <c r="G75" s="107" t="s">
        <v>164</v>
      </c>
      <c r="H75" s="60" t="s">
        <v>130</v>
      </c>
    </row>
    <row r="76" spans="1:8" customHeight="1" ht="15">
      <c r="A76" s="67" t="s">
        <v>242</v>
      </c>
      <c r="B76" s="67" t="s">
        <v>132</v>
      </c>
      <c r="C76" s="91" t="s">
        <v>133</v>
      </c>
      <c r="D76" s="91" t="s">
        <v>126</v>
      </c>
      <c r="E76" s="91" t="s">
        <v>127</v>
      </c>
      <c r="F76" s="91" t="s">
        <v>128</v>
      </c>
      <c r="G76" s="107" t="s">
        <v>134</v>
      </c>
      <c r="H76" s="60" t="s">
        <v>143</v>
      </c>
    </row>
    <row r="77" spans="1:8" customHeight="1" ht="15">
      <c r="A77" s="67" t="s">
        <v>242</v>
      </c>
      <c r="B77" s="67" t="s">
        <v>245</v>
      </c>
      <c r="C77" s="91" t="s">
        <v>145</v>
      </c>
      <c r="D77" s="91" t="s">
        <v>126</v>
      </c>
      <c r="E77" s="91" t="s">
        <v>127</v>
      </c>
      <c r="F77" s="91" t="s">
        <v>128</v>
      </c>
      <c r="G77" s="107" t="s">
        <v>164</v>
      </c>
      <c r="H77" s="60" t="s">
        <v>143</v>
      </c>
    </row>
    <row r="78" spans="1:8" customHeight="1" ht="15">
      <c r="A78" s="67" t="s">
        <v>246</v>
      </c>
      <c r="B78" s="103" t="s">
        <v>247</v>
      </c>
      <c r="C78" s="94" t="s">
        <v>154</v>
      </c>
      <c r="D78" s="94" t="s">
        <v>126</v>
      </c>
      <c r="E78" s="93" t="s">
        <v>127</v>
      </c>
      <c r="F78" s="94" t="s">
        <v>128</v>
      </c>
      <c r="G78" s="107" t="s">
        <v>155</v>
      </c>
      <c r="H78" s="60" t="s">
        <v>143</v>
      </c>
    </row>
    <row r="79" spans="1:8" customHeight="1" ht="15">
      <c r="A79" s="67" t="s">
        <v>248</v>
      </c>
      <c r="B79" s="67" t="s">
        <v>249</v>
      </c>
      <c r="C79" s="91" t="s">
        <v>138</v>
      </c>
      <c r="D79" s="91" t="s">
        <v>126</v>
      </c>
      <c r="E79" s="91" t="s">
        <v>127</v>
      </c>
      <c r="F79" s="91" t="s">
        <v>128</v>
      </c>
      <c r="G79" s="107" t="s">
        <v>129</v>
      </c>
      <c r="H79" s="60" t="s">
        <v>250</v>
      </c>
    </row>
    <row r="80" spans="1:8" customHeight="1" ht="15">
      <c r="A80" s="105" t="s">
        <v>251</v>
      </c>
      <c r="B80" s="105" t="s">
        <v>252</v>
      </c>
      <c r="C80" s="93" t="s">
        <v>154</v>
      </c>
      <c r="D80" s="93" t="s">
        <v>139</v>
      </c>
      <c r="E80" s="93" t="s">
        <v>174</v>
      </c>
      <c r="F80" s="94" t="s">
        <v>128</v>
      </c>
      <c r="G80" s="107" t="s">
        <v>218</v>
      </c>
      <c r="H80" s="60" t="s">
        <v>176</v>
      </c>
    </row>
    <row r="81" spans="1:8" customHeight="1" ht="15">
      <c r="A81" s="67" t="s">
        <v>251</v>
      </c>
      <c r="B81" s="87" t="s">
        <v>252</v>
      </c>
      <c r="C81" s="93" t="s">
        <v>154</v>
      </c>
      <c r="D81" s="94" t="s">
        <v>139</v>
      </c>
      <c r="E81" s="94" t="s">
        <v>174</v>
      </c>
      <c r="F81" s="94" t="s">
        <v>128</v>
      </c>
      <c r="G81" s="107" t="s">
        <v>218</v>
      </c>
      <c r="H81" s="60" t="s">
        <v>176</v>
      </c>
    </row>
    <row r="82" spans="1:8" customHeight="1" ht="15">
      <c r="A82" s="105" t="s">
        <v>253</v>
      </c>
      <c r="B82" s="105" t="s">
        <v>254</v>
      </c>
      <c r="C82" s="93" t="s">
        <v>154</v>
      </c>
      <c r="D82" s="93" t="s">
        <v>126</v>
      </c>
      <c r="E82" s="93" t="s">
        <v>174</v>
      </c>
      <c r="F82" s="94" t="s">
        <v>128</v>
      </c>
      <c r="G82" s="107" t="s">
        <v>218</v>
      </c>
      <c r="H82" s="60" t="s">
        <v>176</v>
      </c>
    </row>
    <row r="83" spans="1:8" customHeight="1" ht="15">
      <c r="A83" s="105" t="s">
        <v>253</v>
      </c>
      <c r="B83" s="105" t="s">
        <v>255</v>
      </c>
      <c r="C83" s="93" t="s">
        <v>154</v>
      </c>
      <c r="D83" s="93" t="s">
        <v>126</v>
      </c>
      <c r="E83" s="93" t="s">
        <v>174</v>
      </c>
      <c r="F83" s="94" t="s">
        <v>128</v>
      </c>
      <c r="G83" s="107" t="s">
        <v>218</v>
      </c>
      <c r="H83" s="60" t="s">
        <v>176</v>
      </c>
    </row>
    <row r="84" spans="1:8" customHeight="1" ht="15">
      <c r="A84" s="105" t="s">
        <v>253</v>
      </c>
      <c r="B84" s="105" t="s">
        <v>256</v>
      </c>
      <c r="C84" s="93" t="s">
        <v>145</v>
      </c>
      <c r="D84" s="93" t="s">
        <v>126</v>
      </c>
      <c r="E84" s="94" t="s">
        <v>174</v>
      </c>
      <c r="F84" s="94" t="s">
        <v>128</v>
      </c>
      <c r="G84" s="107" t="s">
        <v>146</v>
      </c>
      <c r="H84" s="60" t="s">
        <v>176</v>
      </c>
    </row>
    <row r="85" spans="1:8" customHeight="1" ht="15">
      <c r="A85" s="105" t="s">
        <v>257</v>
      </c>
      <c r="B85" s="105" t="s">
        <v>256</v>
      </c>
      <c r="C85" s="93" t="s">
        <v>145</v>
      </c>
      <c r="D85" s="93" t="s">
        <v>126</v>
      </c>
      <c r="E85" s="94" t="s">
        <v>127</v>
      </c>
      <c r="F85" s="94" t="s">
        <v>128</v>
      </c>
      <c r="G85" s="107" t="s">
        <v>158</v>
      </c>
      <c r="H85" s="60" t="s">
        <v>250</v>
      </c>
    </row>
    <row r="86" spans="1:8" customHeight="1" ht="15">
      <c r="A86" s="105" t="s">
        <v>257</v>
      </c>
      <c r="B86" s="105" t="s">
        <v>249</v>
      </c>
      <c r="C86" s="93" t="s">
        <v>138</v>
      </c>
      <c r="D86" s="93" t="s">
        <v>126</v>
      </c>
      <c r="E86" s="93" t="s">
        <v>127</v>
      </c>
      <c r="F86" s="94" t="s">
        <v>128</v>
      </c>
      <c r="G86" s="107" t="s">
        <v>129</v>
      </c>
      <c r="H86" s="60" t="s">
        <v>250</v>
      </c>
    </row>
    <row r="87" spans="1:8" customHeight="1" ht="15">
      <c r="A87" s="67" t="s">
        <v>258</v>
      </c>
      <c r="B87" s="67" t="s">
        <v>259</v>
      </c>
      <c r="C87" s="91" t="s">
        <v>138</v>
      </c>
      <c r="D87" s="91" t="s">
        <v>126</v>
      </c>
      <c r="E87" s="91" t="s">
        <v>127</v>
      </c>
      <c r="F87" s="91" t="s">
        <v>128</v>
      </c>
      <c r="G87" s="107" t="s">
        <v>129</v>
      </c>
      <c r="H87" s="60" t="s">
        <v>182</v>
      </c>
    </row>
    <row r="88" spans="1:8" customHeight="1" ht="15">
      <c r="A88" s="67" t="s">
        <v>258</v>
      </c>
      <c r="B88" s="67" t="s">
        <v>260</v>
      </c>
      <c r="C88" s="91" t="s">
        <v>145</v>
      </c>
      <c r="D88" s="91" t="s">
        <v>126</v>
      </c>
      <c r="E88" s="91" t="s">
        <v>127</v>
      </c>
      <c r="F88" s="91" t="s">
        <v>128</v>
      </c>
      <c r="G88" s="107" t="s">
        <v>158</v>
      </c>
      <c r="H88" s="60" t="s">
        <v>182</v>
      </c>
    </row>
    <row r="89" spans="1:8" customHeight="1" ht="15">
      <c r="A89" s="67" t="s">
        <v>261</v>
      </c>
      <c r="B89" s="67" t="s">
        <v>262</v>
      </c>
      <c r="C89" s="91" t="s">
        <v>154</v>
      </c>
      <c r="D89" s="91" t="s">
        <v>126</v>
      </c>
      <c r="E89" s="91" t="s">
        <v>263</v>
      </c>
      <c r="F89" s="91" t="s">
        <v>128</v>
      </c>
      <c r="G89" s="107" t="s">
        <v>155</v>
      </c>
      <c r="H89" s="60" t="s">
        <v>135</v>
      </c>
    </row>
    <row r="90" spans="1:8" customHeight="1" ht="15">
      <c r="A90" s="67" t="s">
        <v>261</v>
      </c>
      <c r="B90" s="67" t="s">
        <v>264</v>
      </c>
      <c r="C90" s="91" t="s">
        <v>145</v>
      </c>
      <c r="D90" s="91" t="s">
        <v>126</v>
      </c>
      <c r="E90" s="91" t="s">
        <v>263</v>
      </c>
      <c r="F90" s="91" t="s">
        <v>128</v>
      </c>
      <c r="G90" s="107" t="s">
        <v>158</v>
      </c>
      <c r="H90" s="60" t="s">
        <v>135</v>
      </c>
    </row>
    <row r="91" spans="1:8" customHeight="1" ht="15">
      <c r="A91" s="67" t="s">
        <v>172</v>
      </c>
      <c r="B91" s="67" t="s">
        <v>265</v>
      </c>
      <c r="C91" s="91" t="s">
        <v>154</v>
      </c>
      <c r="D91" s="91" t="s">
        <v>126</v>
      </c>
      <c r="E91" s="91" t="s">
        <v>174</v>
      </c>
      <c r="F91" s="91" t="s">
        <v>128</v>
      </c>
      <c r="G91" s="107" t="s">
        <v>155</v>
      </c>
      <c r="H91" s="60" t="s">
        <v>176</v>
      </c>
    </row>
    <row r="92" spans="1:8" customHeight="1" ht="15">
      <c r="A92" s="67" t="s">
        <v>172</v>
      </c>
      <c r="B92" s="67" t="s">
        <v>266</v>
      </c>
      <c r="C92" s="91" t="s">
        <v>154</v>
      </c>
      <c r="D92" s="91" t="s">
        <v>126</v>
      </c>
      <c r="E92" s="91" t="s">
        <v>174</v>
      </c>
      <c r="F92" s="91" t="s">
        <v>128</v>
      </c>
      <c r="G92" s="107" t="s">
        <v>155</v>
      </c>
      <c r="H92" s="60" t="s">
        <v>176</v>
      </c>
    </row>
    <row r="93" spans="1:8" customHeight="1" ht="15">
      <c r="A93" s="67" t="s">
        <v>172</v>
      </c>
      <c r="B93" s="105" t="s">
        <v>256</v>
      </c>
      <c r="C93" s="91" t="s">
        <v>145</v>
      </c>
      <c r="D93" s="91" t="s">
        <v>126</v>
      </c>
      <c r="E93" s="91" t="s">
        <v>174</v>
      </c>
      <c r="F93" s="91" t="s">
        <v>128</v>
      </c>
      <c r="G93" s="107" t="s">
        <v>146</v>
      </c>
      <c r="H93" s="60" t="s">
        <v>176</v>
      </c>
    </row>
    <row r="94" spans="1:8" customHeight="1" ht="15">
      <c r="A94" s="67" t="s">
        <v>172</v>
      </c>
      <c r="B94" s="105" t="s">
        <v>267</v>
      </c>
      <c r="C94" s="93" t="s">
        <v>154</v>
      </c>
      <c r="D94" s="93" t="s">
        <v>126</v>
      </c>
      <c r="E94" s="93" t="s">
        <v>174</v>
      </c>
      <c r="F94" s="94" t="s">
        <v>128</v>
      </c>
      <c r="G94" s="107" t="s">
        <v>155</v>
      </c>
      <c r="H94" s="60" t="s">
        <v>176</v>
      </c>
    </row>
    <row r="95" spans="1:8" customHeight="1" ht="15">
      <c r="A95" s="67" t="s">
        <v>172</v>
      </c>
      <c r="B95" s="105" t="s">
        <v>268</v>
      </c>
      <c r="C95" s="93" t="s">
        <v>154</v>
      </c>
      <c r="D95" s="93" t="s">
        <v>126</v>
      </c>
      <c r="E95" s="93" t="s">
        <v>174</v>
      </c>
      <c r="F95" s="94" t="s">
        <v>128</v>
      </c>
      <c r="G95" s="107" t="s">
        <v>155</v>
      </c>
      <c r="H95" s="60" t="s">
        <v>176</v>
      </c>
    </row>
    <row r="96" spans="1:8" customHeight="1" ht="15">
      <c r="A96" s="67" t="s">
        <v>172</v>
      </c>
      <c r="B96" s="104" t="s">
        <v>269</v>
      </c>
      <c r="C96" s="94" t="s">
        <v>154</v>
      </c>
      <c r="D96" s="94" t="s">
        <v>126</v>
      </c>
      <c r="E96" s="93" t="s">
        <v>174</v>
      </c>
      <c r="F96" s="94" t="s">
        <v>128</v>
      </c>
      <c r="G96" s="107" t="s">
        <v>155</v>
      </c>
      <c r="H96" s="60" t="s">
        <v>176</v>
      </c>
    </row>
    <row r="97" spans="1:8" customHeight="1" ht="15">
      <c r="A97" s="67" t="s">
        <v>270</v>
      </c>
      <c r="B97" s="67" t="s">
        <v>254</v>
      </c>
      <c r="C97" s="91" t="s">
        <v>154</v>
      </c>
      <c r="D97" s="91" t="s">
        <v>126</v>
      </c>
      <c r="E97" s="91" t="s">
        <v>127</v>
      </c>
      <c r="F97" s="91" t="s">
        <v>128</v>
      </c>
      <c r="G97" s="107" t="s">
        <v>155</v>
      </c>
      <c r="H97" s="60" t="s">
        <v>130</v>
      </c>
    </row>
    <row r="98" spans="1:8" customHeight="1" ht="15">
      <c r="A98" s="67" t="s">
        <v>270</v>
      </c>
      <c r="B98" s="67" t="s">
        <v>271</v>
      </c>
      <c r="C98" s="91" t="s">
        <v>154</v>
      </c>
      <c r="D98" s="91" t="s">
        <v>126</v>
      </c>
      <c r="E98" s="91" t="s">
        <v>127</v>
      </c>
      <c r="F98" s="91" t="s">
        <v>128</v>
      </c>
      <c r="G98" s="107" t="s">
        <v>155</v>
      </c>
      <c r="H98" s="60" t="s">
        <v>130</v>
      </c>
    </row>
    <row r="99" spans="1:8" customHeight="1" ht="15">
      <c r="A99" s="67" t="s">
        <v>270</v>
      </c>
      <c r="B99" s="67" t="s">
        <v>272</v>
      </c>
      <c r="C99" s="91" t="s">
        <v>145</v>
      </c>
      <c r="D99" s="91" t="s">
        <v>126</v>
      </c>
      <c r="E99" s="91" t="s">
        <v>127</v>
      </c>
      <c r="F99" s="91" t="s">
        <v>128</v>
      </c>
      <c r="G99" s="107" t="s">
        <v>158</v>
      </c>
      <c r="H99" s="60" t="s">
        <v>130</v>
      </c>
    </row>
    <row r="100" spans="1:8" customHeight="1" ht="15">
      <c r="A100" s="67" t="s">
        <v>270</v>
      </c>
      <c r="B100" s="67" t="s">
        <v>273</v>
      </c>
      <c r="C100" s="91" t="s">
        <v>138</v>
      </c>
      <c r="D100" s="91" t="s">
        <v>126</v>
      </c>
      <c r="E100" s="91" t="s">
        <v>127</v>
      </c>
      <c r="F100" s="91" t="s">
        <v>128</v>
      </c>
      <c r="G100" s="107" t="s">
        <v>129</v>
      </c>
      <c r="H100" s="60" t="s">
        <v>130</v>
      </c>
    </row>
    <row r="101" spans="1:8" customHeight="1" ht="15">
      <c r="A101" s="105" t="s">
        <v>274</v>
      </c>
      <c r="B101" s="105" t="s">
        <v>275</v>
      </c>
      <c r="C101" s="94" t="s">
        <v>154</v>
      </c>
      <c r="D101" s="93" t="s">
        <v>126</v>
      </c>
      <c r="E101" s="94" t="s">
        <v>127</v>
      </c>
      <c r="F101" s="94" t="s">
        <v>128</v>
      </c>
      <c r="G101" s="107" t="s">
        <v>155</v>
      </c>
      <c r="H101" s="60" t="s">
        <v>169</v>
      </c>
    </row>
    <row r="102" spans="1:8" customHeight="1" ht="15">
      <c r="A102" s="105" t="s">
        <v>276</v>
      </c>
      <c r="B102" s="105" t="s">
        <v>223</v>
      </c>
      <c r="C102" s="93" t="s">
        <v>154</v>
      </c>
      <c r="D102" s="93" t="s">
        <v>139</v>
      </c>
      <c r="E102" s="93" t="s">
        <v>127</v>
      </c>
      <c r="F102" s="94" t="s">
        <v>128</v>
      </c>
      <c r="G102" s="107" t="s">
        <v>155</v>
      </c>
      <c r="H102" s="60" t="s">
        <v>182</v>
      </c>
    </row>
    <row r="103" spans="1:8" customHeight="1" ht="15">
      <c r="A103" s="105" t="s">
        <v>276</v>
      </c>
      <c r="B103" s="105" t="s">
        <v>256</v>
      </c>
      <c r="C103" s="93" t="s">
        <v>145</v>
      </c>
      <c r="D103" s="93" t="s">
        <v>126</v>
      </c>
      <c r="E103" s="94" t="s">
        <v>127</v>
      </c>
      <c r="F103" s="94" t="s">
        <v>128</v>
      </c>
      <c r="G103" s="107" t="s">
        <v>158</v>
      </c>
      <c r="H103" s="60" t="s">
        <v>182</v>
      </c>
    </row>
    <row r="104" spans="1:8" customHeight="1" ht="15">
      <c r="A104" s="105" t="s">
        <v>277</v>
      </c>
      <c r="B104" s="106" t="s">
        <v>278</v>
      </c>
      <c r="C104" s="93" t="s">
        <v>154</v>
      </c>
      <c r="D104" s="93" t="s">
        <v>139</v>
      </c>
      <c r="E104" s="93" t="s">
        <v>174</v>
      </c>
      <c r="F104" s="94" t="s">
        <v>128</v>
      </c>
      <c r="G104" s="107" t="s">
        <v>218</v>
      </c>
      <c r="H104" s="60" t="s">
        <v>176</v>
      </c>
    </row>
    <row r="105" spans="1:8" customHeight="1" ht="15">
      <c r="A105" s="105" t="s">
        <v>279</v>
      </c>
      <c r="B105" s="105" t="s">
        <v>256</v>
      </c>
      <c r="C105" s="93" t="s">
        <v>145</v>
      </c>
      <c r="D105" s="93" t="s">
        <v>126</v>
      </c>
      <c r="E105" s="93" t="s">
        <v>127</v>
      </c>
      <c r="F105" s="94" t="s">
        <v>128</v>
      </c>
      <c r="G105" s="107" t="s">
        <v>158</v>
      </c>
      <c r="H105" s="128" t="s">
        <v>280</v>
      </c>
    </row>
    <row r="106" spans="1:8" customHeight="1" ht="15">
      <c r="A106" s="105" t="s">
        <v>279</v>
      </c>
      <c r="B106" s="105" t="s">
        <v>281</v>
      </c>
      <c r="C106" s="93" t="s">
        <v>154</v>
      </c>
      <c r="D106" s="93" t="s">
        <v>126</v>
      </c>
      <c r="E106" s="93" t="s">
        <v>127</v>
      </c>
      <c r="F106" s="94" t="s">
        <v>128</v>
      </c>
      <c r="G106" s="107" t="s">
        <v>155</v>
      </c>
      <c r="H106" s="128" t="s">
        <v>280</v>
      </c>
    </row>
    <row r="107" spans="1:8" customHeight="1" ht="15">
      <c r="A107" s="67" t="s">
        <v>282</v>
      </c>
      <c r="B107" s="67" t="s">
        <v>283</v>
      </c>
      <c r="C107" s="91" t="s">
        <v>154</v>
      </c>
      <c r="D107" s="91" t="s">
        <v>139</v>
      </c>
      <c r="E107" s="91" t="s">
        <v>174</v>
      </c>
      <c r="F107" s="91" t="s">
        <v>128</v>
      </c>
      <c r="G107" s="107" t="s">
        <v>218</v>
      </c>
      <c r="H107" s="60" t="s">
        <v>135</v>
      </c>
    </row>
    <row r="108" spans="1:8" customHeight="1" ht="15">
      <c r="A108" s="97" t="s">
        <v>282</v>
      </c>
      <c r="B108" s="97" t="s">
        <v>284</v>
      </c>
      <c r="C108" s="91" t="s">
        <v>154</v>
      </c>
      <c r="D108" s="91" t="s">
        <v>139</v>
      </c>
      <c r="E108" s="91" t="s">
        <v>174</v>
      </c>
      <c r="F108" s="91" t="s">
        <v>128</v>
      </c>
      <c r="G108" s="107" t="s">
        <v>218</v>
      </c>
      <c r="H108" s="60" t="s">
        <v>135</v>
      </c>
    </row>
    <row r="109" spans="1:8" customHeight="1" ht="15">
      <c r="A109" s="99" t="s">
        <v>282</v>
      </c>
      <c r="B109" s="100" t="s">
        <v>285</v>
      </c>
      <c r="C109" s="91" t="s">
        <v>145</v>
      </c>
      <c r="D109" s="91" t="s">
        <v>139</v>
      </c>
      <c r="E109" s="91" t="s">
        <v>174</v>
      </c>
      <c r="F109" s="91" t="s">
        <v>128</v>
      </c>
      <c r="G109" s="107" t="s">
        <v>146</v>
      </c>
      <c r="H109" s="60" t="s">
        <v>135</v>
      </c>
    </row>
    <row r="110" spans="1:8" customHeight="1" ht="15">
      <c r="A110" s="67" t="s">
        <v>282</v>
      </c>
      <c r="B110" s="67" t="s">
        <v>286</v>
      </c>
      <c r="C110" s="91" t="s">
        <v>145</v>
      </c>
      <c r="D110" s="91" t="s">
        <v>139</v>
      </c>
      <c r="E110" s="91" t="s">
        <v>174</v>
      </c>
      <c r="F110" s="91" t="s">
        <v>128</v>
      </c>
      <c r="G110" s="107" t="s">
        <v>146</v>
      </c>
      <c r="H110" s="60" t="s">
        <v>135</v>
      </c>
    </row>
    <row r="111" spans="1:8" customHeight="1" ht="15">
      <c r="A111" s="97" t="s">
        <v>282</v>
      </c>
      <c r="B111" s="97" t="s">
        <v>287</v>
      </c>
      <c r="C111" s="91" t="s">
        <v>154</v>
      </c>
      <c r="D111" s="91" t="s">
        <v>139</v>
      </c>
      <c r="E111" s="91" t="s">
        <v>174</v>
      </c>
      <c r="F111" s="91" t="s">
        <v>128</v>
      </c>
      <c r="G111" s="107" t="s">
        <v>218</v>
      </c>
      <c r="H111" s="60" t="s">
        <v>135</v>
      </c>
    </row>
    <row r="112" spans="1:8" customHeight="1" ht="15">
      <c r="A112" s="67" t="s">
        <v>288</v>
      </c>
      <c r="B112" s="67" t="s">
        <v>289</v>
      </c>
      <c r="C112" s="91" t="s">
        <v>154</v>
      </c>
      <c r="D112" s="91" t="s">
        <v>139</v>
      </c>
      <c r="E112" s="91" t="s">
        <v>174</v>
      </c>
      <c r="F112" s="91" t="s">
        <v>128</v>
      </c>
      <c r="G112" s="107" t="s">
        <v>218</v>
      </c>
      <c r="H112" s="60" t="s">
        <v>176</v>
      </c>
    </row>
    <row r="113" spans="1:8" customHeight="1" ht="15">
      <c r="A113" s="105" t="s">
        <v>290</v>
      </c>
      <c r="B113" s="105" t="s">
        <v>254</v>
      </c>
      <c r="C113" s="93" t="s">
        <v>154</v>
      </c>
      <c r="D113" s="93" t="s">
        <v>126</v>
      </c>
      <c r="E113" s="93" t="s">
        <v>174</v>
      </c>
      <c r="F113" s="94" t="s">
        <v>128</v>
      </c>
      <c r="G113" s="107" t="s">
        <v>218</v>
      </c>
      <c r="H113" s="60" t="s">
        <v>176</v>
      </c>
    </row>
    <row r="114" spans="1:8" customHeight="1" ht="15">
      <c r="A114" s="105" t="s">
        <v>290</v>
      </c>
      <c r="B114" s="105" t="s">
        <v>255</v>
      </c>
      <c r="C114" s="93" t="s">
        <v>154</v>
      </c>
      <c r="D114" s="93" t="s">
        <v>126</v>
      </c>
      <c r="E114" s="93" t="s">
        <v>174</v>
      </c>
      <c r="F114" s="94" t="s">
        <v>128</v>
      </c>
      <c r="G114" s="107" t="s">
        <v>218</v>
      </c>
      <c r="H114" s="60" t="s">
        <v>176</v>
      </c>
    </row>
    <row r="115" spans="1:8" customHeight="1" ht="15">
      <c r="A115" s="105" t="s">
        <v>290</v>
      </c>
      <c r="B115" s="105" t="s">
        <v>291</v>
      </c>
      <c r="C115" s="93" t="s">
        <v>154</v>
      </c>
      <c r="D115" s="93" t="s">
        <v>139</v>
      </c>
      <c r="E115" s="93" t="s">
        <v>174</v>
      </c>
      <c r="F115" s="94" t="s">
        <v>128</v>
      </c>
      <c r="G115" s="107" t="s">
        <v>218</v>
      </c>
      <c r="H115" s="60" t="s">
        <v>176</v>
      </c>
    </row>
    <row r="116" spans="1:8" customHeight="1" ht="15">
      <c r="A116" s="98" t="s">
        <v>292</v>
      </c>
      <c r="B116" s="67" t="s">
        <v>293</v>
      </c>
      <c r="C116" s="91" t="s">
        <v>154</v>
      </c>
      <c r="D116" s="91" t="s">
        <v>139</v>
      </c>
      <c r="E116" s="91" t="s">
        <v>174</v>
      </c>
      <c r="F116" s="91" t="s">
        <v>128</v>
      </c>
      <c r="G116" s="107" t="s">
        <v>218</v>
      </c>
      <c r="H116" s="60" t="s">
        <v>176</v>
      </c>
    </row>
    <row r="117" spans="1:8" customHeight="1" ht="15">
      <c r="A117" s="67" t="s">
        <v>292</v>
      </c>
      <c r="B117" s="102" t="s">
        <v>294</v>
      </c>
      <c r="C117" s="91" t="s">
        <v>154</v>
      </c>
      <c r="D117" s="94" t="s">
        <v>126</v>
      </c>
      <c r="E117" s="94" t="s">
        <v>174</v>
      </c>
      <c r="F117" s="94" t="s">
        <v>128</v>
      </c>
      <c r="G117" s="107" t="s">
        <v>218</v>
      </c>
      <c r="H117" s="60" t="s">
        <v>176</v>
      </c>
    </row>
    <row r="118" spans="1:8" customHeight="1" ht="15">
      <c r="A118" s="98" t="s">
        <v>292</v>
      </c>
      <c r="B118" s="67" t="s">
        <v>295</v>
      </c>
      <c r="C118" s="91" t="s">
        <v>154</v>
      </c>
      <c r="D118" s="91" t="s">
        <v>139</v>
      </c>
      <c r="E118" s="91" t="s">
        <v>174</v>
      </c>
      <c r="F118" s="91" t="s">
        <v>128</v>
      </c>
      <c r="G118" s="107" t="s">
        <v>218</v>
      </c>
      <c r="H118" s="60" t="s">
        <v>176</v>
      </c>
    </row>
    <row r="119" spans="1:8" customHeight="1" ht="15">
      <c r="A119" s="98" t="s">
        <v>292</v>
      </c>
      <c r="B119" s="67" t="s">
        <v>296</v>
      </c>
      <c r="C119" s="91" t="s">
        <v>145</v>
      </c>
      <c r="D119" s="91" t="s">
        <v>139</v>
      </c>
      <c r="E119" s="91" t="s">
        <v>174</v>
      </c>
      <c r="F119" s="91" t="s">
        <v>128</v>
      </c>
      <c r="G119" s="107" t="s">
        <v>146</v>
      </c>
      <c r="H119" s="60" t="s">
        <v>176</v>
      </c>
    </row>
    <row r="120" spans="1:8" customHeight="1" ht="15">
      <c r="A120" s="97" t="s">
        <v>297</v>
      </c>
      <c r="B120" s="72" t="s">
        <v>298</v>
      </c>
      <c r="C120" s="91" t="s">
        <v>125</v>
      </c>
      <c r="D120" s="91" t="s">
        <v>139</v>
      </c>
      <c r="E120" s="91" t="s">
        <v>174</v>
      </c>
      <c r="F120" s="91" t="s">
        <v>128</v>
      </c>
      <c r="G120" s="107" t="s">
        <v>142</v>
      </c>
      <c r="H120" s="60" t="s">
        <v>176</v>
      </c>
    </row>
    <row r="121" spans="1:8" customHeight="1" ht="15">
      <c r="A121" s="67" t="s">
        <v>299</v>
      </c>
      <c r="B121" s="67" t="s">
        <v>293</v>
      </c>
      <c r="C121" s="91" t="s">
        <v>154</v>
      </c>
      <c r="D121" s="91" t="s">
        <v>126</v>
      </c>
      <c r="E121" s="91" t="s">
        <v>127</v>
      </c>
      <c r="F121" s="91" t="s">
        <v>128</v>
      </c>
      <c r="G121" s="107" t="s">
        <v>155</v>
      </c>
      <c r="H121" s="128" t="s">
        <v>300</v>
      </c>
    </row>
    <row r="122" spans="1:8" customHeight="1" ht="15">
      <c r="A122" s="67" t="s">
        <v>299</v>
      </c>
      <c r="B122" s="67" t="s">
        <v>301</v>
      </c>
      <c r="C122" s="91" t="s">
        <v>145</v>
      </c>
      <c r="D122" s="91" t="s">
        <v>126</v>
      </c>
      <c r="E122" s="91" t="s">
        <v>127</v>
      </c>
      <c r="F122" s="91" t="s">
        <v>128</v>
      </c>
      <c r="G122" s="107" t="s">
        <v>158</v>
      </c>
      <c r="H122" s="128" t="s">
        <v>300</v>
      </c>
    </row>
    <row r="123" spans="1:8" customHeight="1" ht="15">
      <c r="A123" s="67" t="s">
        <v>299</v>
      </c>
      <c r="B123" s="111" t="s">
        <v>302</v>
      </c>
      <c r="C123" s="91" t="s">
        <v>154</v>
      </c>
      <c r="D123" s="91" t="s">
        <v>126</v>
      </c>
      <c r="E123" s="91" t="s">
        <v>127</v>
      </c>
      <c r="F123" s="91" t="s">
        <v>128</v>
      </c>
      <c r="G123" s="107" t="s">
        <v>155</v>
      </c>
      <c r="H123" s="128" t="s">
        <v>300</v>
      </c>
    </row>
    <row r="124" spans="1:8" customHeight="1" ht="15">
      <c r="A124" s="105" t="s">
        <v>303</v>
      </c>
      <c r="B124" s="105" t="s">
        <v>293</v>
      </c>
      <c r="C124" s="93" t="s">
        <v>154</v>
      </c>
      <c r="D124" s="93" t="s">
        <v>126</v>
      </c>
      <c r="E124" s="93" t="s">
        <v>127</v>
      </c>
      <c r="F124" s="94" t="s">
        <v>128</v>
      </c>
      <c r="G124" s="107" t="s">
        <v>155</v>
      </c>
      <c r="H124" s="128" t="s">
        <v>300</v>
      </c>
    </row>
    <row r="125" spans="1:8" customHeight="1" ht="15">
      <c r="A125" s="105" t="s">
        <v>303</v>
      </c>
      <c r="B125" s="105" t="s">
        <v>256</v>
      </c>
      <c r="C125" s="93" t="s">
        <v>145</v>
      </c>
      <c r="D125" s="93" t="s">
        <v>126</v>
      </c>
      <c r="E125" s="94" t="s">
        <v>127</v>
      </c>
      <c r="F125" s="94" t="s">
        <v>128</v>
      </c>
      <c r="G125" s="107" t="s">
        <v>158</v>
      </c>
      <c r="H125" s="128" t="s">
        <v>300</v>
      </c>
    </row>
    <row r="126" spans="1:8" customHeight="1" ht="15">
      <c r="A126" s="105" t="s">
        <v>303</v>
      </c>
      <c r="B126" s="105" t="s">
        <v>304</v>
      </c>
      <c r="C126" s="93" t="s">
        <v>154</v>
      </c>
      <c r="D126" s="93" t="s">
        <v>126</v>
      </c>
      <c r="E126" s="93" t="s">
        <v>127</v>
      </c>
      <c r="F126" s="94" t="s">
        <v>128</v>
      </c>
      <c r="G126" s="107" t="s">
        <v>155</v>
      </c>
      <c r="H126" s="128" t="s">
        <v>280</v>
      </c>
    </row>
    <row r="127" spans="1:8" customHeight="1" ht="15">
      <c r="A127" s="105" t="s">
        <v>303</v>
      </c>
      <c r="B127" s="105" t="s">
        <v>305</v>
      </c>
      <c r="C127" s="93" t="s">
        <v>154</v>
      </c>
      <c r="D127" s="93" t="s">
        <v>126</v>
      </c>
      <c r="E127" s="93" t="s">
        <v>127</v>
      </c>
      <c r="F127" s="94" t="s">
        <v>128</v>
      </c>
      <c r="G127" s="107" t="s">
        <v>155</v>
      </c>
      <c r="H127" s="128" t="s">
        <v>300</v>
      </c>
    </row>
    <row r="128" spans="1:8" customHeight="1" ht="15">
      <c r="A128" s="67" t="s">
        <v>172</v>
      </c>
      <c r="B128" s="67" t="s">
        <v>306</v>
      </c>
      <c r="C128" s="91" t="s">
        <v>154</v>
      </c>
      <c r="D128" s="91" t="s">
        <v>126</v>
      </c>
      <c r="E128" s="91" t="s">
        <v>174</v>
      </c>
      <c r="F128" s="91" t="s">
        <v>128</v>
      </c>
      <c r="G128" s="107" t="s">
        <v>218</v>
      </c>
      <c r="H128" s="60" t="s">
        <v>300</v>
      </c>
    </row>
    <row r="129" spans="1:8" customHeight="1" ht="15">
      <c r="A129" s="67" t="s">
        <v>172</v>
      </c>
      <c r="B129" s="67" t="s">
        <v>307</v>
      </c>
      <c r="C129" s="91" t="s">
        <v>154</v>
      </c>
      <c r="D129" s="91" t="s">
        <v>126</v>
      </c>
      <c r="E129" s="91" t="s">
        <v>174</v>
      </c>
      <c r="F129" s="91" t="s">
        <v>128</v>
      </c>
      <c r="G129" s="107" t="s">
        <v>218</v>
      </c>
      <c r="H129" s="60" t="s">
        <v>300</v>
      </c>
    </row>
    <row r="130" spans="1:8" customHeight="1" ht="15">
      <c r="A130" s="98" t="s">
        <v>308</v>
      </c>
      <c r="B130" s="67" t="s">
        <v>309</v>
      </c>
      <c r="C130" s="91" t="s">
        <v>154</v>
      </c>
      <c r="D130" s="91" t="s">
        <v>126</v>
      </c>
      <c r="E130" s="91" t="s">
        <v>217</v>
      </c>
      <c r="F130" s="91" t="s">
        <v>128</v>
      </c>
      <c r="G130" s="107" t="s">
        <v>155</v>
      </c>
      <c r="H130" s="60" t="s">
        <v>169</v>
      </c>
    </row>
    <row r="131" spans="1:8" customHeight="1" ht="15">
      <c r="A131" s="98" t="s">
        <v>308</v>
      </c>
      <c r="B131" s="67" t="s">
        <v>310</v>
      </c>
      <c r="C131" s="91" t="s">
        <v>154</v>
      </c>
      <c r="D131" s="91" t="s">
        <v>126</v>
      </c>
      <c r="E131" s="91" t="s">
        <v>217</v>
      </c>
      <c r="F131" s="91" t="s">
        <v>128</v>
      </c>
      <c r="G131" s="107" t="s">
        <v>155</v>
      </c>
      <c r="H131" s="60" t="s">
        <v>169</v>
      </c>
    </row>
    <row r="132" spans="1:8" customHeight="1" ht="15">
      <c r="A132" s="98" t="s">
        <v>308</v>
      </c>
      <c r="B132" s="67" t="s">
        <v>311</v>
      </c>
      <c r="C132" s="91" t="s">
        <v>145</v>
      </c>
      <c r="D132" s="91" t="s">
        <v>126</v>
      </c>
      <c r="E132" s="91" t="s">
        <v>217</v>
      </c>
      <c r="F132" s="91" t="s">
        <v>128</v>
      </c>
      <c r="G132" s="107" t="s">
        <v>158</v>
      </c>
      <c r="H132" s="60" t="s">
        <v>169</v>
      </c>
    </row>
    <row r="133" spans="1:8" customHeight="1" ht="15">
      <c r="A133" s="98" t="s">
        <v>312</v>
      </c>
      <c r="B133" s="67" t="s">
        <v>313</v>
      </c>
      <c r="C133" s="91" t="s">
        <v>125</v>
      </c>
      <c r="D133" s="91" t="s">
        <v>139</v>
      </c>
      <c r="E133" s="91" t="s">
        <v>217</v>
      </c>
      <c r="F133" s="91" t="s">
        <v>128</v>
      </c>
      <c r="G133" s="107" t="s">
        <v>142</v>
      </c>
      <c r="H133" s="60" t="s">
        <v>314</v>
      </c>
    </row>
    <row r="134" spans="1:8" customHeight="1" ht="15">
      <c r="A134" s="70" t="s">
        <v>312</v>
      </c>
      <c r="B134" s="102" t="s">
        <v>315</v>
      </c>
      <c r="C134" s="91" t="s">
        <v>154</v>
      </c>
      <c r="D134" s="91" t="s">
        <v>126</v>
      </c>
      <c r="E134" s="93" t="s">
        <v>217</v>
      </c>
      <c r="F134" s="94" t="s">
        <v>128</v>
      </c>
      <c r="G134" s="107" t="s">
        <v>155</v>
      </c>
      <c r="H134" s="60" t="s">
        <v>169</v>
      </c>
    </row>
    <row r="135" spans="1:8" customHeight="1" ht="15">
      <c r="A135" s="98" t="s">
        <v>312</v>
      </c>
      <c r="B135" s="67" t="s">
        <v>316</v>
      </c>
      <c r="C135" s="91" t="s">
        <v>125</v>
      </c>
      <c r="D135" s="91" t="s">
        <v>139</v>
      </c>
      <c r="E135" s="91" t="s">
        <v>217</v>
      </c>
      <c r="F135" s="91" t="s">
        <v>128</v>
      </c>
      <c r="G135" s="107" t="s">
        <v>142</v>
      </c>
      <c r="H135" s="60" t="s">
        <v>169</v>
      </c>
    </row>
    <row r="136" spans="1:8" customHeight="1" ht="15">
      <c r="A136" s="98" t="s">
        <v>312</v>
      </c>
      <c r="B136" s="67" t="s">
        <v>311</v>
      </c>
      <c r="C136" s="91" t="s">
        <v>145</v>
      </c>
      <c r="D136" s="91" t="s">
        <v>126</v>
      </c>
      <c r="E136" s="91" t="s">
        <v>217</v>
      </c>
      <c r="F136" s="91" t="s">
        <v>128</v>
      </c>
      <c r="G136" s="107" t="s">
        <v>158</v>
      </c>
      <c r="H136" s="60" t="s">
        <v>169</v>
      </c>
    </row>
    <row r="137" spans="1:8" customHeight="1" ht="15">
      <c r="A137" s="67" t="s">
        <v>317</v>
      </c>
      <c r="B137" s="102" t="s">
        <v>318</v>
      </c>
      <c r="C137" s="91" t="s">
        <v>154</v>
      </c>
      <c r="D137" s="94" t="s">
        <v>126</v>
      </c>
      <c r="E137" s="94" t="s">
        <v>140</v>
      </c>
      <c r="F137" s="94" t="s">
        <v>128</v>
      </c>
      <c r="G137" s="107" t="s">
        <v>155</v>
      </c>
      <c r="H137" s="60" t="s">
        <v>319</v>
      </c>
    </row>
    <row r="138" spans="1:8" customHeight="1" ht="15">
      <c r="A138" s="67" t="s">
        <v>317</v>
      </c>
      <c r="B138" s="67" t="s">
        <v>281</v>
      </c>
      <c r="C138" s="91" t="s">
        <v>154</v>
      </c>
      <c r="D138" s="91" t="s">
        <v>126</v>
      </c>
      <c r="E138" s="91" t="s">
        <v>127</v>
      </c>
      <c r="F138" s="91" t="s">
        <v>128</v>
      </c>
      <c r="G138" s="107" t="s">
        <v>155</v>
      </c>
      <c r="H138" s="60" t="s">
        <v>280</v>
      </c>
    </row>
    <row r="139" spans="1:8" customHeight="1" ht="15">
      <c r="A139" s="67" t="s">
        <v>320</v>
      </c>
      <c r="B139" s="104" t="s">
        <v>321</v>
      </c>
      <c r="C139" s="94" t="s">
        <v>154</v>
      </c>
      <c r="D139" s="94" t="s">
        <v>126</v>
      </c>
      <c r="E139" s="93" t="s">
        <v>127</v>
      </c>
      <c r="F139" s="94" t="s">
        <v>128</v>
      </c>
      <c r="G139" s="107" t="s">
        <v>155</v>
      </c>
      <c r="H139" s="60" t="s">
        <v>319</v>
      </c>
    </row>
    <row r="140" spans="1:8" customHeight="1" ht="15">
      <c r="A140" s="105" t="s">
        <v>322</v>
      </c>
      <c r="B140" s="105" t="s">
        <v>323</v>
      </c>
      <c r="C140" s="94" t="s">
        <v>145</v>
      </c>
      <c r="D140" s="93" t="s">
        <v>126</v>
      </c>
      <c r="E140" s="94" t="s">
        <v>217</v>
      </c>
      <c r="F140" s="94" t="s">
        <v>128</v>
      </c>
      <c r="G140" s="107" t="s">
        <v>158</v>
      </c>
      <c r="H140" s="60" t="s">
        <v>226</v>
      </c>
    </row>
    <row r="141" spans="1:8" customHeight="1" ht="15">
      <c r="A141" s="67" t="s">
        <v>324</v>
      </c>
      <c r="B141" s="67" t="s">
        <v>325</v>
      </c>
      <c r="C141" s="91" t="s">
        <v>154</v>
      </c>
      <c r="D141" s="91" t="s">
        <v>126</v>
      </c>
      <c r="E141" s="91" t="s">
        <v>127</v>
      </c>
      <c r="F141" s="91" t="s">
        <v>128</v>
      </c>
      <c r="G141" s="107" t="s">
        <v>155</v>
      </c>
      <c r="H141" s="128" t="s">
        <v>182</v>
      </c>
    </row>
    <row r="142" spans="1:8" customHeight="1" ht="15">
      <c r="A142" s="90" t="s">
        <v>326</v>
      </c>
      <c r="B142" s="90" t="s">
        <v>327</v>
      </c>
      <c r="C142" s="93" t="s">
        <v>125</v>
      </c>
      <c r="D142" s="93" t="s">
        <v>139</v>
      </c>
      <c r="E142" s="93" t="s">
        <v>217</v>
      </c>
      <c r="F142" s="94" t="s">
        <v>128</v>
      </c>
      <c r="G142" s="107" t="s">
        <v>142</v>
      </c>
      <c r="H142" s="60" t="s">
        <v>135</v>
      </c>
    </row>
    <row r="143" spans="1:8" customHeight="1" ht="15">
      <c r="A143" s="90" t="s">
        <v>326</v>
      </c>
      <c r="B143" s="90" t="s">
        <v>328</v>
      </c>
      <c r="C143" s="93" t="s">
        <v>154</v>
      </c>
      <c r="D143" s="91" t="s">
        <v>126</v>
      </c>
      <c r="E143" s="93" t="s">
        <v>217</v>
      </c>
      <c r="F143" s="94" t="s">
        <v>128</v>
      </c>
      <c r="G143" s="107" t="s">
        <v>155</v>
      </c>
      <c r="H143" s="60" t="s">
        <v>135</v>
      </c>
    </row>
    <row r="144" spans="1:8" customHeight="1" ht="15">
      <c r="A144" s="90" t="s">
        <v>326</v>
      </c>
      <c r="B144" s="90" t="s">
        <v>329</v>
      </c>
      <c r="C144" s="93" t="s">
        <v>125</v>
      </c>
      <c r="D144" s="93" t="s">
        <v>126</v>
      </c>
      <c r="E144" s="93" t="s">
        <v>217</v>
      </c>
      <c r="F144" s="94" t="s">
        <v>128</v>
      </c>
      <c r="G144" s="107" t="s">
        <v>142</v>
      </c>
      <c r="H144" s="60" t="s">
        <v>135</v>
      </c>
    </row>
    <row r="145" spans="1:8" customHeight="1" ht="15">
      <c r="A145" s="90" t="s">
        <v>326</v>
      </c>
      <c r="B145" s="90" t="s">
        <v>330</v>
      </c>
      <c r="C145" s="93" t="s">
        <v>145</v>
      </c>
      <c r="D145" s="93" t="s">
        <v>126</v>
      </c>
      <c r="E145" s="94" t="s">
        <v>217</v>
      </c>
      <c r="F145" s="94" t="s">
        <v>128</v>
      </c>
      <c r="G145" s="107" t="s">
        <v>175</v>
      </c>
      <c r="H145" s="60" t="s">
        <v>135</v>
      </c>
    </row>
    <row r="146" spans="1:8" customHeight="1" ht="15">
      <c r="A146" s="90" t="s">
        <v>326</v>
      </c>
      <c r="B146" s="90" t="s">
        <v>331</v>
      </c>
      <c r="C146" s="93" t="s">
        <v>125</v>
      </c>
      <c r="D146" s="93" t="s">
        <v>139</v>
      </c>
      <c r="E146" s="93" t="s">
        <v>217</v>
      </c>
      <c r="F146" s="94" t="s">
        <v>128</v>
      </c>
      <c r="G146" s="107" t="s">
        <v>142</v>
      </c>
      <c r="H146" s="60" t="s">
        <v>135</v>
      </c>
    </row>
    <row r="147" spans="1:8" customHeight="1" ht="15">
      <c r="A147" s="90" t="s">
        <v>326</v>
      </c>
      <c r="B147" s="90" t="s">
        <v>124</v>
      </c>
      <c r="C147" s="93" t="s">
        <v>125</v>
      </c>
      <c r="D147" s="93" t="s">
        <v>126</v>
      </c>
      <c r="E147" s="93" t="s">
        <v>217</v>
      </c>
      <c r="F147" s="94" t="s">
        <v>128</v>
      </c>
      <c r="G147" s="107" t="s">
        <v>142</v>
      </c>
      <c r="H147" s="60" t="s">
        <v>135</v>
      </c>
    </row>
    <row r="148" spans="1:8" customHeight="1" ht="15">
      <c r="A148" s="90" t="s">
        <v>326</v>
      </c>
      <c r="B148" s="90" t="s">
        <v>332</v>
      </c>
      <c r="C148" s="93" t="s">
        <v>125</v>
      </c>
      <c r="D148" s="93" t="s">
        <v>139</v>
      </c>
      <c r="E148" s="93" t="s">
        <v>217</v>
      </c>
      <c r="F148" s="94" t="s">
        <v>128</v>
      </c>
      <c r="G148" s="107" t="s">
        <v>142</v>
      </c>
      <c r="H148" s="60" t="s">
        <v>135</v>
      </c>
    </row>
    <row r="149" spans="1:8" customHeight="1" ht="15">
      <c r="A149" s="67" t="s">
        <v>333</v>
      </c>
      <c r="B149" s="67" t="s">
        <v>334</v>
      </c>
      <c r="C149" s="91" t="s">
        <v>178</v>
      </c>
      <c r="D149" s="91" t="s">
        <v>126</v>
      </c>
      <c r="E149" s="91" t="s">
        <v>217</v>
      </c>
      <c r="F149" s="91" t="s">
        <v>128</v>
      </c>
      <c r="G149" s="107" t="s">
        <v>179</v>
      </c>
      <c r="H149" s="60" t="s">
        <v>226</v>
      </c>
    </row>
    <row r="150" spans="1:8" customHeight="1" ht="15">
      <c r="A150" s="67" t="s">
        <v>333</v>
      </c>
      <c r="B150" s="67" t="s">
        <v>335</v>
      </c>
      <c r="C150" s="91" t="s">
        <v>138</v>
      </c>
      <c r="D150" s="91" t="s">
        <v>126</v>
      </c>
      <c r="E150" s="91" t="s">
        <v>217</v>
      </c>
      <c r="F150" s="91" t="s">
        <v>128</v>
      </c>
      <c r="G150" s="107" t="s">
        <v>129</v>
      </c>
      <c r="H150" s="60" t="s">
        <v>226</v>
      </c>
    </row>
    <row r="151" spans="1:8" customHeight="1" ht="15">
      <c r="A151" s="67" t="s">
        <v>333</v>
      </c>
      <c r="B151" s="101" t="s">
        <v>336</v>
      </c>
      <c r="C151" s="91" t="s">
        <v>145</v>
      </c>
      <c r="D151" s="91" t="s">
        <v>126</v>
      </c>
      <c r="E151" s="91" t="s">
        <v>217</v>
      </c>
      <c r="F151" s="91" t="s">
        <v>128</v>
      </c>
      <c r="G151" s="107" t="s">
        <v>164</v>
      </c>
      <c r="H151" s="60" t="s">
        <v>226</v>
      </c>
    </row>
    <row r="152" spans="1:8" customHeight="1" ht="15">
      <c r="A152" s="105" t="s">
        <v>333</v>
      </c>
      <c r="B152" s="105" t="s">
        <v>337</v>
      </c>
      <c r="C152" s="94" t="s">
        <v>145</v>
      </c>
      <c r="D152" s="93" t="s">
        <v>126</v>
      </c>
      <c r="E152" s="94" t="s">
        <v>127</v>
      </c>
      <c r="F152" s="94" t="s">
        <v>128</v>
      </c>
      <c r="G152" s="107" t="s">
        <v>158</v>
      </c>
      <c r="H152" s="60" t="s">
        <v>226</v>
      </c>
    </row>
    <row r="153" spans="1:8" customHeight="1" ht="15">
      <c r="A153" s="70" t="s">
        <v>338</v>
      </c>
      <c r="B153" s="77" t="s">
        <v>339</v>
      </c>
      <c r="C153" s="94" t="s">
        <v>138</v>
      </c>
      <c r="D153" s="94" t="s">
        <v>126</v>
      </c>
      <c r="E153" s="93" t="s">
        <v>127</v>
      </c>
      <c r="F153" s="94" t="s">
        <v>128</v>
      </c>
      <c r="G153" s="107" t="s">
        <v>129</v>
      </c>
      <c r="H153" s="128" t="s">
        <v>280</v>
      </c>
    </row>
    <row r="154" spans="1:8" customHeight="1" ht="15">
      <c r="A154" s="67" t="s">
        <v>338</v>
      </c>
      <c r="B154" s="67" t="s">
        <v>340</v>
      </c>
      <c r="C154" s="91" t="s">
        <v>145</v>
      </c>
      <c r="D154" s="91" t="s">
        <v>126</v>
      </c>
      <c r="E154" s="91" t="s">
        <v>217</v>
      </c>
      <c r="F154" s="91" t="s">
        <v>128</v>
      </c>
      <c r="G154" s="107" t="s">
        <v>158</v>
      </c>
      <c r="H154" s="128" t="s">
        <v>280</v>
      </c>
    </row>
    <row r="155" spans="1:8" customHeight="1" ht="15">
      <c r="A155" s="67" t="s">
        <v>341</v>
      </c>
      <c r="B155" s="67" t="s">
        <v>342</v>
      </c>
      <c r="C155" s="91" t="s">
        <v>154</v>
      </c>
      <c r="D155" s="91" t="s">
        <v>126</v>
      </c>
      <c r="E155" s="91" t="s">
        <v>217</v>
      </c>
      <c r="F155" s="91" t="s">
        <v>128</v>
      </c>
      <c r="G155" s="107" t="s">
        <v>155</v>
      </c>
      <c r="H155" s="128" t="s">
        <v>280</v>
      </c>
    </row>
    <row r="156" spans="1:8" customHeight="1" ht="15">
      <c r="A156" s="97" t="s">
        <v>343</v>
      </c>
      <c r="B156" s="97" t="s">
        <v>239</v>
      </c>
      <c r="C156" s="91" t="s">
        <v>138</v>
      </c>
      <c r="D156" s="91" t="s">
        <v>139</v>
      </c>
      <c r="E156" s="91" t="s">
        <v>174</v>
      </c>
      <c r="F156" s="91" t="s">
        <v>128</v>
      </c>
      <c r="G156" s="107" t="s">
        <v>142</v>
      </c>
      <c r="H156" s="60" t="s">
        <v>135</v>
      </c>
    </row>
    <row r="157" spans="1:8" customHeight="1" ht="15">
      <c r="A157" s="67" t="s">
        <v>344</v>
      </c>
      <c r="B157" s="67" t="s">
        <v>149</v>
      </c>
      <c r="C157" s="91" t="s">
        <v>125</v>
      </c>
      <c r="D157" s="91" t="s">
        <v>139</v>
      </c>
      <c r="E157" s="91" t="s">
        <v>140</v>
      </c>
      <c r="F157" s="91" t="s">
        <v>128</v>
      </c>
      <c r="G157" s="107" t="s">
        <v>142</v>
      </c>
      <c r="H157" s="60" t="s">
        <v>143</v>
      </c>
    </row>
    <row r="158" spans="1:8" customHeight="1" ht="15">
      <c r="A158" s="105" t="s">
        <v>344</v>
      </c>
      <c r="B158" s="105" t="s">
        <v>345</v>
      </c>
      <c r="C158" s="91" t="s">
        <v>138</v>
      </c>
      <c r="D158" s="91" t="s">
        <v>139</v>
      </c>
      <c r="E158" s="91" t="s">
        <v>140</v>
      </c>
      <c r="F158" s="94" t="s">
        <v>128</v>
      </c>
      <c r="G158" s="107" t="s">
        <v>142</v>
      </c>
      <c r="H158" s="60" t="s">
        <v>143</v>
      </c>
    </row>
    <row r="159" spans="1:8" customHeight="1" ht="15">
      <c r="A159" s="67" t="s">
        <v>346</v>
      </c>
      <c r="B159" s="67" t="s">
        <v>149</v>
      </c>
      <c r="C159" s="94" t="s">
        <v>125</v>
      </c>
      <c r="D159" s="94" t="s">
        <v>139</v>
      </c>
      <c r="E159" s="91" t="s">
        <v>140</v>
      </c>
      <c r="F159" s="94" t="s">
        <v>128</v>
      </c>
      <c r="G159" s="107" t="s">
        <v>142</v>
      </c>
      <c r="H159" s="60" t="s">
        <v>143</v>
      </c>
    </row>
    <row r="160" spans="1:8" customHeight="1" ht="15">
      <c r="A160" s="67" t="s">
        <v>347</v>
      </c>
      <c r="B160" s="67" t="s">
        <v>243</v>
      </c>
      <c r="C160" s="91" t="s">
        <v>154</v>
      </c>
      <c r="D160" s="91" t="s">
        <v>126</v>
      </c>
      <c r="E160" s="91" t="s">
        <v>127</v>
      </c>
      <c r="F160" s="91" t="s">
        <v>128</v>
      </c>
      <c r="G160" s="107" t="s">
        <v>155</v>
      </c>
      <c r="H160" s="60" t="s">
        <v>156</v>
      </c>
    </row>
    <row r="161" spans="1:8" customHeight="1" ht="15">
      <c r="A161" s="70" t="s">
        <v>347</v>
      </c>
      <c r="B161" s="77" t="s">
        <v>348</v>
      </c>
      <c r="C161" s="94" t="s">
        <v>154</v>
      </c>
      <c r="D161" s="94" t="s">
        <v>126</v>
      </c>
      <c r="E161" s="93" t="s">
        <v>127</v>
      </c>
      <c r="F161" s="94" t="s">
        <v>128</v>
      </c>
      <c r="G161" s="107" t="s">
        <v>155</v>
      </c>
      <c r="H161" s="60" t="s">
        <v>156</v>
      </c>
    </row>
    <row r="162" spans="1:8" customHeight="1" ht="15">
      <c r="A162" s="67" t="s">
        <v>347</v>
      </c>
      <c r="B162" s="97" t="s">
        <v>163</v>
      </c>
      <c r="C162" s="91" t="s">
        <v>145</v>
      </c>
      <c r="D162" s="91" t="s">
        <v>126</v>
      </c>
      <c r="E162" s="91" t="s">
        <v>127</v>
      </c>
      <c r="F162" s="91" t="s">
        <v>128</v>
      </c>
      <c r="G162" s="107" t="s">
        <v>164</v>
      </c>
      <c r="H162" s="60" t="s">
        <v>156</v>
      </c>
    </row>
    <row r="163" spans="1:8" customHeight="1" ht="15">
      <c r="A163" s="67" t="s">
        <v>347</v>
      </c>
      <c r="B163" s="67" t="s">
        <v>132</v>
      </c>
      <c r="C163" s="91" t="s">
        <v>133</v>
      </c>
      <c r="D163" s="91" t="s">
        <v>126</v>
      </c>
      <c r="E163" s="91" t="s">
        <v>127</v>
      </c>
      <c r="F163" s="91" t="s">
        <v>128</v>
      </c>
      <c r="G163" s="107" t="s">
        <v>134</v>
      </c>
      <c r="H163" s="60" t="s">
        <v>349</v>
      </c>
    </row>
    <row r="164" spans="1:8" customHeight="1" ht="15">
      <c r="A164" s="67" t="s">
        <v>347</v>
      </c>
      <c r="B164" s="67" t="s">
        <v>350</v>
      </c>
      <c r="C164" s="91" t="s">
        <v>178</v>
      </c>
      <c r="D164" s="91" t="s">
        <v>126</v>
      </c>
      <c r="E164" s="91" t="s">
        <v>127</v>
      </c>
      <c r="F164" s="91" t="s">
        <v>128</v>
      </c>
      <c r="G164" s="107" t="s">
        <v>351</v>
      </c>
      <c r="H164" s="60" t="s">
        <v>130</v>
      </c>
    </row>
    <row r="165" spans="1:8" customHeight="1" ht="15">
      <c r="A165" s="67" t="s">
        <v>347</v>
      </c>
      <c r="B165" s="67" t="s">
        <v>352</v>
      </c>
      <c r="C165" s="91" t="s">
        <v>178</v>
      </c>
      <c r="D165" s="91" t="s">
        <v>126</v>
      </c>
      <c r="E165" s="91" t="s">
        <v>127</v>
      </c>
      <c r="F165" s="91" t="s">
        <v>128</v>
      </c>
      <c r="G165" s="107" t="s">
        <v>351</v>
      </c>
      <c r="H165" s="60" t="s">
        <v>349</v>
      </c>
    </row>
    <row r="166" spans="1:8" customHeight="1" ht="15">
      <c r="A166" s="70" t="s">
        <v>347</v>
      </c>
      <c r="B166" s="77" t="s">
        <v>353</v>
      </c>
      <c r="C166" s="94" t="s">
        <v>145</v>
      </c>
      <c r="D166" s="94" t="s">
        <v>126</v>
      </c>
      <c r="E166" s="93" t="s">
        <v>127</v>
      </c>
      <c r="F166" s="94" t="s">
        <v>128</v>
      </c>
      <c r="G166" s="107" t="s">
        <v>164</v>
      </c>
      <c r="H166" s="60" t="s">
        <v>226</v>
      </c>
    </row>
    <row r="167" spans="1:8" customHeight="1" ht="15">
      <c r="A167" s="67" t="s">
        <v>347</v>
      </c>
      <c r="B167" s="67" t="s">
        <v>354</v>
      </c>
      <c r="C167" s="91" t="s">
        <v>145</v>
      </c>
      <c r="D167" s="91" t="s">
        <v>126</v>
      </c>
      <c r="E167" s="91" t="s">
        <v>127</v>
      </c>
      <c r="F167" s="91" t="s">
        <v>128</v>
      </c>
      <c r="G167" s="107" t="s">
        <v>164</v>
      </c>
      <c r="H167" s="60" t="s">
        <v>250</v>
      </c>
    </row>
    <row r="168" spans="1:8" customHeight="1" ht="15">
      <c r="A168" s="67" t="s">
        <v>347</v>
      </c>
      <c r="B168" s="98" t="s">
        <v>355</v>
      </c>
      <c r="C168" s="91" t="s">
        <v>138</v>
      </c>
      <c r="D168" s="91" t="s">
        <v>126</v>
      </c>
      <c r="E168" s="91" t="s">
        <v>127</v>
      </c>
      <c r="F168" s="91" t="s">
        <v>128</v>
      </c>
      <c r="G168" s="107" t="s">
        <v>129</v>
      </c>
      <c r="H168" s="128" t="s">
        <v>300</v>
      </c>
    </row>
    <row r="169" spans="1:8" customHeight="1" ht="15">
      <c r="A169" s="67" t="s">
        <v>347</v>
      </c>
      <c r="B169" s="98" t="s">
        <v>356</v>
      </c>
      <c r="C169" s="91" t="s">
        <v>138</v>
      </c>
      <c r="D169" s="91" t="s">
        <v>126</v>
      </c>
      <c r="E169" s="91" t="s">
        <v>127</v>
      </c>
      <c r="F169" s="91" t="s">
        <v>128</v>
      </c>
      <c r="G169" s="107" t="s">
        <v>129</v>
      </c>
      <c r="H169" s="128" t="s">
        <v>300</v>
      </c>
    </row>
    <row r="170" spans="1:8" customHeight="1" ht="15">
      <c r="A170" s="67" t="s">
        <v>347</v>
      </c>
      <c r="B170" s="98" t="s">
        <v>357</v>
      </c>
      <c r="C170" s="91" t="s">
        <v>133</v>
      </c>
      <c r="D170" s="91" t="s">
        <v>126</v>
      </c>
      <c r="E170" s="91" t="s">
        <v>127</v>
      </c>
      <c r="F170" s="91" t="s">
        <v>128</v>
      </c>
      <c r="G170" s="107" t="s">
        <v>358</v>
      </c>
      <c r="H170" s="60" t="s">
        <v>349</v>
      </c>
    </row>
    <row r="171" spans="1:8" customHeight="1" ht="15">
      <c r="A171" s="67" t="s">
        <v>347</v>
      </c>
      <c r="B171" s="98" t="s">
        <v>359</v>
      </c>
      <c r="C171" s="91" t="s">
        <v>125</v>
      </c>
      <c r="D171" s="91" t="s">
        <v>139</v>
      </c>
      <c r="E171" s="91" t="s">
        <v>217</v>
      </c>
      <c r="F171" s="91" t="s">
        <v>128</v>
      </c>
      <c r="G171" s="107" t="s">
        <v>142</v>
      </c>
      <c r="H171" s="107"/>
    </row>
    <row r="172" spans="1:8" customHeight="1" ht="15">
      <c r="A172" s="67" t="s">
        <v>347</v>
      </c>
      <c r="B172" s="98" t="s">
        <v>360</v>
      </c>
      <c r="C172" s="91" t="s">
        <v>178</v>
      </c>
      <c r="D172" s="91" t="s">
        <v>126</v>
      </c>
      <c r="E172" s="91" t="s">
        <v>127</v>
      </c>
      <c r="F172" s="91" t="s">
        <v>128</v>
      </c>
      <c r="G172" s="107" t="s">
        <v>211</v>
      </c>
      <c r="H172" s="60" t="s">
        <v>349</v>
      </c>
    </row>
    <row r="173" spans="1:8" customHeight="1" ht="15">
      <c r="A173" s="105" t="s">
        <v>361</v>
      </c>
      <c r="B173" s="105" t="s">
        <v>132</v>
      </c>
      <c r="C173" s="93" t="s">
        <v>133</v>
      </c>
      <c r="D173" s="93" t="s">
        <v>126</v>
      </c>
      <c r="E173" s="93" t="s">
        <v>127</v>
      </c>
      <c r="F173" s="94" t="s">
        <v>128</v>
      </c>
      <c r="G173" s="107" t="s">
        <v>134</v>
      </c>
      <c r="H173" s="60" t="s">
        <v>143</v>
      </c>
    </row>
    <row r="174" spans="1:8" customHeight="1" ht="15">
      <c r="A174" s="105" t="s">
        <v>362</v>
      </c>
      <c r="B174" s="105" t="s">
        <v>363</v>
      </c>
      <c r="C174" s="93" t="s">
        <v>178</v>
      </c>
      <c r="D174" s="93" t="s">
        <v>126</v>
      </c>
      <c r="E174" s="94" t="s">
        <v>127</v>
      </c>
      <c r="F174" s="94" t="s">
        <v>128</v>
      </c>
      <c r="G174" s="107" t="s">
        <v>364</v>
      </c>
      <c r="H174" s="60" t="s">
        <v>349</v>
      </c>
    </row>
    <row r="175" spans="1:8" customHeight="1" ht="15" s="35" customFormat="1">
      <c r="A175" s="105" t="s">
        <v>362</v>
      </c>
      <c r="B175" s="105" t="s">
        <v>157</v>
      </c>
      <c r="C175" s="93" t="s">
        <v>154</v>
      </c>
      <c r="D175" s="93" t="s">
        <v>126</v>
      </c>
      <c r="E175" s="93" t="s">
        <v>127</v>
      </c>
      <c r="F175" s="94" t="s">
        <v>128</v>
      </c>
      <c r="G175" s="107" t="s">
        <v>158</v>
      </c>
      <c r="H175" s="60" t="s">
        <v>156</v>
      </c>
    </row>
    <row r="176" spans="1:8" customHeight="1" ht="15">
      <c r="A176" s="105" t="s">
        <v>362</v>
      </c>
      <c r="B176" s="105" t="s">
        <v>365</v>
      </c>
      <c r="C176" s="93" t="s">
        <v>178</v>
      </c>
      <c r="D176" s="93" t="s">
        <v>126</v>
      </c>
      <c r="E176" s="94" t="s">
        <v>127</v>
      </c>
      <c r="F176" s="94" t="s">
        <v>128</v>
      </c>
      <c r="G176" s="107" t="s">
        <v>351</v>
      </c>
      <c r="H176" s="60" t="s">
        <v>314</v>
      </c>
    </row>
    <row r="177" spans="1:8" customHeight="1" ht="15">
      <c r="A177" s="105" t="s">
        <v>366</v>
      </c>
      <c r="B177" s="105" t="s">
        <v>137</v>
      </c>
      <c r="C177" s="91" t="s">
        <v>138</v>
      </c>
      <c r="D177" s="91" t="s">
        <v>139</v>
      </c>
      <c r="E177" s="91" t="s">
        <v>140</v>
      </c>
      <c r="F177" s="94" t="s">
        <v>367</v>
      </c>
      <c r="G177" s="107" t="s">
        <v>142</v>
      </c>
      <c r="H177" s="60" t="s">
        <v>143</v>
      </c>
    </row>
    <row r="178" spans="1:8" customHeight="1" ht="15">
      <c r="A178" s="105" t="s">
        <v>366</v>
      </c>
      <c r="B178" s="105" t="s">
        <v>144</v>
      </c>
      <c r="C178" s="93" t="s">
        <v>145</v>
      </c>
      <c r="D178" s="93" t="s">
        <v>139</v>
      </c>
      <c r="E178" s="91" t="s">
        <v>140</v>
      </c>
      <c r="F178" s="94" t="s">
        <v>367</v>
      </c>
      <c r="G178" s="107" t="s">
        <v>146</v>
      </c>
      <c r="H178" s="60" t="s">
        <v>143</v>
      </c>
    </row>
    <row r="179" spans="1:8" customHeight="1" ht="15">
      <c r="A179" s="105" t="s">
        <v>366</v>
      </c>
      <c r="B179" s="67" t="s">
        <v>149</v>
      </c>
      <c r="C179" s="93" t="s">
        <v>125</v>
      </c>
      <c r="D179" s="93" t="s">
        <v>139</v>
      </c>
      <c r="E179" s="91" t="s">
        <v>140</v>
      </c>
      <c r="F179" s="94" t="s">
        <v>367</v>
      </c>
      <c r="G179" s="107" t="s">
        <v>142</v>
      </c>
      <c r="H179" s="60" t="s">
        <v>143</v>
      </c>
    </row>
    <row r="180" spans="1:8" customHeight="1" ht="15">
      <c r="A180" s="67" t="s">
        <v>368</v>
      </c>
      <c r="B180" s="67" t="s">
        <v>369</v>
      </c>
      <c r="C180" s="91" t="s">
        <v>154</v>
      </c>
      <c r="D180" s="91" t="s">
        <v>139</v>
      </c>
      <c r="E180" s="91" t="s">
        <v>217</v>
      </c>
      <c r="F180" s="91" t="s">
        <v>128</v>
      </c>
      <c r="G180" s="107" t="s">
        <v>218</v>
      </c>
      <c r="H180" s="60" t="s">
        <v>226</v>
      </c>
    </row>
    <row r="181" spans="1:8" customHeight="1" ht="15">
      <c r="A181" s="67" t="s">
        <v>368</v>
      </c>
      <c r="B181" s="67" t="s">
        <v>370</v>
      </c>
      <c r="C181" s="91" t="s">
        <v>145</v>
      </c>
      <c r="D181" s="91" t="s">
        <v>126</v>
      </c>
      <c r="E181" s="91" t="s">
        <v>217</v>
      </c>
      <c r="F181" s="91" t="s">
        <v>128</v>
      </c>
      <c r="G181" s="107" t="s">
        <v>158</v>
      </c>
      <c r="H181" s="60" t="s">
        <v>226</v>
      </c>
    </row>
    <row r="182" spans="1:8" customHeight="1" ht="15">
      <c r="A182" s="67" t="s">
        <v>368</v>
      </c>
      <c r="B182" s="101" t="s">
        <v>371</v>
      </c>
      <c r="C182" s="91" t="s">
        <v>125</v>
      </c>
      <c r="D182" s="91" t="s">
        <v>139</v>
      </c>
      <c r="E182" s="91" t="s">
        <v>217</v>
      </c>
      <c r="F182" s="91" t="s">
        <v>128</v>
      </c>
      <c r="G182" s="107" t="s">
        <v>142</v>
      </c>
      <c r="H182" s="60" t="s">
        <v>226</v>
      </c>
    </row>
    <row r="183" spans="1:8" customHeight="1" ht="15">
      <c r="A183" s="67" t="s">
        <v>368</v>
      </c>
      <c r="B183" s="67" t="s">
        <v>372</v>
      </c>
      <c r="C183" s="91" t="s">
        <v>125</v>
      </c>
      <c r="D183" s="91" t="s">
        <v>139</v>
      </c>
      <c r="E183" s="91" t="s">
        <v>217</v>
      </c>
      <c r="F183" s="91" t="s">
        <v>128</v>
      </c>
      <c r="G183" s="107" t="s">
        <v>142</v>
      </c>
      <c r="H183" s="60" t="s">
        <v>226</v>
      </c>
    </row>
    <row r="184" spans="1:8" customHeight="1" ht="15">
      <c r="A184" s="67" t="s">
        <v>373</v>
      </c>
      <c r="B184" s="67" t="s">
        <v>370</v>
      </c>
      <c r="C184" s="91" t="s">
        <v>145</v>
      </c>
      <c r="D184" s="91" t="s">
        <v>126</v>
      </c>
      <c r="E184" s="91" t="s">
        <v>217</v>
      </c>
      <c r="F184" s="91" t="s">
        <v>128</v>
      </c>
      <c r="G184" s="107" t="s">
        <v>158</v>
      </c>
      <c r="H184" s="60" t="s">
        <v>226</v>
      </c>
    </row>
    <row r="185" spans="1:8" customHeight="1" ht="15">
      <c r="A185" s="67" t="s">
        <v>374</v>
      </c>
      <c r="B185" s="67" t="s">
        <v>375</v>
      </c>
      <c r="C185" s="91" t="s">
        <v>154</v>
      </c>
      <c r="D185" s="91" t="s">
        <v>139</v>
      </c>
      <c r="E185" s="91" t="s">
        <v>140</v>
      </c>
      <c r="F185" s="91" t="s">
        <v>128</v>
      </c>
      <c r="G185" s="107" t="s">
        <v>155</v>
      </c>
      <c r="H185" s="60" t="s">
        <v>319</v>
      </c>
    </row>
    <row r="186" spans="1:8" customHeight="1" ht="15">
      <c r="A186" s="67" t="s">
        <v>374</v>
      </c>
      <c r="B186" s="67" t="s">
        <v>222</v>
      </c>
      <c r="C186" s="91" t="s">
        <v>138</v>
      </c>
      <c r="D186" s="91" t="s">
        <v>126</v>
      </c>
      <c r="E186" s="91" t="s">
        <v>140</v>
      </c>
      <c r="F186" s="91" t="s">
        <v>128</v>
      </c>
      <c r="G186" s="107" t="s">
        <v>129</v>
      </c>
      <c r="H186" s="60" t="s">
        <v>319</v>
      </c>
    </row>
    <row r="187" spans="1:8" customHeight="1" ht="15">
      <c r="A187" s="67" t="s">
        <v>374</v>
      </c>
      <c r="B187" s="67" t="s">
        <v>376</v>
      </c>
      <c r="C187" s="91" t="s">
        <v>145</v>
      </c>
      <c r="D187" s="91" t="s">
        <v>139</v>
      </c>
      <c r="E187" s="91" t="s">
        <v>140</v>
      </c>
      <c r="F187" s="91" t="s">
        <v>128</v>
      </c>
      <c r="G187" s="107" t="s">
        <v>175</v>
      </c>
      <c r="H187" s="60" t="s">
        <v>319</v>
      </c>
    </row>
    <row r="188" spans="1:8" customHeight="1" ht="15">
      <c r="A188" s="67" t="s">
        <v>377</v>
      </c>
      <c r="B188" s="67" t="s">
        <v>329</v>
      </c>
      <c r="C188" s="91" t="s">
        <v>125</v>
      </c>
      <c r="D188" s="91" t="s">
        <v>126</v>
      </c>
      <c r="E188" s="91" t="s">
        <v>127</v>
      </c>
      <c r="F188" s="91" t="s">
        <v>128</v>
      </c>
      <c r="G188" s="107" t="s">
        <v>129</v>
      </c>
      <c r="H188" s="60" t="s">
        <v>130</v>
      </c>
    </row>
    <row r="189" spans="1:8" customHeight="1" ht="15">
      <c r="A189" s="67" t="s">
        <v>378</v>
      </c>
      <c r="B189" s="67" t="s">
        <v>379</v>
      </c>
      <c r="C189" s="91" t="s">
        <v>125</v>
      </c>
      <c r="D189" s="91" t="s">
        <v>126</v>
      </c>
      <c r="E189" s="91" t="s">
        <v>127</v>
      </c>
      <c r="F189" s="91" t="s">
        <v>128</v>
      </c>
      <c r="G189" s="107" t="s">
        <v>129</v>
      </c>
      <c r="H189" s="60" t="s">
        <v>130</v>
      </c>
    </row>
    <row r="190" spans="1:8" customHeight="1" ht="15">
      <c r="A190" s="67" t="s">
        <v>378</v>
      </c>
      <c r="B190" s="67" t="s">
        <v>380</v>
      </c>
      <c r="C190" s="91" t="s">
        <v>145</v>
      </c>
      <c r="D190" s="91" t="s">
        <v>126</v>
      </c>
      <c r="E190" s="91" t="s">
        <v>127</v>
      </c>
      <c r="F190" s="91" t="s">
        <v>128</v>
      </c>
      <c r="G190" s="107" t="s">
        <v>158</v>
      </c>
      <c r="H190" s="60" t="s">
        <v>130</v>
      </c>
    </row>
    <row r="191" spans="1:8" customHeight="1" ht="15">
      <c r="A191" s="67" t="s">
        <v>378</v>
      </c>
      <c r="B191" s="67" t="s">
        <v>381</v>
      </c>
      <c r="C191" s="91" t="s">
        <v>145</v>
      </c>
      <c r="D191" s="91" t="s">
        <v>126</v>
      </c>
      <c r="E191" s="91" t="s">
        <v>127</v>
      </c>
      <c r="F191" s="91" t="s">
        <v>128</v>
      </c>
      <c r="G191" s="107" t="s">
        <v>158</v>
      </c>
      <c r="H191" s="60" t="s">
        <v>130</v>
      </c>
    </row>
    <row r="192" spans="1:8" customHeight="1" ht="15">
      <c r="A192" s="67" t="s">
        <v>378</v>
      </c>
      <c r="B192" s="67" t="s">
        <v>382</v>
      </c>
      <c r="C192" s="91" t="s">
        <v>138</v>
      </c>
      <c r="D192" s="91" t="s">
        <v>126</v>
      </c>
      <c r="E192" s="91" t="s">
        <v>263</v>
      </c>
      <c r="F192" s="91" t="s">
        <v>128</v>
      </c>
      <c r="G192" s="107" t="s">
        <v>129</v>
      </c>
      <c r="H192" s="60" t="s">
        <v>130</v>
      </c>
    </row>
    <row r="193" spans="1:8" customHeight="1" ht="15">
      <c r="A193" s="67" t="s">
        <v>383</v>
      </c>
      <c r="B193" s="67" t="s">
        <v>384</v>
      </c>
      <c r="C193" s="91" t="s">
        <v>125</v>
      </c>
      <c r="D193" s="91" t="s">
        <v>139</v>
      </c>
      <c r="E193" s="91" t="s">
        <v>217</v>
      </c>
      <c r="F193" s="91" t="s">
        <v>128</v>
      </c>
      <c r="G193" s="107" t="s">
        <v>142</v>
      </c>
      <c r="H193" s="60" t="s">
        <v>226</v>
      </c>
    </row>
    <row r="194" spans="1:8" customHeight="1" ht="15">
      <c r="A194" s="67" t="s">
        <v>383</v>
      </c>
      <c r="B194" s="67" t="s">
        <v>385</v>
      </c>
      <c r="C194" s="91" t="s">
        <v>125</v>
      </c>
      <c r="D194" s="91" t="s">
        <v>139</v>
      </c>
      <c r="E194" s="91" t="s">
        <v>217</v>
      </c>
      <c r="F194" s="91" t="s">
        <v>128</v>
      </c>
      <c r="G194" s="107" t="s">
        <v>142</v>
      </c>
      <c r="H194" s="60" t="s">
        <v>226</v>
      </c>
    </row>
    <row r="195" spans="1:8" customHeight="1" ht="15">
      <c r="A195" s="67" t="s">
        <v>383</v>
      </c>
      <c r="B195" s="67" t="s">
        <v>386</v>
      </c>
      <c r="C195" s="91" t="s">
        <v>125</v>
      </c>
      <c r="D195" s="91" t="s">
        <v>139</v>
      </c>
      <c r="E195" s="91" t="s">
        <v>217</v>
      </c>
      <c r="F195" s="91" t="s">
        <v>128</v>
      </c>
      <c r="G195" s="107" t="s">
        <v>142</v>
      </c>
      <c r="H195" s="60" t="s">
        <v>226</v>
      </c>
    </row>
    <row r="196" spans="1:8" customHeight="1" ht="15">
      <c r="A196" s="67" t="s">
        <v>383</v>
      </c>
      <c r="B196" s="67" t="s">
        <v>387</v>
      </c>
      <c r="C196" s="91" t="s">
        <v>125</v>
      </c>
      <c r="D196" s="91" t="s">
        <v>139</v>
      </c>
      <c r="E196" s="91" t="s">
        <v>217</v>
      </c>
      <c r="F196" s="91" t="s">
        <v>128</v>
      </c>
      <c r="G196" s="107" t="s">
        <v>142</v>
      </c>
      <c r="H196" s="60" t="s">
        <v>226</v>
      </c>
    </row>
    <row r="197" spans="1:8" customHeight="1" ht="15">
      <c r="A197" s="67" t="s">
        <v>383</v>
      </c>
      <c r="B197" s="67" t="s">
        <v>388</v>
      </c>
      <c r="C197" s="91" t="s">
        <v>125</v>
      </c>
      <c r="D197" s="91" t="s">
        <v>139</v>
      </c>
      <c r="E197" s="91" t="s">
        <v>217</v>
      </c>
      <c r="F197" s="91" t="s">
        <v>128</v>
      </c>
      <c r="G197" s="107" t="s">
        <v>142</v>
      </c>
      <c r="H197" s="60" t="s">
        <v>226</v>
      </c>
    </row>
    <row r="198" spans="1:8" customHeight="1" ht="15">
      <c r="A198" s="67" t="s">
        <v>389</v>
      </c>
      <c r="B198" s="67" t="s">
        <v>384</v>
      </c>
      <c r="C198" s="91" t="s">
        <v>125</v>
      </c>
      <c r="D198" s="91" t="s">
        <v>139</v>
      </c>
      <c r="E198" s="91" t="s">
        <v>217</v>
      </c>
      <c r="F198" s="91" t="s">
        <v>128</v>
      </c>
      <c r="G198" s="107" t="s">
        <v>142</v>
      </c>
      <c r="H198" s="60" t="s">
        <v>226</v>
      </c>
    </row>
    <row r="199" spans="1:8" customHeight="1" ht="15">
      <c r="A199" s="67" t="s">
        <v>389</v>
      </c>
      <c r="B199" s="67" t="s">
        <v>390</v>
      </c>
      <c r="C199" s="91" t="s">
        <v>125</v>
      </c>
      <c r="D199" s="91" t="s">
        <v>139</v>
      </c>
      <c r="E199" s="91" t="s">
        <v>217</v>
      </c>
      <c r="F199" s="91" t="s">
        <v>128</v>
      </c>
      <c r="G199" s="107" t="s">
        <v>142</v>
      </c>
      <c r="H199" s="60" t="s">
        <v>226</v>
      </c>
    </row>
    <row r="200" spans="1:8" customHeight="1" ht="15">
      <c r="A200" s="67" t="s">
        <v>389</v>
      </c>
      <c r="B200" s="67" t="s">
        <v>386</v>
      </c>
      <c r="C200" s="91" t="s">
        <v>125</v>
      </c>
      <c r="D200" s="91" t="s">
        <v>139</v>
      </c>
      <c r="E200" s="91" t="s">
        <v>217</v>
      </c>
      <c r="F200" s="91" t="s">
        <v>128</v>
      </c>
      <c r="G200" s="107" t="s">
        <v>142</v>
      </c>
      <c r="H200" s="60" t="s">
        <v>226</v>
      </c>
    </row>
    <row r="201" spans="1:8" customHeight="1" ht="15">
      <c r="A201" s="194" t="s">
        <v>391</v>
      </c>
      <c r="B201" s="194" t="s">
        <v>392</v>
      </c>
      <c r="C201" s="91" t="s">
        <v>138</v>
      </c>
      <c r="D201" s="91" t="s">
        <v>126</v>
      </c>
      <c r="E201" s="91" t="s">
        <v>127</v>
      </c>
      <c r="F201" s="91" t="s">
        <v>128</v>
      </c>
      <c r="G201" s="107" t="s">
        <v>129</v>
      </c>
      <c r="H201" s="60" t="s">
        <v>250</v>
      </c>
    </row>
    <row r="202" spans="1:8" customHeight="1" ht="15">
      <c r="A202" s="70" t="s">
        <v>393</v>
      </c>
      <c r="B202" s="70" t="s">
        <v>394</v>
      </c>
      <c r="C202" s="190" t="s">
        <v>154</v>
      </c>
      <c r="D202" s="91" t="s">
        <v>126</v>
      </c>
      <c r="E202" s="91" t="s">
        <v>127</v>
      </c>
      <c r="F202" s="91" t="s">
        <v>128</v>
      </c>
      <c r="G202" s="107" t="s">
        <v>155</v>
      </c>
      <c r="H202" s="60" t="s">
        <v>250</v>
      </c>
    </row>
    <row r="203" spans="1:8" customHeight="1" ht="15">
      <c r="A203" s="67" t="s">
        <v>391</v>
      </c>
      <c r="B203" s="67" t="s">
        <v>395</v>
      </c>
      <c r="C203" s="91" t="s">
        <v>145</v>
      </c>
      <c r="D203" s="91" t="s">
        <v>126</v>
      </c>
      <c r="E203" s="91" t="s">
        <v>127</v>
      </c>
      <c r="F203" s="91" t="s">
        <v>128</v>
      </c>
      <c r="G203" s="107" t="s">
        <v>158</v>
      </c>
      <c r="H203" s="60" t="s">
        <v>250</v>
      </c>
    </row>
    <row r="204" spans="1:8" customHeight="1" ht="15">
      <c r="A204" s="67" t="s">
        <v>396</v>
      </c>
      <c r="B204" s="67" t="s">
        <v>397</v>
      </c>
      <c r="C204" s="91" t="s">
        <v>154</v>
      </c>
      <c r="D204" s="91" t="s">
        <v>126</v>
      </c>
      <c r="E204" s="91" t="s">
        <v>127</v>
      </c>
      <c r="F204" s="91" t="s">
        <v>128</v>
      </c>
      <c r="G204" s="107" t="s">
        <v>155</v>
      </c>
      <c r="H204" s="60" t="s">
        <v>169</v>
      </c>
    </row>
    <row r="205" spans="1:8" customHeight="1" ht="15">
      <c r="A205" s="67" t="s">
        <v>396</v>
      </c>
      <c r="B205" s="67" t="s">
        <v>398</v>
      </c>
      <c r="C205" s="91" t="s">
        <v>154</v>
      </c>
      <c r="D205" s="91" t="s">
        <v>126</v>
      </c>
      <c r="E205" s="91" t="s">
        <v>127</v>
      </c>
      <c r="F205" s="91" t="s">
        <v>128</v>
      </c>
      <c r="G205" s="107" t="s">
        <v>155</v>
      </c>
      <c r="H205" s="60" t="s">
        <v>169</v>
      </c>
    </row>
    <row r="206" spans="1:8" customHeight="1" ht="15">
      <c r="A206" s="67" t="s">
        <v>396</v>
      </c>
      <c r="B206" s="102" t="s">
        <v>399</v>
      </c>
      <c r="C206" s="91" t="s">
        <v>145</v>
      </c>
      <c r="D206" s="94" t="s">
        <v>126</v>
      </c>
      <c r="E206" s="94" t="s">
        <v>127</v>
      </c>
      <c r="F206" s="94" t="s">
        <v>128</v>
      </c>
      <c r="G206" s="107" t="s">
        <v>158</v>
      </c>
      <c r="H206" s="60" t="s">
        <v>169</v>
      </c>
    </row>
    <row r="207" spans="1:8" customHeight="1" ht="15">
      <c r="A207" s="105" t="s">
        <v>400</v>
      </c>
      <c r="B207" s="105" t="s">
        <v>401</v>
      </c>
      <c r="C207" s="93" t="s">
        <v>154</v>
      </c>
      <c r="D207" s="93" t="s">
        <v>126</v>
      </c>
      <c r="E207" s="93" t="s">
        <v>127</v>
      </c>
      <c r="F207" s="94" t="s">
        <v>128</v>
      </c>
      <c r="G207" s="107" t="s">
        <v>155</v>
      </c>
      <c r="H207" s="60" t="s">
        <v>402</v>
      </c>
    </row>
    <row r="208" spans="1:8" customHeight="1" ht="15">
      <c r="A208" s="67" t="s">
        <v>400</v>
      </c>
      <c r="B208" s="67" t="s">
        <v>403</v>
      </c>
      <c r="C208" s="91" t="s">
        <v>154</v>
      </c>
      <c r="D208" s="91" t="s">
        <v>126</v>
      </c>
      <c r="E208" s="91" t="s">
        <v>127</v>
      </c>
      <c r="F208" s="91" t="s">
        <v>128</v>
      </c>
      <c r="G208" s="107" t="s">
        <v>155</v>
      </c>
      <c r="H208" s="60" t="s">
        <v>402</v>
      </c>
    </row>
    <row r="209" spans="1:8" customHeight="1" ht="15">
      <c r="A209" s="67" t="s">
        <v>400</v>
      </c>
      <c r="B209" s="67" t="s">
        <v>404</v>
      </c>
      <c r="C209" s="91" t="s">
        <v>178</v>
      </c>
      <c r="D209" s="91" t="s">
        <v>126</v>
      </c>
      <c r="E209" s="91" t="s">
        <v>127</v>
      </c>
      <c r="F209" s="91" t="s">
        <v>128</v>
      </c>
      <c r="G209" s="107" t="s">
        <v>351</v>
      </c>
      <c r="H209" s="60" t="s">
        <v>402</v>
      </c>
    </row>
    <row r="210" spans="1:8" customHeight="1" ht="15">
      <c r="A210" s="67" t="s">
        <v>400</v>
      </c>
      <c r="B210" s="67" t="s">
        <v>405</v>
      </c>
      <c r="C210" s="91" t="s">
        <v>154</v>
      </c>
      <c r="D210" s="91" t="s">
        <v>126</v>
      </c>
      <c r="E210" s="91" t="s">
        <v>127</v>
      </c>
      <c r="F210" s="91" t="s">
        <v>128</v>
      </c>
      <c r="G210" s="107" t="s">
        <v>155</v>
      </c>
      <c r="H210" s="60" t="s">
        <v>402</v>
      </c>
    </row>
    <row r="211" spans="1:8" customHeight="1" ht="15">
      <c r="A211" s="67" t="s">
        <v>400</v>
      </c>
      <c r="B211" s="67" t="s">
        <v>406</v>
      </c>
      <c r="C211" s="91" t="s">
        <v>154</v>
      </c>
      <c r="D211" s="91" t="s">
        <v>126</v>
      </c>
      <c r="E211" s="91" t="s">
        <v>127</v>
      </c>
      <c r="F211" s="91" t="s">
        <v>128</v>
      </c>
      <c r="G211" s="107" t="s">
        <v>155</v>
      </c>
      <c r="H211" s="60" t="s">
        <v>402</v>
      </c>
    </row>
    <row r="212" spans="1:8" customHeight="1" ht="15">
      <c r="A212" s="105" t="s">
        <v>400</v>
      </c>
      <c r="B212" s="105" t="s">
        <v>407</v>
      </c>
      <c r="C212" s="93" t="s">
        <v>154</v>
      </c>
      <c r="D212" s="94" t="s">
        <v>126</v>
      </c>
      <c r="E212" s="94" t="s">
        <v>127</v>
      </c>
      <c r="F212" s="94" t="s">
        <v>128</v>
      </c>
      <c r="G212" s="107" t="s">
        <v>155</v>
      </c>
      <c r="H212" s="60" t="s">
        <v>402</v>
      </c>
    </row>
    <row r="213" spans="1:8" customHeight="1" ht="15">
      <c r="A213" s="67" t="s">
        <v>400</v>
      </c>
      <c r="B213" s="101" t="s">
        <v>408</v>
      </c>
      <c r="C213" s="91" t="s">
        <v>154</v>
      </c>
      <c r="D213" s="91" t="s">
        <v>126</v>
      </c>
      <c r="E213" s="91" t="s">
        <v>127</v>
      </c>
      <c r="F213" s="91" t="s">
        <v>128</v>
      </c>
      <c r="G213" s="107" t="s">
        <v>155</v>
      </c>
      <c r="H213" s="60" t="s">
        <v>130</v>
      </c>
    </row>
    <row r="214" spans="1:8" customHeight="1" ht="15">
      <c r="A214" s="67" t="s">
        <v>400</v>
      </c>
      <c r="B214" s="67" t="s">
        <v>409</v>
      </c>
      <c r="C214" s="91" t="s">
        <v>145</v>
      </c>
      <c r="D214" s="91" t="s">
        <v>126</v>
      </c>
      <c r="E214" s="91" t="s">
        <v>127</v>
      </c>
      <c r="F214" s="91" t="s">
        <v>128</v>
      </c>
      <c r="G214" s="107" t="s">
        <v>164</v>
      </c>
      <c r="H214" s="60" t="s">
        <v>402</v>
      </c>
    </row>
    <row r="215" spans="1:8" customHeight="1" ht="15">
      <c r="A215" s="105" t="s">
        <v>410</v>
      </c>
      <c r="B215" s="105" t="s">
        <v>411</v>
      </c>
      <c r="C215" s="94" t="s">
        <v>145</v>
      </c>
      <c r="D215" s="93" t="s">
        <v>126</v>
      </c>
      <c r="E215" s="94" t="s">
        <v>127</v>
      </c>
      <c r="F215" s="94" t="s">
        <v>128</v>
      </c>
      <c r="G215" s="107" t="s">
        <v>158</v>
      </c>
      <c r="H215" s="60" t="s">
        <v>226</v>
      </c>
    </row>
    <row r="216" spans="1:8" customHeight="1" ht="15">
      <c r="A216" s="67" t="s">
        <v>412</v>
      </c>
      <c r="B216" s="67" t="s">
        <v>413</v>
      </c>
      <c r="C216" s="91" t="s">
        <v>154</v>
      </c>
      <c r="D216" s="91" t="s">
        <v>126</v>
      </c>
      <c r="E216" s="91" t="s">
        <v>127</v>
      </c>
      <c r="F216" s="91" t="s">
        <v>128</v>
      </c>
      <c r="G216" s="107" t="s">
        <v>155</v>
      </c>
      <c r="H216" s="60" t="s">
        <v>414</v>
      </c>
    </row>
    <row r="217" spans="1:8" customHeight="1" ht="15">
      <c r="A217" s="67" t="s">
        <v>412</v>
      </c>
      <c r="B217" s="67" t="s">
        <v>415</v>
      </c>
      <c r="C217" s="91" t="s">
        <v>178</v>
      </c>
      <c r="D217" s="91" t="s">
        <v>126</v>
      </c>
      <c r="E217" s="91" t="s">
        <v>127</v>
      </c>
      <c r="F217" s="91" t="s">
        <v>128</v>
      </c>
      <c r="G217" s="107" t="s">
        <v>351</v>
      </c>
      <c r="H217" s="60" t="s">
        <v>414</v>
      </c>
    </row>
    <row r="218" spans="1:8" customHeight="1" ht="15">
      <c r="A218" s="67" t="s">
        <v>412</v>
      </c>
      <c r="B218" s="67" t="s">
        <v>416</v>
      </c>
      <c r="C218" s="91" t="s">
        <v>154</v>
      </c>
      <c r="D218" s="91" t="s">
        <v>126</v>
      </c>
      <c r="E218" s="91" t="s">
        <v>127</v>
      </c>
      <c r="F218" s="91" t="s">
        <v>128</v>
      </c>
      <c r="G218" s="107" t="s">
        <v>155</v>
      </c>
      <c r="H218" s="60" t="s">
        <v>414</v>
      </c>
    </row>
    <row r="219" spans="1:8" customHeight="1" ht="15">
      <c r="A219" s="67" t="s">
        <v>412</v>
      </c>
      <c r="B219" s="67" t="s">
        <v>417</v>
      </c>
      <c r="C219" s="91" t="s">
        <v>154</v>
      </c>
      <c r="D219" s="91" t="s">
        <v>126</v>
      </c>
      <c r="E219" s="91" t="s">
        <v>127</v>
      </c>
      <c r="F219" s="91" t="s">
        <v>128</v>
      </c>
      <c r="G219" s="107" t="s">
        <v>155</v>
      </c>
      <c r="H219" s="60" t="s">
        <v>414</v>
      </c>
    </row>
    <row r="220" spans="1:8" customHeight="1" ht="15">
      <c r="A220" s="67" t="s">
        <v>418</v>
      </c>
      <c r="B220" s="67" t="s">
        <v>137</v>
      </c>
      <c r="C220" s="91" t="s">
        <v>138</v>
      </c>
      <c r="D220" s="91" t="s">
        <v>139</v>
      </c>
      <c r="E220" s="91" t="s">
        <v>140</v>
      </c>
      <c r="F220" s="91" t="s">
        <v>419</v>
      </c>
      <c r="G220" s="107" t="s">
        <v>142</v>
      </c>
      <c r="H220" s="60" t="s">
        <v>143</v>
      </c>
    </row>
    <row r="221" spans="1:8" customHeight="1" ht="15">
      <c r="A221" s="67" t="s">
        <v>418</v>
      </c>
      <c r="B221" s="67" t="s">
        <v>144</v>
      </c>
      <c r="C221" s="91" t="s">
        <v>145</v>
      </c>
      <c r="D221" s="91" t="s">
        <v>139</v>
      </c>
      <c r="E221" s="91" t="s">
        <v>140</v>
      </c>
      <c r="F221" s="91" t="s">
        <v>419</v>
      </c>
      <c r="G221" s="107" t="s">
        <v>146</v>
      </c>
      <c r="H221" s="60" t="s">
        <v>143</v>
      </c>
    </row>
    <row r="222" spans="1:8" customHeight="1" ht="15">
      <c r="A222" s="67" t="s">
        <v>418</v>
      </c>
      <c r="B222" s="67" t="s">
        <v>149</v>
      </c>
      <c r="C222" s="91" t="s">
        <v>125</v>
      </c>
      <c r="D222" s="91" t="s">
        <v>139</v>
      </c>
      <c r="E222" s="91" t="s">
        <v>140</v>
      </c>
      <c r="F222" s="91" t="s">
        <v>419</v>
      </c>
      <c r="G222" s="107" t="s">
        <v>142</v>
      </c>
      <c r="H222" s="60" t="s">
        <v>143</v>
      </c>
    </row>
    <row r="223" spans="1:8" customHeight="1" ht="15">
      <c r="A223" s="67" t="s">
        <v>420</v>
      </c>
      <c r="B223" s="67" t="s">
        <v>384</v>
      </c>
      <c r="C223" s="91" t="s">
        <v>125</v>
      </c>
      <c r="D223" s="91" t="s">
        <v>139</v>
      </c>
      <c r="E223" s="91" t="s">
        <v>217</v>
      </c>
      <c r="F223" s="91" t="s">
        <v>128</v>
      </c>
      <c r="G223" s="107" t="s">
        <v>142</v>
      </c>
      <c r="H223" s="60" t="s">
        <v>226</v>
      </c>
    </row>
    <row r="224" spans="1:8" customHeight="1" ht="15">
      <c r="A224" s="194" t="s">
        <v>420</v>
      </c>
      <c r="B224" s="194" t="s">
        <v>421</v>
      </c>
      <c r="C224" s="91" t="s">
        <v>125</v>
      </c>
      <c r="D224" s="91" t="s">
        <v>139</v>
      </c>
      <c r="E224" s="91" t="s">
        <v>217</v>
      </c>
      <c r="F224" s="91" t="s">
        <v>128</v>
      </c>
      <c r="G224" s="107" t="s">
        <v>142</v>
      </c>
      <c r="H224" s="60" t="s">
        <v>226</v>
      </c>
    </row>
    <row r="225" spans="1:8" customHeight="1" ht="15">
      <c r="A225" s="67" t="s">
        <v>422</v>
      </c>
      <c r="B225" s="67" t="s">
        <v>423</v>
      </c>
      <c r="C225" s="91" t="s">
        <v>125</v>
      </c>
      <c r="D225" s="91" t="s">
        <v>126</v>
      </c>
      <c r="E225" s="91" t="s">
        <v>263</v>
      </c>
      <c r="F225" s="91" t="s">
        <v>128</v>
      </c>
      <c r="G225" s="107" t="s">
        <v>129</v>
      </c>
      <c r="H225" s="60" t="s">
        <v>130</v>
      </c>
    </row>
    <row r="226" spans="1:8" customHeight="1" ht="15">
      <c r="A226" s="67" t="s">
        <v>422</v>
      </c>
      <c r="B226" s="67" t="s">
        <v>424</v>
      </c>
      <c r="C226" s="91" t="s">
        <v>145</v>
      </c>
      <c r="D226" s="91" t="s">
        <v>126</v>
      </c>
      <c r="E226" s="91" t="s">
        <v>127</v>
      </c>
      <c r="F226" s="91" t="s">
        <v>128</v>
      </c>
      <c r="G226" s="107" t="s">
        <v>158</v>
      </c>
      <c r="H226" s="60" t="s">
        <v>130</v>
      </c>
    </row>
    <row r="227" spans="1:8" customHeight="1" ht="15">
      <c r="A227" s="67" t="s">
        <v>422</v>
      </c>
      <c r="B227" s="67" t="s">
        <v>425</v>
      </c>
      <c r="C227" s="91" t="s">
        <v>125</v>
      </c>
      <c r="D227" s="91" t="s">
        <v>126</v>
      </c>
      <c r="E227" s="91" t="s">
        <v>263</v>
      </c>
      <c r="F227" s="91" t="s">
        <v>128</v>
      </c>
      <c r="G227" s="107" t="s">
        <v>129</v>
      </c>
      <c r="H227" s="60" t="s">
        <v>130</v>
      </c>
    </row>
    <row r="228" spans="1:8" customHeight="1" ht="15">
      <c r="A228" s="90" t="s">
        <v>426</v>
      </c>
      <c r="B228" s="90" t="s">
        <v>427</v>
      </c>
      <c r="C228" s="93" t="s">
        <v>125</v>
      </c>
      <c r="D228" s="94" t="s">
        <v>139</v>
      </c>
      <c r="E228" s="94" t="s">
        <v>174</v>
      </c>
      <c r="F228" s="94" t="s">
        <v>128</v>
      </c>
      <c r="G228" s="107" t="s">
        <v>142</v>
      </c>
      <c r="H228" s="60" t="s">
        <v>130</v>
      </c>
    </row>
    <row r="229" spans="1:8" customHeight="1" ht="15">
      <c r="A229" s="97" t="s">
        <v>426</v>
      </c>
      <c r="B229" s="97" t="s">
        <v>423</v>
      </c>
      <c r="C229" s="91" t="s">
        <v>125</v>
      </c>
      <c r="D229" s="91" t="s">
        <v>139</v>
      </c>
      <c r="E229" s="91" t="s">
        <v>174</v>
      </c>
      <c r="F229" s="91" t="s">
        <v>128</v>
      </c>
      <c r="G229" s="107" t="s">
        <v>142</v>
      </c>
      <c r="H229" s="60" t="s">
        <v>130</v>
      </c>
    </row>
    <row r="230" spans="1:8" customHeight="1" ht="15">
      <c r="A230" s="67" t="s">
        <v>426</v>
      </c>
      <c r="B230" s="67" t="s">
        <v>423</v>
      </c>
      <c r="C230" s="91" t="s">
        <v>125</v>
      </c>
      <c r="D230" s="91" t="s">
        <v>139</v>
      </c>
      <c r="E230" s="91" t="s">
        <v>263</v>
      </c>
      <c r="F230" s="91" t="s">
        <v>128</v>
      </c>
      <c r="G230" s="107" t="s">
        <v>142</v>
      </c>
      <c r="H230" s="60" t="s">
        <v>130</v>
      </c>
    </row>
    <row r="231" spans="1:8" customHeight="1" ht="15">
      <c r="A231" s="97" t="s">
        <v>426</v>
      </c>
      <c r="B231" s="97" t="s">
        <v>329</v>
      </c>
      <c r="C231" s="91" t="s">
        <v>125</v>
      </c>
      <c r="D231" s="91" t="s">
        <v>126</v>
      </c>
      <c r="E231" s="91" t="s">
        <v>127</v>
      </c>
      <c r="F231" s="91" t="s">
        <v>128</v>
      </c>
      <c r="G231" s="107" t="s">
        <v>129</v>
      </c>
      <c r="H231" s="60" t="s">
        <v>130</v>
      </c>
    </row>
    <row r="232" spans="1:8" customHeight="1" ht="15">
      <c r="A232" s="97" t="s">
        <v>426</v>
      </c>
      <c r="B232" s="97" t="s">
        <v>428</v>
      </c>
      <c r="C232" s="91" t="s">
        <v>145</v>
      </c>
      <c r="D232" s="91" t="s">
        <v>126</v>
      </c>
      <c r="E232" s="91" t="s">
        <v>127</v>
      </c>
      <c r="F232" s="91" t="s">
        <v>128</v>
      </c>
      <c r="G232" s="107" t="s">
        <v>158</v>
      </c>
      <c r="H232" s="60" t="s">
        <v>130</v>
      </c>
    </row>
    <row r="233" spans="1:8" customHeight="1" ht="15">
      <c r="A233" s="67" t="s">
        <v>426</v>
      </c>
      <c r="B233" s="67" t="s">
        <v>428</v>
      </c>
      <c r="C233" s="91" t="s">
        <v>145</v>
      </c>
      <c r="D233" s="91" t="s">
        <v>126</v>
      </c>
      <c r="E233" s="91" t="s">
        <v>263</v>
      </c>
      <c r="F233" s="91" t="s">
        <v>128</v>
      </c>
      <c r="G233" s="107" t="s">
        <v>158</v>
      </c>
      <c r="H233" s="60" t="s">
        <v>130</v>
      </c>
    </row>
    <row r="234" spans="1:8" customHeight="1" ht="15">
      <c r="A234" s="67" t="s">
        <v>429</v>
      </c>
      <c r="B234" s="67" t="s">
        <v>430</v>
      </c>
      <c r="C234" s="91" t="s">
        <v>145</v>
      </c>
      <c r="D234" s="91" t="s">
        <v>126</v>
      </c>
      <c r="E234" s="91" t="s">
        <v>127</v>
      </c>
      <c r="F234" s="91" t="s">
        <v>128</v>
      </c>
      <c r="G234" s="107" t="s">
        <v>158</v>
      </c>
      <c r="H234" s="128" t="s">
        <v>300</v>
      </c>
    </row>
    <row r="235" spans="1:8" customHeight="1" ht="15">
      <c r="A235" s="67" t="s">
        <v>429</v>
      </c>
      <c r="B235" s="102" t="s">
        <v>431</v>
      </c>
      <c r="C235" s="91" t="s">
        <v>138</v>
      </c>
      <c r="D235" s="94" t="s">
        <v>126</v>
      </c>
      <c r="E235" s="94" t="s">
        <v>127</v>
      </c>
      <c r="F235" s="94" t="s">
        <v>128</v>
      </c>
      <c r="G235" s="107" t="s">
        <v>129</v>
      </c>
      <c r="H235" s="128" t="s">
        <v>300</v>
      </c>
    </row>
    <row r="236" spans="1:8" customHeight="1" ht="15">
      <c r="A236" s="67" t="s">
        <v>429</v>
      </c>
      <c r="B236" s="67" t="s">
        <v>432</v>
      </c>
      <c r="C236" s="91" t="s">
        <v>138</v>
      </c>
      <c r="D236" s="91" t="s">
        <v>126</v>
      </c>
      <c r="E236" s="91" t="s">
        <v>127</v>
      </c>
      <c r="F236" s="91" t="s">
        <v>128</v>
      </c>
      <c r="G236" s="107" t="s">
        <v>129</v>
      </c>
      <c r="H236" s="128" t="s">
        <v>300</v>
      </c>
    </row>
    <row r="237" spans="1:8" customHeight="1" ht="15">
      <c r="A237" s="67" t="s">
        <v>429</v>
      </c>
      <c r="B237" s="67" t="s">
        <v>356</v>
      </c>
      <c r="C237" s="91" t="s">
        <v>138</v>
      </c>
      <c r="D237" s="91" t="s">
        <v>126</v>
      </c>
      <c r="E237" s="91" t="s">
        <v>127</v>
      </c>
      <c r="F237" s="91" t="s">
        <v>128</v>
      </c>
      <c r="G237" s="107" t="s">
        <v>129</v>
      </c>
      <c r="H237" s="128" t="s">
        <v>300</v>
      </c>
    </row>
    <row r="238" spans="1:8" customHeight="1" ht="15">
      <c r="A238" s="105" t="s">
        <v>433</v>
      </c>
      <c r="B238" s="105" t="s">
        <v>384</v>
      </c>
      <c r="C238" s="93" t="s">
        <v>125</v>
      </c>
      <c r="D238" s="93" t="s">
        <v>139</v>
      </c>
      <c r="E238" s="93" t="s">
        <v>217</v>
      </c>
      <c r="F238" s="94" t="s">
        <v>128</v>
      </c>
      <c r="G238" s="107" t="s">
        <v>142</v>
      </c>
      <c r="H238" s="128" t="s">
        <v>280</v>
      </c>
    </row>
    <row r="239" spans="1:8" customHeight="1" ht="15">
      <c r="A239" s="67" t="s">
        <v>434</v>
      </c>
      <c r="B239" s="67" t="s">
        <v>342</v>
      </c>
      <c r="C239" s="91" t="s">
        <v>154</v>
      </c>
      <c r="D239" s="91" t="s">
        <v>139</v>
      </c>
      <c r="E239" s="91" t="s">
        <v>217</v>
      </c>
      <c r="F239" s="91" t="s">
        <v>128</v>
      </c>
      <c r="G239" s="107" t="s">
        <v>218</v>
      </c>
      <c r="H239" s="128" t="s">
        <v>280</v>
      </c>
    </row>
    <row r="240" spans="1:8" customHeight="1" ht="15">
      <c r="A240" s="67" t="s">
        <v>435</v>
      </c>
      <c r="B240" s="67" t="s">
        <v>369</v>
      </c>
      <c r="C240" s="91" t="s">
        <v>154</v>
      </c>
      <c r="D240" s="91" t="s">
        <v>126</v>
      </c>
      <c r="E240" s="91" t="s">
        <v>217</v>
      </c>
      <c r="F240" s="91" t="s">
        <v>128</v>
      </c>
      <c r="G240" s="107" t="s">
        <v>155</v>
      </c>
      <c r="H240" s="128" t="s">
        <v>280</v>
      </c>
    </row>
    <row r="241" spans="1:8" customHeight="1" ht="15">
      <c r="A241" s="67" t="s">
        <v>436</v>
      </c>
      <c r="B241" s="67" t="s">
        <v>384</v>
      </c>
      <c r="C241" s="91" t="s">
        <v>125</v>
      </c>
      <c r="D241" s="91" t="s">
        <v>126</v>
      </c>
      <c r="E241" s="91" t="s">
        <v>217</v>
      </c>
      <c r="F241" s="91" t="s">
        <v>128</v>
      </c>
      <c r="G241" s="107" t="s">
        <v>142</v>
      </c>
      <c r="H241" s="128" t="s">
        <v>280</v>
      </c>
    </row>
    <row r="242" spans="1:8" customHeight="1" ht="15">
      <c r="A242" s="67" t="s">
        <v>436</v>
      </c>
      <c r="B242" s="67" t="s">
        <v>235</v>
      </c>
      <c r="C242" s="91" t="s">
        <v>125</v>
      </c>
      <c r="D242" s="91" t="s">
        <v>126</v>
      </c>
      <c r="E242" s="91" t="s">
        <v>217</v>
      </c>
      <c r="F242" s="91" t="s">
        <v>128</v>
      </c>
      <c r="G242" s="107" t="s">
        <v>142</v>
      </c>
      <c r="H242" s="60" t="s">
        <v>182</v>
      </c>
    </row>
    <row r="243" spans="1:8" customHeight="1" ht="15">
      <c r="A243" s="67" t="s">
        <v>436</v>
      </c>
      <c r="B243" s="67" t="s">
        <v>273</v>
      </c>
      <c r="C243" s="91" t="s">
        <v>138</v>
      </c>
      <c r="D243" s="91" t="s">
        <v>126</v>
      </c>
      <c r="E243" s="91" t="s">
        <v>217</v>
      </c>
      <c r="F243" s="91" t="s">
        <v>128</v>
      </c>
      <c r="G243" s="107" t="s">
        <v>129</v>
      </c>
      <c r="H243" s="128" t="s">
        <v>280</v>
      </c>
    </row>
    <row r="244" spans="1:8" customHeight="1" ht="15">
      <c r="A244" s="67" t="s">
        <v>436</v>
      </c>
      <c r="B244" s="67" t="s">
        <v>359</v>
      </c>
      <c r="C244" s="91" t="s">
        <v>125</v>
      </c>
      <c r="D244" s="91" t="s">
        <v>126</v>
      </c>
      <c r="E244" s="91" t="s">
        <v>217</v>
      </c>
      <c r="F244" s="91" t="s">
        <v>128</v>
      </c>
      <c r="G244" s="107" t="s">
        <v>142</v>
      </c>
      <c r="H244" s="128" t="s">
        <v>280</v>
      </c>
    </row>
    <row r="245" spans="1:8" customHeight="1" ht="15">
      <c r="A245" s="105" t="s">
        <v>437</v>
      </c>
      <c r="B245" s="105" t="s">
        <v>384</v>
      </c>
      <c r="C245" s="93" t="s">
        <v>125</v>
      </c>
      <c r="D245" s="93" t="s">
        <v>139</v>
      </c>
      <c r="E245" s="93" t="s">
        <v>217</v>
      </c>
      <c r="F245" s="94" t="s">
        <v>128</v>
      </c>
      <c r="G245" s="107" t="s">
        <v>142</v>
      </c>
      <c r="H245" s="60" t="s">
        <v>219</v>
      </c>
    </row>
    <row r="246" spans="1:8" customHeight="1" ht="15">
      <c r="A246" s="105" t="s">
        <v>437</v>
      </c>
      <c r="B246" s="105" t="s">
        <v>438</v>
      </c>
      <c r="C246" s="93" t="s">
        <v>138</v>
      </c>
      <c r="D246" s="93" t="s">
        <v>126</v>
      </c>
      <c r="E246" s="93" t="s">
        <v>127</v>
      </c>
      <c r="F246" s="94" t="s">
        <v>128</v>
      </c>
      <c r="G246" s="107" t="s">
        <v>129</v>
      </c>
      <c r="H246" s="60" t="s">
        <v>219</v>
      </c>
    </row>
    <row r="247" spans="1:8" customHeight="1" ht="15">
      <c r="A247" s="105" t="s">
        <v>437</v>
      </c>
      <c r="B247" s="105" t="s">
        <v>439</v>
      </c>
      <c r="C247" s="93" t="s">
        <v>154</v>
      </c>
      <c r="D247" s="93" t="s">
        <v>139</v>
      </c>
      <c r="E247" s="93" t="s">
        <v>217</v>
      </c>
      <c r="F247" s="94" t="s">
        <v>128</v>
      </c>
      <c r="G247" s="107" t="s">
        <v>218</v>
      </c>
      <c r="H247" s="60" t="s">
        <v>219</v>
      </c>
    </row>
    <row r="248" spans="1:8" customHeight="1" ht="15">
      <c r="A248" s="67" t="s">
        <v>440</v>
      </c>
      <c r="B248" s="67" t="s">
        <v>441</v>
      </c>
      <c r="C248" s="91" t="s">
        <v>125</v>
      </c>
      <c r="D248" s="91" t="s">
        <v>139</v>
      </c>
      <c r="E248" s="91" t="s">
        <v>217</v>
      </c>
      <c r="F248" s="91" t="s">
        <v>128</v>
      </c>
      <c r="G248" s="107" t="s">
        <v>142</v>
      </c>
      <c r="H248" s="128" t="s">
        <v>280</v>
      </c>
    </row>
    <row r="249" spans="1:8" customHeight="1" ht="15">
      <c r="A249" s="194" t="s">
        <v>440</v>
      </c>
      <c r="B249" s="194" t="s">
        <v>442</v>
      </c>
      <c r="C249" s="91" t="s">
        <v>125</v>
      </c>
      <c r="D249" s="91" t="s">
        <v>139</v>
      </c>
      <c r="E249" s="91" t="s">
        <v>217</v>
      </c>
      <c r="F249" s="91" t="s">
        <v>128</v>
      </c>
      <c r="G249" s="107" t="s">
        <v>142</v>
      </c>
      <c r="H249" s="128" t="s">
        <v>280</v>
      </c>
    </row>
    <row r="250" spans="1:8" customHeight="1" ht="15">
      <c r="A250" s="67" t="s">
        <v>440</v>
      </c>
      <c r="B250" s="67" t="s">
        <v>359</v>
      </c>
      <c r="C250" s="91" t="s">
        <v>125</v>
      </c>
      <c r="D250" s="91" t="s">
        <v>139</v>
      </c>
      <c r="E250" s="91" t="s">
        <v>217</v>
      </c>
      <c r="F250" s="91" t="s">
        <v>128</v>
      </c>
      <c r="G250" s="107" t="s">
        <v>142</v>
      </c>
      <c r="H250" s="128" t="s">
        <v>280</v>
      </c>
    </row>
    <row r="251" spans="1:8" customHeight="1" ht="15">
      <c r="A251" s="67" t="s">
        <v>443</v>
      </c>
      <c r="B251" s="67" t="s">
        <v>384</v>
      </c>
      <c r="C251" s="91" t="s">
        <v>125</v>
      </c>
      <c r="D251" s="91" t="s">
        <v>139</v>
      </c>
      <c r="E251" s="91" t="s">
        <v>217</v>
      </c>
      <c r="F251" s="91" t="s">
        <v>128</v>
      </c>
      <c r="G251" s="107" t="s">
        <v>142</v>
      </c>
      <c r="H251" s="128" t="s">
        <v>280</v>
      </c>
    </row>
    <row r="252" spans="1:8" customHeight="1" ht="15">
      <c r="A252" s="67" t="s">
        <v>443</v>
      </c>
      <c r="B252" s="67" t="s">
        <v>444</v>
      </c>
      <c r="C252" s="91" t="s">
        <v>125</v>
      </c>
      <c r="D252" s="91" t="s">
        <v>139</v>
      </c>
      <c r="E252" s="91" t="s">
        <v>217</v>
      </c>
      <c r="F252" s="91" t="s">
        <v>128</v>
      </c>
      <c r="G252" s="107" t="s">
        <v>142</v>
      </c>
      <c r="H252" s="128" t="s">
        <v>280</v>
      </c>
    </row>
    <row r="253" spans="1:8" customHeight="1" ht="15">
      <c r="A253" s="67" t="s">
        <v>445</v>
      </c>
      <c r="B253" s="67" t="s">
        <v>384</v>
      </c>
      <c r="C253" s="91" t="s">
        <v>125</v>
      </c>
      <c r="D253" s="91" t="s">
        <v>139</v>
      </c>
      <c r="E253" s="91" t="s">
        <v>217</v>
      </c>
      <c r="F253" s="91" t="s">
        <v>128</v>
      </c>
      <c r="G253" s="107" t="s">
        <v>142</v>
      </c>
      <c r="H253" s="60" t="s">
        <v>226</v>
      </c>
    </row>
    <row r="254" spans="1:8" customHeight="1" ht="15">
      <c r="A254" s="67" t="s">
        <v>446</v>
      </c>
      <c r="B254" s="67" t="s">
        <v>384</v>
      </c>
      <c r="C254" s="91" t="s">
        <v>125</v>
      </c>
      <c r="D254" s="91" t="s">
        <v>139</v>
      </c>
      <c r="E254" s="91" t="s">
        <v>217</v>
      </c>
      <c r="F254" s="91" t="s">
        <v>128</v>
      </c>
      <c r="G254" s="107" t="s">
        <v>142</v>
      </c>
      <c r="H254" s="128" t="s">
        <v>280</v>
      </c>
    </row>
    <row r="255" spans="1:8" customHeight="1" ht="15">
      <c r="A255" s="67" t="s">
        <v>446</v>
      </c>
      <c r="B255" s="67" t="s">
        <v>447</v>
      </c>
      <c r="C255" s="91" t="s">
        <v>125</v>
      </c>
      <c r="D255" s="91" t="s">
        <v>139</v>
      </c>
      <c r="E255" s="91" t="s">
        <v>217</v>
      </c>
      <c r="F255" s="91" t="s">
        <v>128</v>
      </c>
      <c r="G255" s="107" t="s">
        <v>142</v>
      </c>
      <c r="H255" s="128" t="s">
        <v>280</v>
      </c>
    </row>
    <row r="256" spans="1:8" customHeight="1" ht="15">
      <c r="A256" s="67" t="s">
        <v>448</v>
      </c>
      <c r="B256" s="67" t="s">
        <v>384</v>
      </c>
      <c r="C256" s="91" t="s">
        <v>125</v>
      </c>
      <c r="D256" s="91" t="s">
        <v>139</v>
      </c>
      <c r="E256" s="91" t="s">
        <v>217</v>
      </c>
      <c r="F256" s="91" t="s">
        <v>128</v>
      </c>
      <c r="G256" s="107" t="s">
        <v>142</v>
      </c>
      <c r="H256" s="60" t="s">
        <v>226</v>
      </c>
    </row>
    <row r="257" spans="1:8" customHeight="1" ht="15">
      <c r="A257" s="67" t="s">
        <v>449</v>
      </c>
      <c r="B257" s="67" t="s">
        <v>384</v>
      </c>
      <c r="C257" s="91" t="s">
        <v>125</v>
      </c>
      <c r="D257" s="91" t="s">
        <v>139</v>
      </c>
      <c r="E257" s="91" t="s">
        <v>217</v>
      </c>
      <c r="F257" s="91" t="s">
        <v>128</v>
      </c>
      <c r="G257" s="107" t="s">
        <v>142</v>
      </c>
      <c r="H257" s="60" t="s">
        <v>226</v>
      </c>
    </row>
    <row r="258" spans="1:8" customHeight="1" ht="15">
      <c r="A258" s="67" t="s">
        <v>449</v>
      </c>
      <c r="B258" s="67" t="s">
        <v>387</v>
      </c>
      <c r="C258" s="91" t="s">
        <v>125</v>
      </c>
      <c r="D258" s="91" t="s">
        <v>139</v>
      </c>
      <c r="E258" s="91" t="s">
        <v>217</v>
      </c>
      <c r="F258" s="91" t="s">
        <v>128</v>
      </c>
      <c r="G258" s="107" t="s">
        <v>142</v>
      </c>
      <c r="H258" s="60" t="s">
        <v>226</v>
      </c>
    </row>
    <row r="259" spans="1:8" customHeight="1" ht="15">
      <c r="A259" s="67" t="s">
        <v>450</v>
      </c>
      <c r="B259" s="67" t="s">
        <v>137</v>
      </c>
      <c r="C259" s="91" t="s">
        <v>138</v>
      </c>
      <c r="D259" s="91" t="s">
        <v>139</v>
      </c>
      <c r="E259" s="91" t="s">
        <v>140</v>
      </c>
      <c r="F259" s="91" t="s">
        <v>451</v>
      </c>
      <c r="G259" s="107" t="s">
        <v>142</v>
      </c>
      <c r="H259" s="60" t="s">
        <v>143</v>
      </c>
    </row>
    <row r="260" spans="1:8" customHeight="1" ht="15">
      <c r="A260" s="67" t="s">
        <v>450</v>
      </c>
      <c r="B260" s="67" t="s">
        <v>149</v>
      </c>
      <c r="C260" s="91" t="s">
        <v>125</v>
      </c>
      <c r="D260" s="91" t="s">
        <v>139</v>
      </c>
      <c r="E260" s="91" t="s">
        <v>140</v>
      </c>
      <c r="F260" s="91" t="s">
        <v>451</v>
      </c>
      <c r="G260" s="107" t="s">
        <v>142</v>
      </c>
      <c r="H260" s="60" t="s">
        <v>143</v>
      </c>
    </row>
    <row r="261" spans="1:8" customHeight="1" ht="15">
      <c r="A261" s="106" t="s">
        <v>452</v>
      </c>
      <c r="B261" s="106" t="s">
        <v>137</v>
      </c>
      <c r="C261" s="91" t="s">
        <v>138</v>
      </c>
      <c r="D261" s="91" t="s">
        <v>139</v>
      </c>
      <c r="E261" s="91" t="s">
        <v>140</v>
      </c>
      <c r="F261" s="94" t="s">
        <v>451</v>
      </c>
      <c r="G261" s="107" t="s">
        <v>142</v>
      </c>
      <c r="H261" s="60" t="s">
        <v>143</v>
      </c>
    </row>
    <row r="262" spans="1:8" customHeight="1" ht="15">
      <c r="A262" s="67" t="s">
        <v>453</v>
      </c>
      <c r="B262" s="67" t="s">
        <v>454</v>
      </c>
      <c r="C262" s="91" t="s">
        <v>145</v>
      </c>
      <c r="D262" s="91" t="s">
        <v>126</v>
      </c>
      <c r="E262" s="91" t="s">
        <v>127</v>
      </c>
      <c r="F262" s="91" t="s">
        <v>128</v>
      </c>
      <c r="G262" s="107" t="s">
        <v>158</v>
      </c>
      <c r="H262" s="60" t="s">
        <v>156</v>
      </c>
    </row>
    <row r="263" spans="1:8" customHeight="1" ht="15">
      <c r="A263" s="67" t="s">
        <v>453</v>
      </c>
      <c r="B263" s="67" t="s">
        <v>455</v>
      </c>
      <c r="C263" s="91" t="s">
        <v>154</v>
      </c>
      <c r="D263" s="91" t="s">
        <v>126</v>
      </c>
      <c r="E263" s="91" t="s">
        <v>127</v>
      </c>
      <c r="F263" s="91" t="s">
        <v>128</v>
      </c>
      <c r="G263" s="107" t="s">
        <v>155</v>
      </c>
      <c r="H263" s="60" t="s">
        <v>156</v>
      </c>
    </row>
    <row r="264" spans="1:8" customHeight="1" ht="15">
      <c r="A264" s="67" t="s">
        <v>456</v>
      </c>
      <c r="B264" s="67" t="s">
        <v>457</v>
      </c>
      <c r="C264" s="91" t="s">
        <v>145</v>
      </c>
      <c r="D264" s="91" t="s">
        <v>126</v>
      </c>
      <c r="E264" s="91" t="s">
        <v>127</v>
      </c>
      <c r="F264" s="91" t="s">
        <v>128</v>
      </c>
      <c r="G264" s="107" t="s">
        <v>158</v>
      </c>
      <c r="H264" s="60" t="s">
        <v>250</v>
      </c>
    </row>
    <row r="265" spans="1:8" customHeight="1" ht="15">
      <c r="A265" s="67" t="s">
        <v>212</v>
      </c>
      <c r="B265" s="111" t="s">
        <v>458</v>
      </c>
      <c r="C265" s="91" t="s">
        <v>154</v>
      </c>
      <c r="D265" s="91" t="s">
        <v>126</v>
      </c>
      <c r="E265" s="91" t="s">
        <v>127</v>
      </c>
      <c r="F265" s="91" t="s">
        <v>128</v>
      </c>
      <c r="G265" s="107" t="s">
        <v>218</v>
      </c>
      <c r="H265" s="60" t="s">
        <v>182</v>
      </c>
    </row>
    <row r="266" spans="1:8" customHeight="1" ht="15">
      <c r="A266" s="67" t="s">
        <v>228</v>
      </c>
      <c r="B266" s="67" t="s">
        <v>459</v>
      </c>
      <c r="C266" s="91" t="s">
        <v>154</v>
      </c>
      <c r="D266" s="91" t="s">
        <v>126</v>
      </c>
      <c r="E266" s="91" t="s">
        <v>127</v>
      </c>
      <c r="F266" s="91" t="s">
        <v>128</v>
      </c>
      <c r="G266" s="107" t="s">
        <v>218</v>
      </c>
      <c r="H266" s="60" t="s">
        <v>226</v>
      </c>
    </row>
    <row r="267" spans="1:8" customHeight="1" ht="15">
      <c r="A267" s="110" t="s">
        <v>277</v>
      </c>
      <c r="B267" s="110" t="s">
        <v>460</v>
      </c>
      <c r="C267" s="91" t="s">
        <v>154</v>
      </c>
      <c r="D267" s="91" t="s">
        <v>126</v>
      </c>
      <c r="E267" s="91" t="s">
        <v>127</v>
      </c>
      <c r="F267" s="91" t="s">
        <v>128</v>
      </c>
      <c r="G267" s="107" t="s">
        <v>155</v>
      </c>
      <c r="H267" s="60" t="s">
        <v>176</v>
      </c>
    </row>
    <row r="268" spans="1:8" customHeight="1" ht="15">
      <c r="A268" s="110" t="s">
        <v>288</v>
      </c>
      <c r="B268" s="110" t="s">
        <v>461</v>
      </c>
      <c r="C268" s="93" t="s">
        <v>145</v>
      </c>
      <c r="D268" s="93" t="s">
        <v>126</v>
      </c>
      <c r="E268" s="93" t="s">
        <v>127</v>
      </c>
      <c r="F268" s="94" t="s">
        <v>128</v>
      </c>
      <c r="G268" s="107" t="s">
        <v>158</v>
      </c>
      <c r="H268" s="60" t="s">
        <v>176</v>
      </c>
    </row>
    <row r="269" spans="1:8" customHeight="1" ht="15">
      <c r="A269" s="110" t="s">
        <v>456</v>
      </c>
      <c r="B269" s="110" t="s">
        <v>462</v>
      </c>
      <c r="C269" s="91" t="s">
        <v>145</v>
      </c>
      <c r="D269" s="91" t="s">
        <v>126</v>
      </c>
      <c r="E269" s="91" t="s">
        <v>127</v>
      </c>
      <c r="F269" s="91" t="s">
        <v>128</v>
      </c>
      <c r="G269" s="107" t="s">
        <v>158</v>
      </c>
      <c r="H269" s="60" t="s">
        <v>250</v>
      </c>
    </row>
    <row r="270" spans="1:8" customHeight="1" ht="15">
      <c r="A270" s="112" t="s">
        <v>123</v>
      </c>
      <c r="B270" s="89" t="s">
        <v>463</v>
      </c>
      <c r="C270" s="91" t="s">
        <v>125</v>
      </c>
      <c r="D270" s="91" t="s">
        <v>126</v>
      </c>
      <c r="E270" s="91" t="s">
        <v>127</v>
      </c>
      <c r="F270" s="91" t="s">
        <v>128</v>
      </c>
      <c r="G270" s="107" t="s">
        <v>129</v>
      </c>
      <c r="H270" s="60" t="s">
        <v>156</v>
      </c>
    </row>
    <row r="271" spans="1:8" customHeight="1" ht="15">
      <c r="A271" s="70" t="s">
        <v>464</v>
      </c>
      <c r="B271" s="70" t="s">
        <v>465</v>
      </c>
      <c r="C271" s="91" t="s">
        <v>154</v>
      </c>
      <c r="D271" s="94" t="s">
        <v>139</v>
      </c>
      <c r="E271" s="93" t="s">
        <v>174</v>
      </c>
      <c r="F271" s="91" t="s">
        <v>128</v>
      </c>
      <c r="G271" s="107" t="s">
        <v>218</v>
      </c>
      <c r="H271" s="60" t="s">
        <v>135</v>
      </c>
    </row>
    <row r="272" spans="1:8" customHeight="1" ht="15">
      <c r="A272" s="70" t="s">
        <v>282</v>
      </c>
      <c r="B272" s="70" t="s">
        <v>466</v>
      </c>
      <c r="C272" s="91" t="s">
        <v>154</v>
      </c>
      <c r="D272" s="130" t="s">
        <v>126</v>
      </c>
      <c r="E272" s="93" t="s">
        <v>174</v>
      </c>
      <c r="F272" s="91" t="s">
        <v>128</v>
      </c>
      <c r="G272" s="107" t="s">
        <v>218</v>
      </c>
      <c r="H272" s="60" t="s">
        <v>135</v>
      </c>
    </row>
    <row r="273" spans="1:8" customHeight="1" ht="15">
      <c r="A273" s="70" t="s">
        <v>282</v>
      </c>
      <c r="B273" s="70" t="s">
        <v>466</v>
      </c>
      <c r="C273" s="91" t="s">
        <v>154</v>
      </c>
      <c r="D273" s="130" t="s">
        <v>126</v>
      </c>
      <c r="E273" s="93" t="s">
        <v>174</v>
      </c>
      <c r="F273" s="91" t="s">
        <v>128</v>
      </c>
      <c r="G273" s="107" t="s">
        <v>218</v>
      </c>
      <c r="H273" s="60" t="s">
        <v>135</v>
      </c>
    </row>
    <row r="274" spans="1:8" customHeight="1" ht="15">
      <c r="A274" s="70" t="s">
        <v>282</v>
      </c>
      <c r="B274" s="70" t="s">
        <v>466</v>
      </c>
      <c r="C274" s="91" t="s">
        <v>154</v>
      </c>
      <c r="D274" s="130" t="s">
        <v>126</v>
      </c>
      <c r="E274" s="93" t="s">
        <v>174</v>
      </c>
      <c r="F274" s="91" t="s">
        <v>128</v>
      </c>
      <c r="G274" s="107" t="s">
        <v>218</v>
      </c>
      <c r="H274" s="60" t="s">
        <v>135</v>
      </c>
    </row>
    <row r="275" spans="1:8" customHeight="1" ht="15">
      <c r="A275" s="106" t="s">
        <v>312</v>
      </c>
      <c r="B275" s="106" t="s">
        <v>467</v>
      </c>
      <c r="C275" s="91" t="s">
        <v>154</v>
      </c>
      <c r="D275" s="130" t="s">
        <v>139</v>
      </c>
      <c r="E275" s="130" t="s">
        <v>217</v>
      </c>
      <c r="F275" s="91" t="s">
        <v>128</v>
      </c>
      <c r="G275" s="55" t="s">
        <v>155</v>
      </c>
      <c r="H275" s="60" t="s">
        <v>169</v>
      </c>
    </row>
    <row r="276" spans="1:8" customHeight="1" ht="15">
      <c r="A276" s="106" t="s">
        <v>242</v>
      </c>
      <c r="B276" s="106" t="s">
        <v>468</v>
      </c>
      <c r="C276" s="123" t="s">
        <v>145</v>
      </c>
      <c r="D276" s="130" t="s">
        <v>126</v>
      </c>
      <c r="E276" s="130" t="s">
        <v>127</v>
      </c>
      <c r="F276" s="91" t="s">
        <v>128</v>
      </c>
      <c r="G276" s="55" t="s">
        <v>158</v>
      </c>
      <c r="H276" s="60" t="s">
        <v>143</v>
      </c>
    </row>
    <row r="277" spans="1:8" customHeight="1" ht="15">
      <c r="A277" s="106" t="s">
        <v>242</v>
      </c>
      <c r="B277" s="106" t="s">
        <v>469</v>
      </c>
      <c r="C277" s="123" t="s">
        <v>154</v>
      </c>
      <c r="D277" s="130" t="s">
        <v>139</v>
      </c>
      <c r="E277" s="130" t="s">
        <v>174</v>
      </c>
      <c r="F277" s="91" t="s">
        <v>128</v>
      </c>
      <c r="G277" s="107" t="s">
        <v>218</v>
      </c>
      <c r="H277" s="60" t="s">
        <v>143</v>
      </c>
    </row>
    <row r="278" spans="1:8" customHeight="1" ht="15">
      <c r="A278" s="106" t="s">
        <v>216</v>
      </c>
      <c r="B278" s="106" t="s">
        <v>470</v>
      </c>
      <c r="C278" s="123" t="s">
        <v>154</v>
      </c>
      <c r="D278" s="130" t="s">
        <v>126</v>
      </c>
      <c r="E278" s="130" t="s">
        <v>127</v>
      </c>
      <c r="F278" s="91" t="s">
        <v>128</v>
      </c>
      <c r="G278" s="55" t="s">
        <v>155</v>
      </c>
      <c r="H278" s="60" t="s">
        <v>219</v>
      </c>
    </row>
    <row r="279" spans="1:8" customHeight="1" ht="15">
      <c r="A279" s="106" t="s">
        <v>180</v>
      </c>
      <c r="B279" s="106" t="s">
        <v>471</v>
      </c>
      <c r="C279" s="123" t="s">
        <v>145</v>
      </c>
      <c r="D279" s="130" t="s">
        <v>126</v>
      </c>
      <c r="E279" s="130" t="s">
        <v>127</v>
      </c>
      <c r="F279" s="91" t="s">
        <v>128</v>
      </c>
      <c r="G279" s="55" t="s">
        <v>164</v>
      </c>
      <c r="H279" s="60" t="s">
        <v>182</v>
      </c>
    </row>
    <row r="280" spans="1:8" customHeight="1" ht="15">
      <c r="A280" s="106" t="s">
        <v>472</v>
      </c>
      <c r="B280" s="106" t="s">
        <v>473</v>
      </c>
      <c r="C280" s="123" t="s">
        <v>154</v>
      </c>
      <c r="D280" s="130" t="s">
        <v>126</v>
      </c>
      <c r="E280" s="130" t="s">
        <v>127</v>
      </c>
      <c r="F280" s="91" t="s">
        <v>128</v>
      </c>
      <c r="G280" s="55" t="s">
        <v>155</v>
      </c>
      <c r="H280" s="60" t="s">
        <v>182</v>
      </c>
    </row>
    <row r="281" spans="1:8" customHeight="1" ht="15">
      <c r="A281" s="106" t="s">
        <v>400</v>
      </c>
      <c r="B281" s="106" t="s">
        <v>474</v>
      </c>
      <c r="C281" s="123" t="s">
        <v>154</v>
      </c>
      <c r="D281" s="130" t="s">
        <v>126</v>
      </c>
      <c r="E281" s="130" t="s">
        <v>127</v>
      </c>
      <c r="F281" s="91" t="s">
        <v>128</v>
      </c>
      <c r="G281" s="55" t="s">
        <v>155</v>
      </c>
      <c r="H281" s="60" t="s">
        <v>182</v>
      </c>
    </row>
    <row r="282" spans="1:8" customHeight="1" ht="15">
      <c r="A282" s="106" t="s">
        <v>172</v>
      </c>
      <c r="B282" s="106" t="s">
        <v>475</v>
      </c>
      <c r="C282" s="123" t="s">
        <v>154</v>
      </c>
      <c r="D282" s="130" t="s">
        <v>139</v>
      </c>
      <c r="E282" s="130" t="s">
        <v>174</v>
      </c>
      <c r="F282" s="91" t="s">
        <v>128</v>
      </c>
      <c r="G282" s="107" t="s">
        <v>218</v>
      </c>
      <c r="H282" s="60" t="s">
        <v>300</v>
      </c>
    </row>
    <row r="283" spans="1:8" customHeight="1" ht="15">
      <c r="A283" s="106" t="s">
        <v>299</v>
      </c>
      <c r="B283" s="106" t="s">
        <v>476</v>
      </c>
      <c r="C283" s="123" t="s">
        <v>154</v>
      </c>
      <c r="D283" s="130" t="s">
        <v>126</v>
      </c>
      <c r="E283" s="130" t="s">
        <v>127</v>
      </c>
      <c r="F283" s="91" t="s">
        <v>128</v>
      </c>
      <c r="G283" s="55" t="s">
        <v>155</v>
      </c>
      <c r="H283" s="128" t="s">
        <v>300</v>
      </c>
    </row>
    <row r="284" spans="1:8" customHeight="1" ht="15">
      <c r="A284" s="106" t="s">
        <v>374</v>
      </c>
      <c r="B284" s="106" t="s">
        <v>477</v>
      </c>
      <c r="C284" s="123" t="s">
        <v>125</v>
      </c>
      <c r="D284" s="130" t="s">
        <v>139</v>
      </c>
      <c r="E284" s="134" t="s">
        <v>140</v>
      </c>
      <c r="F284" s="91" t="s">
        <v>128</v>
      </c>
      <c r="G284" s="107" t="s">
        <v>142</v>
      </c>
      <c r="H284" s="60" t="s">
        <v>319</v>
      </c>
    </row>
    <row r="285" spans="1:8" customHeight="1" ht="15">
      <c r="A285" s="106" t="s">
        <v>472</v>
      </c>
      <c r="B285" s="106" t="s">
        <v>478</v>
      </c>
      <c r="C285" s="123" t="s">
        <v>154</v>
      </c>
      <c r="D285" s="130" t="s">
        <v>126</v>
      </c>
      <c r="E285" s="134" t="s">
        <v>127</v>
      </c>
      <c r="F285" s="91" t="s">
        <v>128</v>
      </c>
      <c r="G285" s="55" t="s">
        <v>155</v>
      </c>
      <c r="H285" s="60" t="s">
        <v>182</v>
      </c>
    </row>
    <row r="286" spans="1:8" customHeight="1" ht="15">
      <c r="A286" s="106" t="s">
        <v>479</v>
      </c>
      <c r="B286" s="106" t="s">
        <v>132</v>
      </c>
      <c r="C286" s="123" t="s">
        <v>178</v>
      </c>
      <c r="D286" s="130" t="s">
        <v>139</v>
      </c>
      <c r="E286" s="134" t="s">
        <v>127</v>
      </c>
      <c r="F286" s="91" t="s">
        <v>128</v>
      </c>
      <c r="G286" s="55" t="s">
        <v>134</v>
      </c>
      <c r="H286" s="60" t="s">
        <v>349</v>
      </c>
    </row>
    <row r="287" spans="1:8" customHeight="1" ht="15">
      <c r="A287" s="169" t="s">
        <v>152</v>
      </c>
      <c r="B287" s="169" t="s">
        <v>480</v>
      </c>
      <c r="C287" s="123" t="s">
        <v>154</v>
      </c>
      <c r="D287" s="130" t="s">
        <v>126</v>
      </c>
      <c r="E287" s="134" t="s">
        <v>127</v>
      </c>
      <c r="F287" s="123" t="s">
        <v>128</v>
      </c>
      <c r="G287" s="55" t="s">
        <v>155</v>
      </c>
      <c r="H287" s="60" t="s">
        <v>156</v>
      </c>
    </row>
    <row r="288" spans="1:8" customHeight="1" ht="15">
      <c r="A288" s="194" t="s">
        <v>412</v>
      </c>
      <c r="B288" s="194" t="s">
        <v>481</v>
      </c>
      <c r="C288" s="123" t="s">
        <v>154</v>
      </c>
      <c r="D288" s="130" t="s">
        <v>126</v>
      </c>
      <c r="E288" s="134" t="s">
        <v>127</v>
      </c>
      <c r="F288" s="123" t="s">
        <v>128</v>
      </c>
      <c r="G288" s="55" t="s">
        <v>155</v>
      </c>
      <c r="H288" s="60" t="s">
        <v>414</v>
      </c>
    </row>
    <row r="289" spans="1:8" customHeight="1" ht="15">
      <c r="A289" s="194" t="s">
        <v>479</v>
      </c>
      <c r="B289" s="194" t="s">
        <v>482</v>
      </c>
      <c r="C289" s="123" t="s">
        <v>154</v>
      </c>
      <c r="D289" s="130" t="s">
        <v>126</v>
      </c>
      <c r="E289" s="134" t="s">
        <v>127</v>
      </c>
      <c r="F289" s="123" t="s">
        <v>483</v>
      </c>
      <c r="G289" s="55" t="s">
        <v>155</v>
      </c>
      <c r="H289" s="60" t="s">
        <v>349</v>
      </c>
    </row>
    <row r="290" spans="1:8" customHeight="1" ht="15">
      <c r="A290" s="194" t="s">
        <v>180</v>
      </c>
      <c r="B290" s="194" t="s">
        <v>484</v>
      </c>
      <c r="C290" s="123" t="s">
        <v>154</v>
      </c>
      <c r="D290" s="130" t="s">
        <v>126</v>
      </c>
      <c r="E290" s="134" t="s">
        <v>127</v>
      </c>
      <c r="F290" s="123" t="s">
        <v>128</v>
      </c>
      <c r="G290" s="55" t="s">
        <v>155</v>
      </c>
      <c r="H290" s="60" t="s">
        <v>182</v>
      </c>
    </row>
    <row r="291" spans="1:8" customHeight="1" ht="15">
      <c r="A291" s="194" t="s">
        <v>212</v>
      </c>
      <c r="B291" s="194" t="s">
        <v>485</v>
      </c>
      <c r="C291" s="123" t="s">
        <v>154</v>
      </c>
      <c r="D291" s="130" t="s">
        <v>126</v>
      </c>
      <c r="E291" s="134" t="s">
        <v>127</v>
      </c>
      <c r="F291" s="123" t="s">
        <v>128</v>
      </c>
      <c r="G291" s="55" t="s">
        <v>155</v>
      </c>
      <c r="H291" s="60" t="s">
        <v>182</v>
      </c>
    </row>
    <row r="292" spans="1:8" customHeight="1" ht="15">
      <c r="A292" s="194" t="s">
        <v>180</v>
      </c>
      <c r="B292" s="194" t="s">
        <v>486</v>
      </c>
      <c r="C292" s="123" t="s">
        <v>145</v>
      </c>
      <c r="D292" s="130" t="s">
        <v>126</v>
      </c>
      <c r="E292" s="134" t="s">
        <v>127</v>
      </c>
      <c r="F292" s="123" t="s">
        <v>128</v>
      </c>
      <c r="G292" s="55" t="s">
        <v>351</v>
      </c>
      <c r="H292" s="60" t="s">
        <v>182</v>
      </c>
    </row>
    <row r="293" spans="1:8" customHeight="1" ht="15">
      <c r="A293" s="194" t="s">
        <v>378</v>
      </c>
      <c r="B293" s="194" t="s">
        <v>487</v>
      </c>
      <c r="C293" s="123" t="s">
        <v>145</v>
      </c>
      <c r="D293" s="130" t="s">
        <v>126</v>
      </c>
      <c r="E293" s="134" t="s">
        <v>263</v>
      </c>
      <c r="F293" s="123" t="s">
        <v>128</v>
      </c>
      <c r="G293" s="55" t="s">
        <v>155</v>
      </c>
      <c r="H293" s="60" t="s">
        <v>130</v>
      </c>
    </row>
    <row r="294" spans="1:8" customHeight="1" ht="15">
      <c r="A294" s="194" t="s">
        <v>317</v>
      </c>
      <c r="B294" s="194" t="s">
        <v>488</v>
      </c>
      <c r="C294" s="123" t="s">
        <v>154</v>
      </c>
      <c r="D294" s="130" t="s">
        <v>126</v>
      </c>
      <c r="E294" s="134" t="s">
        <v>127</v>
      </c>
      <c r="F294" s="123" t="s">
        <v>128</v>
      </c>
      <c r="G294" s="55" t="s">
        <v>155</v>
      </c>
      <c r="H294" s="60" t="s">
        <v>319</v>
      </c>
    </row>
    <row r="295" spans="1:8" customHeight="1" ht="15">
      <c r="A295" s="194" t="s">
        <v>489</v>
      </c>
      <c r="B295" s="194" t="s">
        <v>230</v>
      </c>
      <c r="C295" s="123" t="s">
        <v>145</v>
      </c>
      <c r="D295" s="130" t="s">
        <v>126</v>
      </c>
      <c r="E295" s="134" t="s">
        <v>127</v>
      </c>
      <c r="F295" s="123" t="s">
        <v>128</v>
      </c>
      <c r="G295" s="55" t="s">
        <v>164</v>
      </c>
      <c r="H295" s="60" t="s">
        <v>226</v>
      </c>
    </row>
    <row r="296" spans="1:8" customHeight="1" ht="15">
      <c r="A296" s="194" t="s">
        <v>490</v>
      </c>
      <c r="B296" s="194" t="s">
        <v>491</v>
      </c>
      <c r="C296" s="123" t="s">
        <v>154</v>
      </c>
      <c r="D296" s="130" t="s">
        <v>126</v>
      </c>
      <c r="E296" s="134" t="s">
        <v>127</v>
      </c>
      <c r="F296" s="123" t="s">
        <v>128</v>
      </c>
      <c r="G296" s="55" t="s">
        <v>155</v>
      </c>
      <c r="H296" s="60" t="s">
        <v>319</v>
      </c>
    </row>
    <row r="297" spans="1:8" customHeight="1" ht="15">
      <c r="A297" s="194" t="s">
        <v>448</v>
      </c>
      <c r="B297" s="194" t="s">
        <v>492</v>
      </c>
      <c r="C297" s="134" t="s">
        <v>125</v>
      </c>
      <c r="D297" s="130" t="s">
        <v>139</v>
      </c>
      <c r="E297" s="134" t="s">
        <v>217</v>
      </c>
      <c r="F297" s="123" t="s">
        <v>128</v>
      </c>
      <c r="G297" s="55" t="s">
        <v>142</v>
      </c>
      <c r="H297" s="60" t="s">
        <v>226</v>
      </c>
    </row>
    <row r="298" spans="1:8" customHeight="1" ht="15">
      <c r="A298" s="194" t="s">
        <v>374</v>
      </c>
      <c r="B298" s="194" t="s">
        <v>493</v>
      </c>
      <c r="C298" s="134" t="s">
        <v>154</v>
      </c>
      <c r="D298" s="130" t="s">
        <v>139</v>
      </c>
      <c r="E298" s="134" t="s">
        <v>140</v>
      </c>
      <c r="F298" s="123" t="s">
        <v>128</v>
      </c>
      <c r="G298" s="55" t="s">
        <v>218</v>
      </c>
      <c r="H298" s="60" t="s">
        <v>319</v>
      </c>
    </row>
    <row r="299" spans="1:8" customHeight="1" ht="15">
      <c r="A299" s="195" t="s">
        <v>494</v>
      </c>
      <c r="B299" s="195" t="s">
        <v>495</v>
      </c>
      <c r="C299" s="134" t="s">
        <v>145</v>
      </c>
      <c r="D299" s="130" t="s">
        <v>126</v>
      </c>
      <c r="E299" s="134" t="s">
        <v>127</v>
      </c>
      <c r="F299" s="123" t="s">
        <v>128</v>
      </c>
      <c r="G299" s="55" t="s">
        <v>158</v>
      </c>
      <c r="H299" s="60" t="s">
        <v>169</v>
      </c>
    </row>
    <row r="300" spans="1:8" customHeight="1" ht="15">
      <c r="A300" s="194" t="s">
        <v>490</v>
      </c>
      <c r="B300" s="194" t="s">
        <v>496</v>
      </c>
      <c r="C300" s="134" t="s">
        <v>125</v>
      </c>
      <c r="D300" s="130" t="s">
        <v>126</v>
      </c>
      <c r="E300" s="134" t="s">
        <v>127</v>
      </c>
      <c r="F300" s="123" t="s">
        <v>128</v>
      </c>
      <c r="G300" s="55" t="s">
        <v>129</v>
      </c>
      <c r="H300" s="60" t="s">
        <v>319</v>
      </c>
    </row>
    <row r="301" spans="1:8" customHeight="1" ht="15">
      <c r="A301" s="194" t="s">
        <v>490</v>
      </c>
      <c r="B301" s="194" t="s">
        <v>497</v>
      </c>
      <c r="C301" s="134" t="s">
        <v>125</v>
      </c>
      <c r="D301" s="130" t="s">
        <v>126</v>
      </c>
      <c r="E301" s="134" t="s">
        <v>127</v>
      </c>
      <c r="F301" s="123" t="s">
        <v>128</v>
      </c>
      <c r="G301" s="55" t="s">
        <v>129</v>
      </c>
      <c r="H301" s="60" t="s">
        <v>319</v>
      </c>
    </row>
    <row r="302" spans="1:8" customHeight="1" ht="15">
      <c r="A302" s="194" t="s">
        <v>433</v>
      </c>
      <c r="B302" s="194" t="s">
        <v>442</v>
      </c>
      <c r="C302" s="134" t="s">
        <v>125</v>
      </c>
      <c r="D302" s="130" t="s">
        <v>139</v>
      </c>
      <c r="E302" s="134" t="s">
        <v>217</v>
      </c>
      <c r="F302" s="123" t="s">
        <v>128</v>
      </c>
      <c r="G302" s="55" t="s">
        <v>142</v>
      </c>
      <c r="H302" s="128" t="s">
        <v>280</v>
      </c>
    </row>
    <row r="303" spans="1:8" customHeight="1" ht="15">
      <c r="A303" s="465" t="s">
        <v>422</v>
      </c>
      <c r="B303" s="465" t="s">
        <v>498</v>
      </c>
      <c r="C303" s="134" t="s">
        <v>138</v>
      </c>
      <c r="D303" s="130" t="s">
        <v>126</v>
      </c>
      <c r="E303" s="134" t="s">
        <v>263</v>
      </c>
      <c r="F303" s="123" t="s">
        <v>128</v>
      </c>
      <c r="G303" s="55" t="s">
        <v>129</v>
      </c>
      <c r="H303" s="466" t="s">
        <v>130</v>
      </c>
    </row>
    <row r="304" spans="1:8" customHeight="1" ht="15">
      <c r="A304" s="467" t="s">
        <v>449</v>
      </c>
      <c r="B304" s="467" t="s">
        <v>499</v>
      </c>
      <c r="C304" s="94" t="s">
        <v>125</v>
      </c>
      <c r="D304" s="94" t="s">
        <v>139</v>
      </c>
      <c r="E304" s="94" t="s">
        <v>217</v>
      </c>
      <c r="F304" s="190" t="s">
        <v>128</v>
      </c>
      <c r="G304" s="468" t="s">
        <v>142</v>
      </c>
      <c r="H304" s="60" t="s">
        <v>280</v>
      </c>
    </row>
    <row r="305" spans="1:8" customHeight="1" ht="15">
      <c r="A305" s="467" t="s">
        <v>180</v>
      </c>
      <c r="B305" s="467" t="s">
        <v>500</v>
      </c>
      <c r="C305" s="94" t="s">
        <v>178</v>
      </c>
      <c r="D305" s="94" t="s">
        <v>126</v>
      </c>
      <c r="E305" s="94" t="s">
        <v>127</v>
      </c>
      <c r="F305" s="190" t="s">
        <v>128</v>
      </c>
      <c r="G305" s="468" t="s">
        <v>211</v>
      </c>
      <c r="H305" s="60" t="s">
        <v>182</v>
      </c>
    </row>
    <row r="306" spans="1:8" customHeight="1" ht="15">
      <c r="A306" s="467" t="s">
        <v>501</v>
      </c>
      <c r="B306" s="467" t="s">
        <v>502</v>
      </c>
      <c r="C306" s="94" t="s">
        <v>178</v>
      </c>
      <c r="D306" s="94" t="s">
        <v>126</v>
      </c>
      <c r="E306" s="94" t="s">
        <v>127</v>
      </c>
      <c r="F306" s="190" t="s">
        <v>128</v>
      </c>
      <c r="G306" s="468" t="s">
        <v>351</v>
      </c>
      <c r="H306" s="60" t="s">
        <v>314</v>
      </c>
    </row>
    <row r="307" spans="1:8" customHeight="1" ht="15">
      <c r="A307" s="467" t="s">
        <v>378</v>
      </c>
      <c r="B307" s="467" t="s">
        <v>487</v>
      </c>
      <c r="C307" s="94" t="s">
        <v>145</v>
      </c>
      <c r="D307" s="94" t="s">
        <v>126</v>
      </c>
      <c r="E307" s="94" t="s">
        <v>263</v>
      </c>
      <c r="F307" s="190" t="s">
        <v>128</v>
      </c>
      <c r="G307" s="468" t="s">
        <v>155</v>
      </c>
      <c r="H307" s="60" t="s">
        <v>130</v>
      </c>
    </row>
    <row r="308" spans="1:8" customHeight="1" ht="15">
      <c r="A308" s="70" t="s">
        <v>464</v>
      </c>
      <c r="B308" s="70" t="s">
        <v>503</v>
      </c>
      <c r="C308" s="93" t="s">
        <v>154</v>
      </c>
      <c r="D308" s="94" t="s">
        <v>139</v>
      </c>
      <c r="E308" s="94" t="s">
        <v>174</v>
      </c>
      <c r="F308" s="190" t="s">
        <v>128</v>
      </c>
      <c r="G308" s="468" t="s">
        <v>218</v>
      </c>
      <c r="H308" s="60" t="s">
        <v>135</v>
      </c>
    </row>
    <row r="309" spans="1:8" customHeight="1" ht="15">
      <c r="A309" s="70" t="s">
        <v>504</v>
      </c>
      <c r="B309" s="70" t="s">
        <v>505</v>
      </c>
      <c r="C309" s="93" t="s">
        <v>125</v>
      </c>
      <c r="D309" s="94" t="s">
        <v>139</v>
      </c>
      <c r="E309" s="94" t="s">
        <v>263</v>
      </c>
      <c r="F309" s="190" t="s">
        <v>128</v>
      </c>
      <c r="G309" s="468" t="s">
        <v>142</v>
      </c>
      <c r="H309" s="60" t="s">
        <v>135</v>
      </c>
    </row>
    <row r="310" spans="1:8" customHeight="1" ht="15">
      <c r="A310" s="70" t="s">
        <v>506</v>
      </c>
      <c r="B310" s="70" t="s">
        <v>507</v>
      </c>
      <c r="C310" s="93" t="s">
        <v>154</v>
      </c>
      <c r="D310" s="94" t="s">
        <v>139</v>
      </c>
      <c r="E310" s="94" t="s">
        <v>508</v>
      </c>
      <c r="F310" s="190" t="s">
        <v>128</v>
      </c>
      <c r="G310" s="468" t="s">
        <v>218</v>
      </c>
      <c r="H310" s="60" t="s">
        <v>509</v>
      </c>
    </row>
    <row r="311" spans="1:8" customHeight="1" ht="15">
      <c r="A311" s="70" t="s">
        <v>506</v>
      </c>
      <c r="B311" s="70" t="s">
        <v>510</v>
      </c>
      <c r="C311" s="93" t="s">
        <v>154</v>
      </c>
      <c r="D311" s="94" t="s">
        <v>139</v>
      </c>
      <c r="E311" s="94" t="s">
        <v>508</v>
      </c>
      <c r="F311" s="190" t="s">
        <v>128</v>
      </c>
      <c r="G311" s="468" t="s">
        <v>218</v>
      </c>
      <c r="H311" s="60" t="s">
        <v>509</v>
      </c>
    </row>
    <row r="312" spans="1:8" customHeight="1" ht="15">
      <c r="A312" s="70" t="s">
        <v>391</v>
      </c>
      <c r="B312" s="70" t="s">
        <v>511</v>
      </c>
      <c r="C312" s="93" t="s">
        <v>138</v>
      </c>
      <c r="D312" s="94" t="s">
        <v>126</v>
      </c>
      <c r="E312" s="94" t="s">
        <v>508</v>
      </c>
      <c r="F312" s="190" t="s">
        <v>128</v>
      </c>
      <c r="G312" s="468" t="s">
        <v>129</v>
      </c>
      <c r="H312" s="60" t="s">
        <v>509</v>
      </c>
    </row>
    <row r="313" spans="1:8" customHeight="1" ht="15">
      <c r="A313" s="106" t="s">
        <v>440</v>
      </c>
      <c r="B313" s="106" t="s">
        <v>512</v>
      </c>
      <c r="C313" s="93" t="s">
        <v>125</v>
      </c>
      <c r="D313" s="94" t="s">
        <v>139</v>
      </c>
      <c r="E313" s="94" t="s">
        <v>217</v>
      </c>
      <c r="F313" s="190" t="s">
        <v>128</v>
      </c>
      <c r="G313" s="468" t="s">
        <v>142</v>
      </c>
      <c r="H313" s="60" t="s">
        <v>280</v>
      </c>
    </row>
    <row r="314" spans="1:8" customHeight="1" ht="15">
      <c r="A314" s="106" t="s">
        <v>270</v>
      </c>
      <c r="B314" s="106" t="s">
        <v>513</v>
      </c>
      <c r="C314" s="93"/>
      <c r="D314" s="93"/>
      <c r="E314" s="93"/>
      <c r="F314" s="93"/>
      <c r="G314" s="468"/>
      <c r="H314" s="468"/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dataValidations count="22">
    <dataValidation type="list" errorStyle="stop" operator="between" allowBlank="1" showDropDown="0" showInputMessage="0" showErrorMessage="1" sqref="C2:C181">
      <formula1>Категория_должности</formula1>
      <formula2>0</formula2>
    </dataValidation>
    <dataValidation type="list" errorStyle="stop" operator="between" allowBlank="1" showDropDown="0" showInputMessage="0" showErrorMessage="1" sqref="C186:C189">
      <formula1>Категория_должности</formula1>
      <formula2>0</formula2>
    </dataValidation>
    <dataValidation type="list" errorStyle="stop" operator="between" allowBlank="1" showDropDown="0" showInputMessage="0" showErrorMessage="1" sqref="C220">
      <formula1>Категория_должности</formula1>
      <formula2>0</formula2>
    </dataValidation>
    <dataValidation type="list" errorStyle="stop" operator="between" allowBlank="1" showDropDown="0" showInputMessage="0" showErrorMessage="1" sqref="C259">
      <formula1>Категория_должности</formula1>
      <formula2>0</formula2>
    </dataValidation>
    <dataValidation type="list" errorStyle="stop" operator="between" allowBlank="1" showDropDown="0" showInputMessage="0" showErrorMessage="1" sqref="C261">
      <formula1>Категория_должности</formula1>
      <formula2>0</formula2>
    </dataValidation>
    <dataValidation type="list" errorStyle="stop" operator="between" allowBlank="1" showDropDown="0" showInputMessage="0" showErrorMessage="1" sqref="C268">
      <formula1>Категория_должности</formula1>
      <formula2>0</formula2>
    </dataValidation>
    <dataValidation type="list" errorStyle="stop" operator="between" allowBlank="1" showDropDown="0" showInputMessage="0" showErrorMessage="1" sqref="C270">
      <formula1>Категория_должности</formula1>
      <formula2>0</formula2>
    </dataValidation>
    <dataValidation type="list" errorStyle="stop" operator="between" allowBlank="1" showDropDown="0" showInputMessage="0" showErrorMessage="1" sqref="D2:D185">
      <formula1>Продуктивный</formula1>
      <formula2>0</formula2>
    </dataValidation>
    <dataValidation type="list" errorStyle="stop" operator="between" allowBlank="1" showDropDown="0" showInputMessage="0" showErrorMessage="1" sqref="D187">
      <formula1>Продуктивный</formula1>
      <formula2>0</formula2>
    </dataValidation>
    <dataValidation type="list" errorStyle="stop" operator="between" allowBlank="1" showDropDown="0" showInputMessage="0" showErrorMessage="1" sqref="D220">
      <formula1>Продуктивный</formula1>
      <formula2>0</formula2>
    </dataValidation>
    <dataValidation type="list" errorStyle="stop" operator="between" allowBlank="1" showDropDown="0" showInputMessage="0" showErrorMessage="1" sqref="D259">
      <formula1>Продуктивный</formula1>
      <formula2>0</formula2>
    </dataValidation>
    <dataValidation type="list" errorStyle="stop" operator="between" allowBlank="1" showDropDown="0" showInputMessage="0" showErrorMessage="1" sqref="D261">
      <formula1>Продуктивный</formula1>
      <formula2>0</formula2>
    </dataValidation>
    <dataValidation type="list" errorStyle="stop" operator="between" allowBlank="1" showDropDown="0" showInputMessage="0" showErrorMessage="1" sqref="D268">
      <formula1>Продуктивный</formula1>
      <formula2>0</formula2>
    </dataValidation>
    <dataValidation type="list" errorStyle="stop" operator="between" allowBlank="1" showDropDown="0" showInputMessage="0" showErrorMessage="1" sqref="D270">
      <formula1>Продуктивный</formula1>
      <formula2>0</formula2>
    </dataValidation>
    <dataValidation type="list" errorStyle="stop" operator="between" allowBlank="1" showDropDown="0" showInputMessage="0" showErrorMessage="1" sqref="E2:E181">
      <formula1>Функция</formula1>
      <formula2>0</formula2>
    </dataValidation>
    <dataValidation type="list" errorStyle="stop" operator="between" allowBlank="1" showDropDown="0" showInputMessage="0" showErrorMessage="1" sqref="E220:E222">
      <formula1>Функция</formula1>
      <formula2>0</formula2>
    </dataValidation>
    <dataValidation type="list" errorStyle="stop" operator="between" allowBlank="1" showDropDown="0" showInputMessage="0" showErrorMessage="1" sqref="E259:E261">
      <formula1>Функция</formula1>
      <formula2>0</formula2>
    </dataValidation>
    <dataValidation type="list" errorStyle="stop" operator="between" allowBlank="1" showDropDown="0" showInputMessage="0" showErrorMessage="1" sqref="E268">
      <formula1>Функция</formula1>
      <formula2>0</formula2>
    </dataValidation>
    <dataValidation type="list" errorStyle="stop" operator="between" allowBlank="1" showDropDown="0" showInputMessage="0" showErrorMessage="1" sqref="E270">
      <formula1>Функция</formula1>
      <formula2>0</formula2>
    </dataValidation>
    <dataValidation type="list" errorStyle="stop" operator="between" allowBlank="1" showDropDown="0" showInputMessage="0" showErrorMessage="1" sqref="F2:F185">
      <formula1>Город</formula1>
      <formula2>0</formula2>
    </dataValidation>
    <dataValidation type="list" errorStyle="stop" operator="between" allowBlank="1" showDropDown="0" showInputMessage="0" showErrorMessage="1" sqref="F268">
      <formula1>Город</formula1>
      <formula2>0</formula2>
    </dataValidation>
    <dataValidation type="list" errorStyle="stop" operator="between" allowBlank="1" showDropDown="0" showInputMessage="0" showErrorMessage="1" sqref="F270">
      <formula1>Город</formula1>
      <formula2>0</formula2>
    </dataValidation>
  </dataValidations>
  <printOptions gridLines="false" gridLinesSet="true"/>
  <pageMargins left="0.7" right="0.7" top="0.75" bottom="0.75" header="0.51180555555556" footer="0.51180555555556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5"/>
  <sheetViews>
    <sheetView tabSelected="0" workbookViewId="0" zoomScale="130" zoomScaleNormal="130" showGridLines="true" showRowColHeaders="1">
      <selection activeCell="R8" sqref="R8"/>
    </sheetView>
  </sheetViews>
  <sheetFormatPr customHeight="true" defaultRowHeight="15" outlineLevelRow="0" outlineLevelCol="0"/>
  <cols>
    <col min="1" max="1" width="9.28515625" customWidth="true" style="0"/>
    <col min="2" max="2" width="16.28515625" customWidth="true" style="0"/>
    <col min="3" max="3" width="12.5703125" customWidth="true" style="0"/>
    <col min="4" max="4" width="13.7109375" customWidth="true" style="0"/>
    <col min="5" max="5" width="18" customWidth="true" style="0"/>
    <col min="6" max="6" width="15.7109375" customWidth="true" style="0"/>
    <col min="7" max="7" width="10.140625" customWidth="true" style="0"/>
    <col min="8" max="8" width="11.7109375" customWidth="true" style="0"/>
    <col min="9" max="9" width="19.42578125" customWidth="true" style="0"/>
    <col min="10" max="10" width="39" customWidth="true" style="0"/>
    <col min="11" max="11" width="14.42578125" customWidth="true" style="0"/>
    <col min="12" max="12" width="19.85546875" customWidth="true" style="0"/>
    <col min="13" max="13" width="13.85546875" customWidth="true" style="0"/>
    <col min="14" max="14" width="13.85546875" customWidth="true" style="0"/>
    <col min="15" max="15" width="17" customWidth="true" style="0"/>
    <col min="16" max="16" width="16.28515625" customWidth="true" style="0"/>
    <col min="18" max="18" width="51.7109375" customWidth="true" style="0"/>
  </cols>
  <sheetData>
    <row r="1" spans="1:18" customHeight="1" ht="45" s="39" customFormat="1">
      <c r="A1" s="37" t="s">
        <v>46</v>
      </c>
      <c r="B1" s="37" t="s">
        <v>514</v>
      </c>
      <c r="C1" s="37" t="s">
        <v>68</v>
      </c>
      <c r="D1" s="37" t="s">
        <v>515</v>
      </c>
      <c r="E1" s="37" t="s">
        <v>516</v>
      </c>
      <c r="F1" s="37" t="s">
        <v>33</v>
      </c>
      <c r="G1" s="37" t="s">
        <v>517</v>
      </c>
      <c r="H1" s="37" t="s">
        <v>518</v>
      </c>
      <c r="I1" s="37" t="s">
        <v>519</v>
      </c>
      <c r="J1" s="37" t="s">
        <v>520</v>
      </c>
      <c r="K1" s="38"/>
      <c r="L1" s="37" t="s">
        <v>521</v>
      </c>
      <c r="M1" s="37" t="s">
        <v>522</v>
      </c>
      <c r="N1" s="37" t="s">
        <v>523</v>
      </c>
      <c r="O1" s="37" t="s">
        <v>119</v>
      </c>
      <c r="P1" s="37" t="s">
        <v>524</v>
      </c>
      <c r="Q1" s="37" t="s">
        <v>525</v>
      </c>
      <c r="R1" s="37" t="s">
        <v>122</v>
      </c>
    </row>
    <row r="2" spans="1:18" customHeight="1" ht="15">
      <c r="A2" t="s">
        <v>526</v>
      </c>
      <c r="B2" t="s">
        <v>527</v>
      </c>
      <c r="C2" t="s">
        <v>528</v>
      </c>
      <c r="D2" t="s">
        <v>529</v>
      </c>
      <c r="E2" s="29" t="s">
        <v>133</v>
      </c>
      <c r="F2" s="29" t="s">
        <v>128</v>
      </c>
      <c r="G2" s="29" t="s">
        <v>174</v>
      </c>
      <c r="H2" s="29" t="s">
        <v>530</v>
      </c>
      <c r="I2" t="s">
        <v>531</v>
      </c>
      <c r="J2" t="s">
        <v>532</v>
      </c>
      <c r="K2" s="40" t="s">
        <v>533</v>
      </c>
      <c r="L2" t="s">
        <v>534</v>
      </c>
      <c r="M2" t="s">
        <v>535</v>
      </c>
      <c r="N2" t="s">
        <v>536</v>
      </c>
      <c r="O2" t="s">
        <v>139</v>
      </c>
      <c r="P2" s="29" t="s">
        <v>537</v>
      </c>
      <c r="Q2" s="29" t="s">
        <v>538</v>
      </c>
      <c r="R2" s="29" t="s">
        <v>135</v>
      </c>
    </row>
    <row r="3" spans="1:18" customHeight="1" ht="15">
      <c r="A3" t="s">
        <v>539</v>
      </c>
      <c r="B3" t="s">
        <v>540</v>
      </c>
      <c r="C3" t="s">
        <v>541</v>
      </c>
      <c r="D3" t="s">
        <v>542</v>
      </c>
      <c r="E3" s="29" t="s">
        <v>178</v>
      </c>
      <c r="F3" s="29" t="s">
        <v>141</v>
      </c>
      <c r="G3" s="29" t="s">
        <v>217</v>
      </c>
      <c r="H3" s="29" t="s">
        <v>543</v>
      </c>
      <c r="I3" t="s">
        <v>544</v>
      </c>
      <c r="J3" t="s">
        <v>545</v>
      </c>
      <c r="K3" s="40" t="s">
        <v>533</v>
      </c>
      <c r="L3" t="s">
        <v>546</v>
      </c>
      <c r="M3" t="s">
        <v>547</v>
      </c>
      <c r="N3" t="s">
        <v>548</v>
      </c>
      <c r="O3" t="s">
        <v>126</v>
      </c>
      <c r="P3" s="29" t="s">
        <v>549</v>
      </c>
      <c r="Q3" s="29" t="s">
        <v>550</v>
      </c>
      <c r="R3" s="29" t="s">
        <v>219</v>
      </c>
    </row>
    <row r="4" spans="1:18" customHeight="1" ht="15">
      <c r="A4" t="s">
        <v>551</v>
      </c>
      <c r="B4" t="s">
        <v>552</v>
      </c>
      <c r="D4" t="s">
        <v>553</v>
      </c>
      <c r="E4" s="29" t="s">
        <v>145</v>
      </c>
      <c r="F4" s="29" t="s">
        <v>148</v>
      </c>
      <c r="G4" t="s">
        <v>127</v>
      </c>
      <c r="H4" s="29"/>
      <c r="I4" t="s">
        <v>554</v>
      </c>
      <c r="J4" s="41" t="s">
        <v>555</v>
      </c>
      <c r="K4" s="42" t="s">
        <v>533</v>
      </c>
      <c r="L4" t="s">
        <v>556</v>
      </c>
      <c r="N4" t="s">
        <v>557</v>
      </c>
      <c r="P4" s="29" t="s">
        <v>558</v>
      </c>
      <c r="Q4" s="29" t="s">
        <v>559</v>
      </c>
      <c r="R4" s="29" t="s">
        <v>560</v>
      </c>
    </row>
    <row r="5" spans="1:18" customHeight="1" ht="15">
      <c r="A5" t="s">
        <v>561</v>
      </c>
      <c r="B5" t="s">
        <v>562</v>
      </c>
      <c r="E5" s="29" t="s">
        <v>154</v>
      </c>
      <c r="F5" s="29" t="s">
        <v>151</v>
      </c>
      <c r="G5" s="29" t="s">
        <v>140</v>
      </c>
      <c r="H5" s="29"/>
      <c r="I5" t="s">
        <v>563</v>
      </c>
      <c r="J5" s="41" t="s">
        <v>564</v>
      </c>
      <c r="K5" s="42" t="s">
        <v>533</v>
      </c>
      <c r="L5" t="s">
        <v>565</v>
      </c>
      <c r="R5" s="29" t="s">
        <v>182</v>
      </c>
    </row>
    <row r="6" spans="1:18" customHeight="1" ht="15">
      <c r="A6" t="s">
        <v>566</v>
      </c>
      <c r="B6" t="s">
        <v>567</v>
      </c>
      <c r="E6" s="29" t="s">
        <v>138</v>
      </c>
      <c r="F6" s="29" t="s">
        <v>166</v>
      </c>
      <c r="G6" s="29" t="s">
        <v>263</v>
      </c>
      <c r="H6" s="29"/>
      <c r="I6" t="s">
        <v>568</v>
      </c>
      <c r="J6" t="s">
        <v>569</v>
      </c>
      <c r="K6" s="40" t="s">
        <v>533</v>
      </c>
      <c r="L6" t="s">
        <v>570</v>
      </c>
      <c r="R6" s="29" t="s">
        <v>176</v>
      </c>
    </row>
    <row r="7" spans="1:18" customHeight="1" ht="15">
      <c r="A7" t="s">
        <v>571</v>
      </c>
      <c r="B7" t="s">
        <v>572</v>
      </c>
      <c r="E7" s="29" t="s">
        <v>125</v>
      </c>
      <c r="F7" s="29" t="s">
        <v>171</v>
      </c>
      <c r="I7" t="s">
        <v>573</v>
      </c>
      <c r="J7" t="s">
        <v>574</v>
      </c>
      <c r="K7" s="40" t="s">
        <v>575</v>
      </c>
      <c r="L7" t="s">
        <v>576</v>
      </c>
      <c r="R7" s="29" t="s">
        <v>143</v>
      </c>
    </row>
    <row r="8" spans="1:18" customHeight="1" ht="15">
      <c r="A8" t="s">
        <v>577</v>
      </c>
      <c r="F8" s="29" t="s">
        <v>237</v>
      </c>
      <c r="I8" t="s">
        <v>578</v>
      </c>
      <c r="J8" t="s">
        <v>579</v>
      </c>
      <c r="K8" s="40" t="s">
        <v>575</v>
      </c>
      <c r="L8" t="s">
        <v>580</v>
      </c>
      <c r="R8" s="29" t="s">
        <v>509</v>
      </c>
    </row>
    <row r="9" spans="1:18" customHeight="1" ht="15">
      <c r="A9" t="s">
        <v>581</v>
      </c>
      <c r="F9" s="29" t="s">
        <v>419</v>
      </c>
      <c r="I9" t="s">
        <v>582</v>
      </c>
      <c r="J9" s="41" t="s">
        <v>583</v>
      </c>
      <c r="K9" s="42" t="s">
        <v>575</v>
      </c>
      <c r="R9" s="29" t="s">
        <v>226</v>
      </c>
    </row>
    <row r="10" spans="1:18" customHeight="1" ht="15">
      <c r="A10" t="s">
        <v>584</v>
      </c>
      <c r="F10" s="29" t="s">
        <v>451</v>
      </c>
      <c r="I10" t="s">
        <v>585</v>
      </c>
      <c r="J10" s="41" t="s">
        <v>586</v>
      </c>
      <c r="K10" s="42" t="s">
        <v>575</v>
      </c>
      <c r="R10" s="29" t="s">
        <v>280</v>
      </c>
    </row>
    <row r="11" spans="1:18" customHeight="1" ht="15">
      <c r="A11" t="s">
        <v>587</v>
      </c>
      <c r="F11" s="29" t="s">
        <v>367</v>
      </c>
      <c r="J11" t="s">
        <v>588</v>
      </c>
      <c r="K11" s="40" t="s">
        <v>575</v>
      </c>
      <c r="R11" s="29" t="s">
        <v>314</v>
      </c>
    </row>
    <row r="12" spans="1:18" customHeight="1" ht="15">
      <c r="A12" t="s">
        <v>589</v>
      </c>
      <c r="F12" s="29" t="s">
        <v>590</v>
      </c>
      <c r="R12" s="29" t="s">
        <v>349</v>
      </c>
    </row>
    <row r="13" spans="1:18" customHeight="1" ht="15">
      <c r="A13" t="s">
        <v>591</v>
      </c>
      <c r="R13" s="29" t="s">
        <v>319</v>
      </c>
    </row>
    <row r="14" spans="1:18" customHeight="1" ht="15">
      <c r="R14" s="29" t="s">
        <v>250</v>
      </c>
    </row>
    <row r="15" spans="1:18" customHeight="1" ht="15">
      <c r="R15" s="29" t="s">
        <v>592</v>
      </c>
    </row>
    <row r="16" spans="1:18" customHeight="1" ht="15">
      <c r="R16" s="29" t="s">
        <v>402</v>
      </c>
    </row>
    <row r="17" spans="1:18" customHeight="1" ht="15">
      <c r="R17" s="29" t="s">
        <v>130</v>
      </c>
    </row>
    <row r="18" spans="1:18" customHeight="1" ht="15">
      <c r="R18" s="29" t="s">
        <v>593</v>
      </c>
    </row>
    <row r="19" spans="1:18" customHeight="1" ht="15">
      <c r="R19" s="29" t="s">
        <v>594</v>
      </c>
    </row>
    <row r="20" spans="1:18" customHeight="1" ht="15">
      <c r="R20" s="29"/>
    </row>
    <row r="21" spans="1:18" customHeight="1" ht="15">
      <c r="R21" s="29"/>
    </row>
    <row r="22" spans="1:18" customHeight="1" ht="15">
      <c r="R22" s="29"/>
    </row>
    <row r="23" spans="1:18" customHeight="1" ht="15">
      <c r="R23" s="29"/>
    </row>
    <row r="24" spans="1:18" customHeight="1" ht="15">
      <c r="R24" s="29"/>
    </row>
    <row r="25" spans="1:18" customHeight="1" ht="15">
      <c r="R25" s="29"/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0866141732283" right="0.70866141732283" top="0.74803149606299" bottom="0.74803149606299" header="0.51181102362205" footer="0.51181102362205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93"/>
  <sheetViews>
    <sheetView tabSelected="0" workbookViewId="0" zoomScale="112" zoomScaleNormal="112" showGridLines="true" showRowColHeaders="1">
      <pane xSplit="2" ySplit="2" topLeftCell="L486" activePane="bottomRight" state="frozen"/>
      <selection pane="topRight"/>
      <selection pane="bottomLeft"/>
      <selection pane="bottomRight" activeCell="O483" sqref="O483"/>
    </sheetView>
  </sheetViews>
  <sheetFormatPr customHeight="true" defaultRowHeight="15" defaultColWidth="9.140625" outlineLevelRow="0" outlineLevelCol="1"/>
  <cols>
    <col min="1" max="1" width="7.42578125" customWidth="true" style="313"/>
    <col min="2" max="2" width="34" customWidth="true" style="313"/>
    <col min="3" max="3" width="17.140625" customWidth="true" outlineLevel="1" style="406"/>
    <col min="4" max="4" width="18.5703125" customWidth="true" outlineLevel="1" style="407"/>
    <col min="5" max="5" width="17.28515625" customWidth="true" outlineLevel="1" style="407"/>
    <col min="6" max="6" width="18.5703125" customWidth="true" style="313"/>
    <col min="7" max="7" width="10.7109375" customWidth="true" style="313"/>
    <col min="8" max="8" width="9.85546875" customWidth="true" outlineLevel="1" style="313"/>
    <col min="9" max="9" width="12" customWidth="true" outlineLevel="1" style="313"/>
    <col min="10" max="10" width="11.140625" customWidth="true" outlineLevel="1" style="313"/>
    <col min="11" max="11" width="17" customWidth="true" style="313"/>
    <col min="12" max="12" width="14.140625" customWidth="true" outlineLevel="1" style="313"/>
    <col min="13" max="13" width="13" customWidth="true" outlineLevel="1" style="313"/>
    <col min="14" max="14" width="13.85546875" customWidth="true" outlineLevel="1" style="313"/>
    <col min="15" max="15" width="10" customWidth="true" style="313"/>
    <col min="16" max="16" width="16.85546875" customWidth="true" style="313"/>
    <col min="17" max="17" width="12.28515625" customWidth="true" style="313"/>
    <col min="18" max="18" width="17" customWidth="true" style="313"/>
    <col min="19" max="19" width="13" customWidth="true" outlineLevel="1" style="313"/>
    <col min="20" max="20" width="10.7109375" customWidth="true" outlineLevel="1" style="313"/>
    <col min="21" max="21" width="8.5703125" customWidth="true" outlineLevel="1" style="313"/>
    <col min="22" max="22" width="23.85546875" customWidth="true" style="313"/>
    <col min="23" max="23" width="19.42578125" customWidth="true" style="313"/>
    <col min="24" max="24" width="8.28515625" customWidth="true" style="313"/>
    <col min="25" max="25" width="8.140625" customWidth="true" style="313"/>
    <col min="26" max="26" width="7" customWidth="true" style="313"/>
    <col min="27" max="27" width="8.28515625" customWidth="true" style="313"/>
    <col min="28" max="28" width="10.42578125" customWidth="true" style="313"/>
    <col min="29" max="29" width="10.5703125" customWidth="true" style="313"/>
    <col min="30" max="30" width="10.5703125" customWidth="true" style="313"/>
    <col min="31" max="31" width="12" hidden="true" customWidth="true" style="313"/>
    <col min="32" max="32" width="9.140625" hidden="true" style="405"/>
    <col min="33" max="33" width="9.140625" hidden="true" style="313"/>
    <col min="34" max="34" width="9.140625" hidden="true" style="313"/>
    <col min="35" max="35" width="9.140625" hidden="true" style="313"/>
    <col min="36" max="36" width="10.42578125" customWidth="true" style="313"/>
    <col min="37" max="37" width="10.42578125" customWidth="true" style="313"/>
    <col min="38" max="38" width="10.28515625" customWidth="true" style="313"/>
  </cols>
  <sheetData>
    <row r="1" spans="1:38" customHeight="1" ht="53.45" s="415" customFormat="1">
      <c r="A1" s="410" t="s">
        <v>595</v>
      </c>
      <c r="B1" s="411" t="s">
        <v>595</v>
      </c>
      <c r="C1" s="397" t="s">
        <v>596</v>
      </c>
      <c r="D1" s="210" t="s">
        <v>595</v>
      </c>
      <c r="E1" s="210" t="s">
        <v>595</v>
      </c>
      <c r="F1" s="412" t="s">
        <v>595</v>
      </c>
      <c r="G1" s="413" t="s">
        <v>595</v>
      </c>
      <c r="H1" s="398" t="s">
        <v>597</v>
      </c>
      <c r="I1" s="398" t="s">
        <v>597</v>
      </c>
      <c r="J1" s="398" t="s">
        <v>597</v>
      </c>
      <c r="K1" s="166" t="s">
        <v>598</v>
      </c>
      <c r="L1" s="398" t="s">
        <v>597</v>
      </c>
      <c r="M1" s="398" t="s">
        <v>597</v>
      </c>
      <c r="N1" s="399" t="s">
        <v>595</v>
      </c>
      <c r="O1" s="414" t="s">
        <v>595</v>
      </c>
      <c r="P1" s="414" t="s">
        <v>595</v>
      </c>
      <c r="Q1" s="164" t="s">
        <v>597</v>
      </c>
      <c r="R1" s="166" t="s">
        <v>598</v>
      </c>
      <c r="S1" s="164" t="s">
        <v>597</v>
      </c>
      <c r="T1" s="166" t="s">
        <v>598</v>
      </c>
      <c r="U1" s="164" t="s">
        <v>597</v>
      </c>
      <c r="V1" s="166" t="s">
        <v>598</v>
      </c>
      <c r="W1" s="164" t="s">
        <v>597</v>
      </c>
      <c r="X1" s="413"/>
      <c r="Y1" s="413"/>
      <c r="Z1" s="413"/>
      <c r="AA1" s="413"/>
      <c r="AB1" s="746" t="s">
        <v>599</v>
      </c>
      <c r="AC1" s="747"/>
      <c r="AD1" s="748"/>
      <c r="AE1" s="400"/>
      <c r="AF1" s="401"/>
      <c r="AG1" s="400"/>
      <c r="AH1" s="400"/>
      <c r="AI1" s="400"/>
      <c r="AJ1" s="746" t="s">
        <v>600</v>
      </c>
      <c r="AK1" s="747"/>
      <c r="AL1" s="748"/>
    </row>
    <row r="2" spans="1:38" customHeight="1" ht="76.9" s="409" customFormat="1">
      <c r="A2" s="170" t="s">
        <v>16</v>
      </c>
      <c r="B2" s="170" t="s">
        <v>18</v>
      </c>
      <c r="C2" s="402" t="s">
        <v>601</v>
      </c>
      <c r="D2" s="211" t="s">
        <v>22</v>
      </c>
      <c r="E2" s="211" t="s">
        <v>24</v>
      </c>
      <c r="F2" s="170" t="s">
        <v>26</v>
      </c>
      <c r="G2" s="170" t="s">
        <v>28</v>
      </c>
      <c r="H2" s="402" t="s">
        <v>30</v>
      </c>
      <c r="I2" s="402" t="s">
        <v>31</v>
      </c>
      <c r="J2" s="402" t="s">
        <v>121</v>
      </c>
      <c r="K2" s="219" t="s">
        <v>122</v>
      </c>
      <c r="L2" s="402" t="s">
        <v>119</v>
      </c>
      <c r="M2" s="402" t="s">
        <v>33</v>
      </c>
      <c r="N2" s="402" t="s">
        <v>35</v>
      </c>
      <c r="O2" s="170" t="s">
        <v>602</v>
      </c>
      <c r="P2" s="170" t="s">
        <v>39</v>
      </c>
      <c r="Q2" s="170" t="s">
        <v>41</v>
      </c>
      <c r="R2" s="170" t="s">
        <v>42</v>
      </c>
      <c r="S2" s="170" t="s">
        <v>44</v>
      </c>
      <c r="T2" s="219" t="s">
        <v>46</v>
      </c>
      <c r="U2" s="170" t="s">
        <v>48</v>
      </c>
      <c r="V2" s="170" t="s">
        <v>51</v>
      </c>
      <c r="W2" s="170" t="s">
        <v>603</v>
      </c>
      <c r="X2" s="408"/>
      <c r="Y2" s="408"/>
      <c r="Z2" s="408"/>
      <c r="AA2" s="408"/>
      <c r="AB2" s="170" t="s">
        <v>604</v>
      </c>
      <c r="AC2" s="170" t="s">
        <v>605</v>
      </c>
      <c r="AD2" s="170" t="s">
        <v>606</v>
      </c>
      <c r="AE2" s="403"/>
      <c r="AF2" s="404"/>
      <c r="AG2" s="403"/>
      <c r="AH2" s="403"/>
      <c r="AI2" s="403"/>
      <c r="AJ2" s="170" t="s">
        <v>604</v>
      </c>
      <c r="AK2" s="170" t="s">
        <v>605</v>
      </c>
      <c r="AL2" s="170" t="s">
        <v>606</v>
      </c>
    </row>
    <row r="3" spans="1:38" customHeight="1" ht="22.5">
      <c r="A3" s="722" t="s">
        <v>607</v>
      </c>
      <c r="B3" s="722" t="s">
        <v>608</v>
      </c>
      <c r="D3" s="722" t="s">
        <v>609</v>
      </c>
      <c r="E3" s="722" t="s">
        <v>610</v>
      </c>
      <c r="F3" s="722" t="s">
        <v>361</v>
      </c>
      <c r="G3" s="722" t="s">
        <v>132</v>
      </c>
      <c r="H3" s="308" t="str">
        <f>IF(ISBLANK(B3),"-",IF(ISERROR(FIND("вич",B3,1)),"ж","м"))</f>
        <v>м</v>
      </c>
      <c r="I3" s="308" t="e">
        <v>#REF!</v>
      </c>
      <c r="J3" s="308" t="e">
        <v>#REF!</v>
      </c>
      <c r="K3" s="29" t="s">
        <v>280</v>
      </c>
      <c r="L3" s="308"/>
      <c r="M3" s="308"/>
      <c r="N3" s="308"/>
      <c r="O3" s="730" t="s">
        <v>611</v>
      </c>
      <c r="P3" s="731" t="s">
        <v>612</v>
      </c>
      <c r="Q3" s="308" t="str">
        <f>IF(R3="","включаем","не включаем")</f>
        <v>не включаем</v>
      </c>
      <c r="R3" s="732" t="s">
        <v>582</v>
      </c>
      <c r="S3" s="308"/>
      <c r="T3" s="308" t="s">
        <v>566</v>
      </c>
      <c r="V3" s="731" t="s">
        <v>613</v>
      </c>
      <c r="W3" s="406">
        <v>46173</v>
      </c>
    </row>
    <row r="4" spans="1:38" customHeight="1" ht="22.5">
      <c r="A4" s="722" t="s">
        <v>614</v>
      </c>
      <c r="B4" s="722" t="s">
        <v>615</v>
      </c>
      <c r="D4" s="722" t="s">
        <v>616</v>
      </c>
      <c r="E4" s="722" t="s">
        <v>617</v>
      </c>
      <c r="F4" s="722" t="s">
        <v>347</v>
      </c>
      <c r="G4" s="722" t="s">
        <v>163</v>
      </c>
      <c r="H4" s="308" t="str">
        <f>IF(ISBLANK(B4),"-",IF(ISERROR(FIND("вич",B4,1)),"ж","м"))</f>
        <v>ж</v>
      </c>
      <c r="I4" s="308" t="e">
        <v>#REF!</v>
      </c>
      <c r="J4" s="308" t="e">
        <v>#REF!</v>
      </c>
      <c r="K4" s="29" t="s">
        <v>280</v>
      </c>
      <c r="L4" s="308"/>
      <c r="M4" s="308"/>
      <c r="N4" s="308"/>
      <c r="O4" s="733">
        <v>1</v>
      </c>
      <c r="P4" s="731" t="s">
        <v>618</v>
      </c>
      <c r="Q4" s="308" t="str">
        <f>IF(R4="","включаем","не включаем")</f>
        <v>включаем</v>
      </c>
      <c r="R4" s="732"/>
      <c r="S4" s="308"/>
      <c r="T4" s="308" t="s">
        <v>566</v>
      </c>
      <c r="V4" s="731" t="s">
        <v>613</v>
      </c>
      <c r="W4" s="406">
        <v>46173</v>
      </c>
    </row>
    <row r="5" spans="1:38" customHeight="1" ht="22.5">
      <c r="A5" s="722" t="s">
        <v>619</v>
      </c>
      <c r="B5" s="722" t="s">
        <v>620</v>
      </c>
      <c r="D5" s="722" t="s">
        <v>621</v>
      </c>
      <c r="E5" s="722" t="s">
        <v>622</v>
      </c>
      <c r="F5" s="722" t="s">
        <v>347</v>
      </c>
      <c r="G5" s="722" t="s">
        <v>161</v>
      </c>
      <c r="H5" s="308" t="str">
        <f>IF(ISBLANK(B5),"-",IF(ISERROR(FIND("вич",B5,1)),"ж","м"))</f>
        <v>ж</v>
      </c>
      <c r="I5" s="308" t="e">
        <v>#REF!</v>
      </c>
      <c r="J5" s="308" t="e">
        <v>#REF!</v>
      </c>
      <c r="K5" s="29" t="s">
        <v>280</v>
      </c>
      <c r="L5" s="308"/>
      <c r="M5" s="308"/>
      <c r="N5" s="308"/>
      <c r="O5" s="733">
        <v>1</v>
      </c>
      <c r="P5" s="731" t="s">
        <v>612</v>
      </c>
      <c r="Q5" s="308" t="str">
        <f>IF(R5="","включаем","не включаем")</f>
        <v>не включаем</v>
      </c>
      <c r="R5" s="732" t="s">
        <v>582</v>
      </c>
      <c r="S5" s="308"/>
      <c r="T5" s="308" t="s">
        <v>566</v>
      </c>
      <c r="V5" s="731" t="s">
        <v>613</v>
      </c>
      <c r="W5" s="406">
        <v>46173</v>
      </c>
    </row>
    <row r="6" spans="1:38" customHeight="1" ht="45">
      <c r="A6" s="722" t="s">
        <v>623</v>
      </c>
      <c r="B6" s="722" t="s">
        <v>624</v>
      </c>
      <c r="D6" s="722" t="s">
        <v>625</v>
      </c>
      <c r="E6" s="722" t="s">
        <v>626</v>
      </c>
      <c r="F6" s="722" t="s">
        <v>338</v>
      </c>
      <c r="G6" s="722" t="s">
        <v>227</v>
      </c>
      <c r="H6" s="308" t="str">
        <f>IF(ISBLANK(B6),"-",IF(ISERROR(FIND("вич",B6,1)),"ж","м"))</f>
        <v>ж</v>
      </c>
      <c r="I6" s="308" t="e">
        <v>#REF!</v>
      </c>
      <c r="J6" s="308" t="e">
        <v>#REF!</v>
      </c>
      <c r="K6" s="29" t="s">
        <v>280</v>
      </c>
      <c r="L6" s="308"/>
      <c r="M6" s="308"/>
      <c r="N6" s="308"/>
      <c r="O6" s="733">
        <v>1</v>
      </c>
      <c r="P6" s="731" t="s">
        <v>618</v>
      </c>
      <c r="Q6" s="308" t="str">
        <f>IF(R6="","включаем","не включаем")</f>
        <v>включаем</v>
      </c>
      <c r="R6" s="732"/>
      <c r="S6" s="308"/>
      <c r="T6" s="308" t="s">
        <v>566</v>
      </c>
      <c r="V6" s="731" t="s">
        <v>613</v>
      </c>
      <c r="W6" s="406">
        <v>46173</v>
      </c>
    </row>
    <row r="7" spans="1:38" customHeight="1" ht="22.5">
      <c r="A7" s="722" t="s">
        <v>627</v>
      </c>
      <c r="B7" s="722" t="s">
        <v>628</v>
      </c>
      <c r="D7" s="722" t="s">
        <v>629</v>
      </c>
      <c r="E7" s="722" t="s">
        <v>630</v>
      </c>
      <c r="F7" s="722" t="s">
        <v>338</v>
      </c>
      <c r="G7" s="722" t="s">
        <v>339</v>
      </c>
      <c r="H7" s="308" t="str">
        <f>IF(ISBLANK(B7),"-",IF(ISERROR(FIND("вич",B7,1)),"ж","м"))</f>
        <v>ж</v>
      </c>
      <c r="I7" s="308" t="e">
        <v>#REF!</v>
      </c>
      <c r="J7" s="308" t="e">
        <v>#REF!</v>
      </c>
      <c r="K7" s="29" t="s">
        <v>280</v>
      </c>
      <c r="L7" s="308"/>
      <c r="M7" s="308"/>
      <c r="N7" s="308"/>
      <c r="O7" s="733">
        <v>1</v>
      </c>
      <c r="P7" s="731" t="s">
        <v>618</v>
      </c>
      <c r="Q7" s="308" t="str">
        <f>IF(R7="","включаем","не включаем")</f>
        <v>включаем</v>
      </c>
      <c r="R7" s="732"/>
      <c r="S7" s="308"/>
      <c r="T7" s="308" t="s">
        <v>566</v>
      </c>
      <c r="V7" s="731" t="s">
        <v>613</v>
      </c>
      <c r="W7" s="406">
        <v>46173</v>
      </c>
    </row>
    <row r="8" spans="1:38" customHeight="1" ht="56.25">
      <c r="A8" s="722" t="s">
        <v>631</v>
      </c>
      <c r="B8" s="722" t="s">
        <v>632</v>
      </c>
      <c r="D8" s="722" t="s">
        <v>633</v>
      </c>
      <c r="E8" s="722" t="s">
        <v>634</v>
      </c>
      <c r="F8" s="722" t="s">
        <v>338</v>
      </c>
      <c r="G8" s="722" t="s">
        <v>635</v>
      </c>
      <c r="H8" s="308" t="str">
        <f>IF(ISBLANK(B8),"-",IF(ISERROR(FIND("вич",B8,1)),"ж","м"))</f>
        <v>ж</v>
      </c>
      <c r="I8" s="308" t="e">
        <v>#REF!</v>
      </c>
      <c r="J8" s="308" t="e">
        <v>#REF!</v>
      </c>
      <c r="K8" s="29" t="s">
        <v>280</v>
      </c>
      <c r="L8" s="308"/>
      <c r="M8" s="308"/>
      <c r="N8" s="308"/>
      <c r="O8" s="733">
        <v>1</v>
      </c>
      <c r="P8" s="731" t="s">
        <v>618</v>
      </c>
      <c r="Q8" s="308" t="str">
        <f>IF(R8="","включаем","не включаем")</f>
        <v>включаем</v>
      </c>
      <c r="R8" s="732"/>
      <c r="S8" s="308"/>
      <c r="T8" s="308" t="s">
        <v>566</v>
      </c>
      <c r="V8" s="731" t="s">
        <v>613</v>
      </c>
      <c r="W8" s="406">
        <v>46173</v>
      </c>
    </row>
    <row r="9" spans="1:38" customHeight="1" ht="22.5">
      <c r="A9" s="722" t="s">
        <v>636</v>
      </c>
      <c r="B9" s="722" t="s">
        <v>637</v>
      </c>
      <c r="D9" s="722" t="s">
        <v>638</v>
      </c>
      <c r="E9" s="722" t="s">
        <v>639</v>
      </c>
      <c r="F9" s="722" t="s">
        <v>440</v>
      </c>
      <c r="G9" s="722" t="s">
        <v>441</v>
      </c>
      <c r="H9" s="308" t="str">
        <f>IF(ISBLANK(B9),"-",IF(ISERROR(FIND("вич",B9,1)),"ж","м"))</f>
        <v>ж</v>
      </c>
      <c r="I9" s="308" t="e">
        <v>#REF!</v>
      </c>
      <c r="J9" s="308" t="e">
        <v>#REF!</v>
      </c>
      <c r="K9" s="29" t="s">
        <v>280</v>
      </c>
      <c r="L9" s="308"/>
      <c r="M9" s="308"/>
      <c r="N9" s="308"/>
      <c r="O9" s="733">
        <v>1</v>
      </c>
      <c r="P9" s="731" t="s">
        <v>618</v>
      </c>
      <c r="Q9" s="308" t="str">
        <f>IF(R9="","включаем","не включаем")</f>
        <v>включаем</v>
      </c>
      <c r="R9" s="732"/>
      <c r="S9" s="308"/>
      <c r="T9" s="308" t="s">
        <v>566</v>
      </c>
      <c r="V9" s="731" t="s">
        <v>613</v>
      </c>
      <c r="W9" s="406">
        <v>46173</v>
      </c>
    </row>
    <row r="10" spans="1:38" customHeight="1" ht="22.5">
      <c r="A10" s="722" t="s">
        <v>640</v>
      </c>
      <c r="B10" s="722" t="s">
        <v>641</v>
      </c>
      <c r="D10" s="722" t="s">
        <v>642</v>
      </c>
      <c r="E10" s="722" t="s">
        <v>643</v>
      </c>
      <c r="F10" s="722" t="s">
        <v>440</v>
      </c>
      <c r="G10" s="722" t="s">
        <v>441</v>
      </c>
      <c r="H10" s="308" t="str">
        <f>IF(ISBLANK(B10),"-",IF(ISERROR(FIND("вич",B10,1)),"ж","м"))</f>
        <v>ж</v>
      </c>
      <c r="I10" s="308" t="e">
        <v>#REF!</v>
      </c>
      <c r="J10" s="308" t="e">
        <v>#REF!</v>
      </c>
      <c r="K10" s="29" t="s">
        <v>280</v>
      </c>
      <c r="L10" s="308"/>
      <c r="M10" s="308"/>
      <c r="N10" s="308"/>
      <c r="O10" s="733">
        <v>1</v>
      </c>
      <c r="P10" s="731" t="s">
        <v>618</v>
      </c>
      <c r="Q10" s="308" t="str">
        <f>IF(R10="","включаем","не включаем")</f>
        <v>включаем</v>
      </c>
      <c r="R10" s="732"/>
      <c r="S10" s="308"/>
      <c r="T10" s="308" t="s">
        <v>566</v>
      </c>
      <c r="V10" s="731" t="s">
        <v>613</v>
      </c>
      <c r="W10" s="406">
        <v>46173</v>
      </c>
    </row>
    <row r="11" spans="1:38" customHeight="1" ht="22.5">
      <c r="A11" s="722" t="s">
        <v>644</v>
      </c>
      <c r="B11" s="722" t="s">
        <v>645</v>
      </c>
      <c r="D11" s="722" t="s">
        <v>646</v>
      </c>
      <c r="E11" s="722" t="s">
        <v>647</v>
      </c>
      <c r="F11" s="722" t="s">
        <v>440</v>
      </c>
      <c r="G11" s="722" t="s">
        <v>359</v>
      </c>
      <c r="H11" s="308" t="str">
        <f>IF(ISBLANK(B11),"-",IF(ISERROR(FIND("вич",B11,1)),"ж","м"))</f>
        <v>м</v>
      </c>
      <c r="I11" s="308" t="e">
        <v>#REF!</v>
      </c>
      <c r="J11" s="308" t="e">
        <v>#REF!</v>
      </c>
      <c r="K11" s="29" t="s">
        <v>280</v>
      </c>
      <c r="L11" s="308"/>
      <c r="M11" s="308"/>
      <c r="N11" s="308"/>
      <c r="O11" s="733">
        <v>1</v>
      </c>
      <c r="P11" s="731" t="s">
        <v>618</v>
      </c>
      <c r="Q11" s="308" t="str">
        <f>IF(R11="","включаем","не включаем")</f>
        <v>включаем</v>
      </c>
      <c r="R11" s="732"/>
      <c r="S11" s="308"/>
      <c r="T11" s="308" t="s">
        <v>566</v>
      </c>
      <c r="V11" s="731" t="s">
        <v>613</v>
      </c>
      <c r="W11" s="406">
        <v>46173</v>
      </c>
    </row>
    <row r="12" spans="1:38" customHeight="1" ht="22.5">
      <c r="A12" s="722" t="s">
        <v>648</v>
      </c>
      <c r="B12" s="722" t="s">
        <v>649</v>
      </c>
      <c r="D12" s="722" t="s">
        <v>650</v>
      </c>
      <c r="E12" s="722" t="s">
        <v>651</v>
      </c>
      <c r="F12" s="722" t="s">
        <v>440</v>
      </c>
      <c r="G12" s="722" t="s">
        <v>359</v>
      </c>
      <c r="H12" s="308" t="str">
        <f>IF(ISBLANK(B12),"-",IF(ISERROR(FIND("вич",B12,1)),"ж","м"))</f>
        <v>ж</v>
      </c>
      <c r="I12" s="308" t="e">
        <v>#REF!</v>
      </c>
      <c r="J12" s="308" t="e">
        <v>#REF!</v>
      </c>
      <c r="K12" s="29" t="s">
        <v>280</v>
      </c>
      <c r="L12" s="308"/>
      <c r="M12" s="308"/>
      <c r="N12" s="308"/>
      <c r="O12" s="733">
        <v>1</v>
      </c>
      <c r="P12" s="731" t="s">
        <v>618</v>
      </c>
      <c r="Q12" s="308" t="str">
        <f>IF(R12="","включаем","не включаем")</f>
        <v>включаем</v>
      </c>
      <c r="R12" s="732"/>
      <c r="S12" s="308"/>
      <c r="T12" s="308" t="s">
        <v>566</v>
      </c>
      <c r="V12" s="731" t="s">
        <v>613</v>
      </c>
      <c r="W12" s="406">
        <v>46173</v>
      </c>
    </row>
    <row r="13" spans="1:38" customHeight="1" ht="22.5">
      <c r="A13" s="722" t="s">
        <v>652</v>
      </c>
      <c r="B13" s="722" t="s">
        <v>653</v>
      </c>
      <c r="D13" s="722" t="s">
        <v>654</v>
      </c>
      <c r="E13" s="722" t="s">
        <v>655</v>
      </c>
      <c r="F13" s="722" t="s">
        <v>440</v>
      </c>
      <c r="G13" s="722" t="s">
        <v>359</v>
      </c>
      <c r="H13" s="308" t="str">
        <f>IF(ISBLANK(B13),"-",IF(ISERROR(FIND("вич",B13,1)),"ж","м"))</f>
        <v>ж</v>
      </c>
      <c r="I13" s="308" t="e">
        <v>#REF!</v>
      </c>
      <c r="J13" s="308" t="e">
        <v>#REF!</v>
      </c>
      <c r="K13" s="29" t="s">
        <v>280</v>
      </c>
      <c r="L13" s="308"/>
      <c r="M13" s="308"/>
      <c r="N13" s="308"/>
      <c r="O13" s="733">
        <v>1</v>
      </c>
      <c r="P13" s="731" t="s">
        <v>618</v>
      </c>
      <c r="Q13" s="308" t="str">
        <f>IF(R13="","включаем","не включаем")</f>
        <v>включаем</v>
      </c>
      <c r="R13" s="732"/>
      <c r="S13" s="308"/>
      <c r="T13" s="308" t="s">
        <v>566</v>
      </c>
      <c r="V13" s="731" t="s">
        <v>613</v>
      </c>
      <c r="W13" s="406">
        <v>46173</v>
      </c>
    </row>
    <row r="14" spans="1:38" customHeight="1" ht="22.5">
      <c r="A14" s="722" t="s">
        <v>656</v>
      </c>
      <c r="B14" s="722" t="s">
        <v>657</v>
      </c>
      <c r="D14" s="722" t="s">
        <v>658</v>
      </c>
      <c r="E14" s="722" t="s">
        <v>659</v>
      </c>
      <c r="F14" s="722" t="s">
        <v>440</v>
      </c>
      <c r="G14" s="722" t="s">
        <v>359</v>
      </c>
      <c r="H14" s="308" t="str">
        <f>IF(ISBLANK(B14),"-",IF(ISERROR(FIND("вич",B14,1)),"ж","м"))</f>
        <v>м</v>
      </c>
      <c r="I14" s="308" t="e">
        <v>#REF!</v>
      </c>
      <c r="J14" s="308" t="e">
        <v>#REF!</v>
      </c>
      <c r="K14" s="29" t="s">
        <v>280</v>
      </c>
      <c r="L14" s="308"/>
      <c r="M14" s="308"/>
      <c r="N14" s="308"/>
      <c r="O14" s="733">
        <v>1</v>
      </c>
      <c r="P14" s="731" t="s">
        <v>618</v>
      </c>
      <c r="Q14" s="308" t="str">
        <f>IF(R14="","включаем","не включаем")</f>
        <v>включаем</v>
      </c>
      <c r="R14" s="732"/>
      <c r="S14" s="308"/>
      <c r="T14" s="308" t="s">
        <v>566</v>
      </c>
      <c r="V14" s="731" t="s">
        <v>613</v>
      </c>
      <c r="W14" s="406">
        <v>46173</v>
      </c>
    </row>
    <row r="15" spans="1:38" customHeight="1" ht="22.5">
      <c r="A15" s="722" t="s">
        <v>660</v>
      </c>
      <c r="B15" s="722" t="s">
        <v>661</v>
      </c>
      <c r="D15" s="722" t="s">
        <v>662</v>
      </c>
      <c r="E15" s="722" t="s">
        <v>663</v>
      </c>
      <c r="F15" s="722" t="s">
        <v>440</v>
      </c>
      <c r="G15" s="722" t="s">
        <v>359</v>
      </c>
      <c r="H15" s="308" t="str">
        <f>IF(ISBLANK(B15),"-",IF(ISERROR(FIND("вич",B15,1)),"ж","м"))</f>
        <v>ж</v>
      </c>
      <c r="I15" s="308" t="e">
        <v>#REF!</v>
      </c>
      <c r="J15" s="308" t="e">
        <v>#REF!</v>
      </c>
      <c r="K15" s="29" t="s">
        <v>280</v>
      </c>
      <c r="L15" s="308"/>
      <c r="M15" s="308"/>
      <c r="N15" s="308"/>
      <c r="O15" s="733">
        <v>1</v>
      </c>
      <c r="P15" s="731" t="s">
        <v>618</v>
      </c>
      <c r="Q15" s="308" t="str">
        <f>IF(R15="","включаем","не включаем")</f>
        <v>включаем</v>
      </c>
      <c r="R15" s="732"/>
      <c r="S15" s="308"/>
      <c r="T15" s="308" t="s">
        <v>566</v>
      </c>
      <c r="V15" s="731" t="s">
        <v>613</v>
      </c>
      <c r="W15" s="406">
        <v>46173</v>
      </c>
    </row>
    <row r="16" spans="1:38" customHeight="1" ht="22.5">
      <c r="A16" s="722" t="s">
        <v>664</v>
      </c>
      <c r="B16" s="722" t="s">
        <v>665</v>
      </c>
      <c r="D16" s="722" t="s">
        <v>650</v>
      </c>
      <c r="E16" s="722" t="s">
        <v>666</v>
      </c>
      <c r="F16" s="722" t="s">
        <v>440</v>
      </c>
      <c r="G16" s="722" t="s">
        <v>359</v>
      </c>
      <c r="H16" s="308" t="str">
        <f>IF(ISBLANK(B16),"-",IF(ISERROR(FIND("вич",B16,1)),"ж","м"))</f>
        <v>ж</v>
      </c>
      <c r="I16" s="308" t="e">
        <v>#REF!</v>
      </c>
      <c r="J16" s="308" t="e">
        <v>#REF!</v>
      </c>
      <c r="K16" s="29" t="s">
        <v>280</v>
      </c>
      <c r="L16" s="308"/>
      <c r="M16" s="308"/>
      <c r="N16" s="308"/>
      <c r="O16" s="733">
        <v>1</v>
      </c>
      <c r="P16" s="731" t="s">
        <v>618</v>
      </c>
      <c r="Q16" s="308" t="str">
        <f>IF(R16="","включаем","не включаем")</f>
        <v>включаем</v>
      </c>
      <c r="R16" s="732"/>
      <c r="S16" s="308"/>
      <c r="T16" s="308" t="s">
        <v>566</v>
      </c>
      <c r="V16" s="731" t="s">
        <v>613</v>
      </c>
      <c r="W16" s="406">
        <v>46173</v>
      </c>
    </row>
    <row r="17" spans="1:38" customHeight="1" ht="22.5">
      <c r="A17" s="722" t="s">
        <v>667</v>
      </c>
      <c r="B17" s="722" t="s">
        <v>668</v>
      </c>
      <c r="D17" s="722" t="s">
        <v>669</v>
      </c>
      <c r="E17" s="722" t="s">
        <v>670</v>
      </c>
      <c r="F17" s="722" t="s">
        <v>440</v>
      </c>
      <c r="G17" s="722" t="s">
        <v>359</v>
      </c>
      <c r="H17" s="308" t="str">
        <f>IF(ISBLANK(B17),"-",IF(ISERROR(FIND("вич",B17,1)),"ж","м"))</f>
        <v>ж</v>
      </c>
      <c r="I17" s="308" t="e">
        <v>#REF!</v>
      </c>
      <c r="J17" s="308" t="e">
        <v>#REF!</v>
      </c>
      <c r="K17" s="29" t="s">
        <v>280</v>
      </c>
      <c r="L17" s="308"/>
      <c r="M17" s="308"/>
      <c r="N17" s="308"/>
      <c r="O17" s="733">
        <v>1</v>
      </c>
      <c r="P17" s="731" t="s">
        <v>618</v>
      </c>
      <c r="Q17" s="308" t="str">
        <f>IF(R17="","включаем","не включаем")</f>
        <v>включаем</v>
      </c>
      <c r="R17" s="732"/>
      <c r="S17" s="308"/>
      <c r="T17" s="308" t="s">
        <v>566</v>
      </c>
      <c r="V17" s="731" t="s">
        <v>613</v>
      </c>
      <c r="W17" s="406">
        <v>46173</v>
      </c>
    </row>
    <row r="18" spans="1:38" customHeight="1" ht="22.5">
      <c r="A18" s="722" t="s">
        <v>671</v>
      </c>
      <c r="B18" s="722" t="s">
        <v>672</v>
      </c>
      <c r="D18" s="722" t="s">
        <v>673</v>
      </c>
      <c r="E18" s="722" t="s">
        <v>674</v>
      </c>
      <c r="F18" s="722" t="s">
        <v>440</v>
      </c>
      <c r="G18" s="722" t="s">
        <v>359</v>
      </c>
      <c r="H18" s="308" t="str">
        <f>IF(ISBLANK(B18),"-",IF(ISERROR(FIND("вич",B18,1)),"ж","м"))</f>
        <v>м</v>
      </c>
      <c r="I18" s="308" t="e">
        <v>#REF!</v>
      </c>
      <c r="J18" s="308" t="e">
        <v>#REF!</v>
      </c>
      <c r="K18" s="29" t="s">
        <v>280</v>
      </c>
      <c r="L18" s="308"/>
      <c r="M18" s="308"/>
      <c r="N18" s="308"/>
      <c r="O18" s="733">
        <v>1</v>
      </c>
      <c r="P18" s="731" t="s">
        <v>618</v>
      </c>
      <c r="Q18" s="308" t="str">
        <f>IF(R18="","включаем","не включаем")</f>
        <v>включаем</v>
      </c>
      <c r="R18" s="732"/>
      <c r="S18" s="308"/>
      <c r="T18" s="308" t="s">
        <v>566</v>
      </c>
      <c r="V18" s="731" t="s">
        <v>613</v>
      </c>
      <c r="W18" s="406">
        <v>46173</v>
      </c>
    </row>
    <row r="19" spans="1:38" customHeight="1" ht="22.5">
      <c r="A19" s="722" t="s">
        <v>675</v>
      </c>
      <c r="B19" s="722" t="s">
        <v>676</v>
      </c>
      <c r="D19" s="722" t="s">
        <v>677</v>
      </c>
      <c r="E19" s="723" t="s">
        <v>678</v>
      </c>
      <c r="F19" s="722" t="s">
        <v>440</v>
      </c>
      <c r="G19" s="722" t="s">
        <v>359</v>
      </c>
      <c r="H19" s="308" t="str">
        <f>IF(ISBLANK(B19),"-",IF(ISERROR(FIND("вич",B19,1)),"ж","м"))</f>
        <v>м</v>
      </c>
      <c r="I19" s="308" t="e">
        <v>#REF!</v>
      </c>
      <c r="J19" s="308" t="e">
        <v>#REF!</v>
      </c>
      <c r="K19" s="29" t="s">
        <v>280</v>
      </c>
      <c r="L19" s="308"/>
      <c r="M19" s="308"/>
      <c r="N19" s="308"/>
      <c r="O19" s="733">
        <v>1</v>
      </c>
      <c r="P19" s="731" t="s">
        <v>618</v>
      </c>
      <c r="Q19" s="308" t="str">
        <f>IF(R19="","включаем","не включаем")</f>
        <v>включаем</v>
      </c>
      <c r="R19" s="732"/>
      <c r="S19" s="308"/>
      <c r="T19" s="308" t="s">
        <v>566</v>
      </c>
      <c r="V19" s="731" t="s">
        <v>613</v>
      </c>
      <c r="W19" s="406">
        <v>46173</v>
      </c>
    </row>
    <row r="20" spans="1:38" customHeight="1" ht="22.5">
      <c r="A20" s="722" t="s">
        <v>679</v>
      </c>
      <c r="B20" s="722" t="s">
        <v>680</v>
      </c>
      <c r="D20" s="722" t="s">
        <v>681</v>
      </c>
      <c r="E20" s="722" t="s">
        <v>682</v>
      </c>
      <c r="F20" s="722" t="s">
        <v>440</v>
      </c>
      <c r="G20" s="722" t="s">
        <v>359</v>
      </c>
      <c r="H20" s="308" t="str">
        <f>IF(ISBLANK(B20),"-",IF(ISERROR(FIND("вич",B20,1)),"ж","м"))</f>
        <v>м</v>
      </c>
      <c r="I20" s="308" t="e">
        <v>#REF!</v>
      </c>
      <c r="J20" s="308" t="e">
        <v>#REF!</v>
      </c>
      <c r="K20" s="29" t="s">
        <v>280</v>
      </c>
      <c r="L20" s="308"/>
      <c r="M20" s="308"/>
      <c r="N20" s="308"/>
      <c r="O20" s="733">
        <v>1</v>
      </c>
      <c r="P20" s="731" t="s">
        <v>618</v>
      </c>
      <c r="Q20" s="308" t="str">
        <f>IF(R20="","включаем","не включаем")</f>
        <v>включаем</v>
      </c>
      <c r="R20" s="732"/>
      <c r="S20" s="308"/>
      <c r="T20" s="308" t="s">
        <v>566</v>
      </c>
      <c r="V20" s="731" t="s">
        <v>613</v>
      </c>
      <c r="W20" s="406">
        <v>46173</v>
      </c>
    </row>
    <row r="21" spans="1:38" customHeight="1" ht="22.5">
      <c r="A21" s="722" t="s">
        <v>683</v>
      </c>
      <c r="B21" s="722" t="s">
        <v>684</v>
      </c>
      <c r="D21" s="722" t="s">
        <v>685</v>
      </c>
      <c r="E21" s="722" t="s">
        <v>686</v>
      </c>
      <c r="F21" s="722" t="s">
        <v>440</v>
      </c>
      <c r="G21" s="722" t="s">
        <v>359</v>
      </c>
      <c r="H21" s="308" t="str">
        <f>IF(ISBLANK(B21),"-",IF(ISERROR(FIND("вич",B21,1)),"ж","м"))</f>
        <v>м</v>
      </c>
      <c r="I21" s="308" t="e">
        <v>#REF!</v>
      </c>
      <c r="J21" s="308" t="e">
        <v>#REF!</v>
      </c>
      <c r="K21" s="29" t="s">
        <v>280</v>
      </c>
      <c r="L21" s="308"/>
      <c r="M21" s="308"/>
      <c r="N21" s="308"/>
      <c r="O21" s="733">
        <v>1</v>
      </c>
      <c r="P21" s="731" t="s">
        <v>618</v>
      </c>
      <c r="Q21" s="308" t="str">
        <f>IF(R21="","включаем","не включаем")</f>
        <v>включаем</v>
      </c>
      <c r="R21" s="732"/>
      <c r="S21" s="308"/>
      <c r="T21" s="308" t="s">
        <v>566</v>
      </c>
      <c r="V21" s="731" t="s">
        <v>613</v>
      </c>
      <c r="W21" s="406">
        <v>46173</v>
      </c>
    </row>
    <row r="22" spans="1:38" customHeight="1" ht="22.5">
      <c r="A22" s="722" t="s">
        <v>687</v>
      </c>
      <c r="B22" s="722" t="s">
        <v>688</v>
      </c>
      <c r="D22" s="722" t="s">
        <v>689</v>
      </c>
      <c r="E22" s="722" t="s">
        <v>690</v>
      </c>
      <c r="F22" s="722" t="s">
        <v>440</v>
      </c>
      <c r="G22" s="722" t="s">
        <v>359</v>
      </c>
      <c r="H22" s="308" t="str">
        <f>IF(ISBLANK(B22),"-",IF(ISERROR(FIND("вич",B22,1)),"ж","м"))</f>
        <v>ж</v>
      </c>
      <c r="I22" s="308" t="e">
        <v>#REF!</v>
      </c>
      <c r="J22" s="308" t="e">
        <v>#REF!</v>
      </c>
      <c r="K22" s="29" t="s">
        <v>280</v>
      </c>
      <c r="L22" s="308"/>
      <c r="M22" s="308"/>
      <c r="N22" s="308"/>
      <c r="O22" s="733">
        <v>1</v>
      </c>
      <c r="P22" s="731" t="s">
        <v>618</v>
      </c>
      <c r="Q22" s="308" t="str">
        <f>IF(R22="","включаем","не включаем")</f>
        <v>не включаем</v>
      </c>
      <c r="R22" s="732" t="s">
        <v>531</v>
      </c>
      <c r="S22" s="308"/>
      <c r="T22" s="308" t="s">
        <v>566</v>
      </c>
      <c r="V22" s="731" t="s">
        <v>613</v>
      </c>
      <c r="W22" s="406">
        <v>46173</v>
      </c>
    </row>
    <row r="23" spans="1:38" customHeight="1" ht="22.5">
      <c r="A23" s="722" t="s">
        <v>691</v>
      </c>
      <c r="B23" s="722" t="s">
        <v>692</v>
      </c>
      <c r="D23" s="722" t="s">
        <v>693</v>
      </c>
      <c r="E23" s="722" t="s">
        <v>694</v>
      </c>
      <c r="F23" s="722" t="s">
        <v>440</v>
      </c>
      <c r="G23" s="722" t="s">
        <v>370</v>
      </c>
      <c r="H23" s="308" t="str">
        <f>IF(ISBLANK(B23),"-",IF(ISERROR(FIND("вич",B23,1)),"ж","м"))</f>
        <v>м</v>
      </c>
      <c r="I23" s="308" t="e">
        <v>#REF!</v>
      </c>
      <c r="J23" s="308" t="e">
        <v>#REF!</v>
      </c>
      <c r="K23" s="29" t="s">
        <v>280</v>
      </c>
      <c r="L23" s="308"/>
      <c r="M23" s="308"/>
      <c r="N23" s="308"/>
      <c r="O23" s="733">
        <v>1</v>
      </c>
      <c r="P23" s="731" t="s">
        <v>618</v>
      </c>
      <c r="Q23" s="308" t="str">
        <f>IF(R23="","включаем","не включаем")</f>
        <v>включаем</v>
      </c>
      <c r="R23" s="732"/>
      <c r="S23" s="308"/>
      <c r="T23" s="308" t="s">
        <v>566</v>
      </c>
      <c r="V23" s="731" t="s">
        <v>613</v>
      </c>
      <c r="W23" s="406">
        <v>46173</v>
      </c>
    </row>
    <row r="24" spans="1:38" customHeight="1" ht="22.5">
      <c r="A24" s="722" t="s">
        <v>695</v>
      </c>
      <c r="B24" s="722" t="s">
        <v>696</v>
      </c>
      <c r="D24" s="722" t="s">
        <v>697</v>
      </c>
      <c r="E24" s="722" t="s">
        <v>698</v>
      </c>
      <c r="F24" s="722" t="s">
        <v>440</v>
      </c>
      <c r="G24" s="722" t="s">
        <v>370</v>
      </c>
      <c r="H24" s="308" t="str">
        <f>IF(ISBLANK(B24),"-",IF(ISERROR(FIND("вич",B24,1)),"ж","м"))</f>
        <v>м</v>
      </c>
      <c r="I24" s="308" t="e">
        <v>#REF!</v>
      </c>
      <c r="J24" s="308" t="e">
        <v>#REF!</v>
      </c>
      <c r="K24" s="29" t="s">
        <v>280</v>
      </c>
      <c r="L24" s="308"/>
      <c r="M24" s="308"/>
      <c r="N24" s="308"/>
      <c r="O24" s="733">
        <v>1</v>
      </c>
      <c r="P24" s="731" t="s">
        <v>618</v>
      </c>
      <c r="Q24" s="308" t="str">
        <f>IF(R24="","включаем","не включаем")</f>
        <v>включаем</v>
      </c>
      <c r="R24" s="732"/>
      <c r="S24" s="308"/>
      <c r="T24" s="308" t="s">
        <v>566</v>
      </c>
      <c r="V24" s="731" t="s">
        <v>613</v>
      </c>
      <c r="W24" s="406">
        <v>46173</v>
      </c>
    </row>
    <row r="25" spans="1:38" customHeight="1" ht="22.5">
      <c r="A25" s="722" t="s">
        <v>699</v>
      </c>
      <c r="B25" s="722" t="s">
        <v>700</v>
      </c>
      <c r="D25" s="722" t="s">
        <v>701</v>
      </c>
      <c r="E25" s="723" t="s">
        <v>702</v>
      </c>
      <c r="F25" s="722" t="s">
        <v>443</v>
      </c>
      <c r="G25" s="722" t="s">
        <v>384</v>
      </c>
      <c r="H25" s="308" t="str">
        <f>IF(ISBLANK(B25),"-",IF(ISERROR(FIND("вич",B25,1)),"ж","м"))</f>
        <v>м</v>
      </c>
      <c r="I25" s="308" t="e">
        <v>#REF!</v>
      </c>
      <c r="J25" s="308" t="e">
        <v>#REF!</v>
      </c>
      <c r="K25" s="29" t="s">
        <v>280</v>
      </c>
      <c r="L25" s="308"/>
      <c r="M25" s="308"/>
      <c r="N25" s="308"/>
      <c r="O25" s="733">
        <v>1</v>
      </c>
      <c r="P25" s="731" t="s">
        <v>618</v>
      </c>
      <c r="Q25" s="308" t="str">
        <f>IF(R25="","включаем","не включаем")</f>
        <v>включаем</v>
      </c>
      <c r="R25" s="732"/>
      <c r="S25" s="308"/>
      <c r="T25" s="308" t="s">
        <v>566</v>
      </c>
      <c r="V25" s="731" t="s">
        <v>613</v>
      </c>
      <c r="W25" s="406">
        <v>46173</v>
      </c>
    </row>
    <row r="26" spans="1:38" customHeight="1" ht="22.5">
      <c r="A26" s="722" t="s">
        <v>703</v>
      </c>
      <c r="B26" s="722" t="s">
        <v>704</v>
      </c>
      <c r="D26" s="722" t="s">
        <v>705</v>
      </c>
      <c r="E26" s="722" t="s">
        <v>706</v>
      </c>
      <c r="F26" s="722" t="s">
        <v>443</v>
      </c>
      <c r="G26" s="722" t="s">
        <v>444</v>
      </c>
      <c r="H26" s="308" t="str">
        <f>IF(ISBLANK(B26),"-",IF(ISERROR(FIND("вич",B26,1)),"ж","м"))</f>
        <v>м</v>
      </c>
      <c r="I26" s="308" t="e">
        <v>#REF!</v>
      </c>
      <c r="J26" s="308" t="e">
        <v>#REF!</v>
      </c>
      <c r="K26" s="29" t="s">
        <v>280</v>
      </c>
      <c r="L26" s="308"/>
      <c r="M26" s="308"/>
      <c r="N26" s="308"/>
      <c r="O26" s="733">
        <v>1</v>
      </c>
      <c r="P26" s="731" t="s">
        <v>618</v>
      </c>
      <c r="Q26" s="308" t="str">
        <f>IF(R26="","включаем","не включаем")</f>
        <v>включаем</v>
      </c>
      <c r="R26" s="732"/>
      <c r="S26" s="308"/>
      <c r="T26" s="308" t="s">
        <v>566</v>
      </c>
      <c r="V26" s="731" t="s">
        <v>613</v>
      </c>
      <c r="W26" s="406">
        <v>46173</v>
      </c>
    </row>
    <row r="27" spans="1:38" customHeight="1" ht="22.5">
      <c r="A27" s="722" t="s">
        <v>707</v>
      </c>
      <c r="B27" s="722" t="s">
        <v>708</v>
      </c>
      <c r="D27" s="722" t="s">
        <v>638</v>
      </c>
      <c r="E27" s="723" t="s">
        <v>709</v>
      </c>
      <c r="F27" s="722" t="s">
        <v>446</v>
      </c>
      <c r="G27" s="722" t="s">
        <v>447</v>
      </c>
      <c r="H27" s="308" t="str">
        <f>IF(ISBLANK(B27),"-",IF(ISERROR(FIND("вич",B27,1)),"ж","м"))</f>
        <v>ж</v>
      </c>
      <c r="I27" s="308" t="e">
        <v>#REF!</v>
      </c>
      <c r="J27" s="308" t="e">
        <v>#REF!</v>
      </c>
      <c r="K27" s="29" t="s">
        <v>280</v>
      </c>
      <c r="L27" s="308"/>
      <c r="M27" s="308"/>
      <c r="N27" s="308"/>
      <c r="O27" s="733">
        <v>1</v>
      </c>
      <c r="P27" s="731" t="s">
        <v>618</v>
      </c>
      <c r="Q27" s="308" t="str">
        <f>IF(R27="","включаем","не включаем")</f>
        <v>включаем</v>
      </c>
      <c r="R27" s="732"/>
      <c r="S27" s="308"/>
      <c r="T27" s="308" t="s">
        <v>566</v>
      </c>
      <c r="V27" s="731" t="s">
        <v>613</v>
      </c>
      <c r="W27" s="406">
        <v>46173</v>
      </c>
    </row>
    <row r="28" spans="1:38" customHeight="1" ht="22.5">
      <c r="A28" s="722" t="s">
        <v>710</v>
      </c>
      <c r="B28" s="722" t="s">
        <v>711</v>
      </c>
      <c r="D28" s="722" t="s">
        <v>712</v>
      </c>
      <c r="E28" s="722" t="s">
        <v>713</v>
      </c>
      <c r="F28" s="722" t="s">
        <v>446</v>
      </c>
      <c r="G28" s="722" t="s">
        <v>447</v>
      </c>
      <c r="H28" s="308" t="str">
        <f>IF(ISBLANK(B28),"-",IF(ISERROR(FIND("вич",B28,1)),"ж","м"))</f>
        <v>ж</v>
      </c>
      <c r="I28" s="308" t="e">
        <v>#REF!</v>
      </c>
      <c r="J28" s="308" t="e">
        <v>#REF!</v>
      </c>
      <c r="K28" s="29" t="s">
        <v>280</v>
      </c>
      <c r="L28" s="308"/>
      <c r="M28" s="308"/>
      <c r="N28" s="308"/>
      <c r="O28" s="733">
        <v>1</v>
      </c>
      <c r="P28" s="731" t="s">
        <v>618</v>
      </c>
      <c r="Q28" s="308" t="str">
        <f>IF(R28="","включаем","не включаем")</f>
        <v>включаем</v>
      </c>
      <c r="R28" s="732"/>
      <c r="S28" s="308"/>
      <c r="T28" s="308" t="s">
        <v>566</v>
      </c>
      <c r="V28" s="731" t="s">
        <v>613</v>
      </c>
      <c r="W28" s="406">
        <v>46173</v>
      </c>
    </row>
    <row r="29" spans="1:38" customHeight="1" ht="22.5">
      <c r="A29" s="722" t="s">
        <v>714</v>
      </c>
      <c r="B29" s="722" t="s">
        <v>715</v>
      </c>
      <c r="D29" s="722" t="s">
        <v>716</v>
      </c>
      <c r="E29" s="722" t="s">
        <v>717</v>
      </c>
      <c r="F29" s="722" t="s">
        <v>436</v>
      </c>
      <c r="G29" s="722" t="s">
        <v>359</v>
      </c>
      <c r="H29" s="308" t="str">
        <f>IF(ISBLANK(B29),"-",IF(ISERROR(FIND("вич",B29,1)),"ж","м"))</f>
        <v>м</v>
      </c>
      <c r="I29" s="308" t="e">
        <v>#REF!</v>
      </c>
      <c r="J29" s="308" t="e">
        <v>#REF!</v>
      </c>
      <c r="K29" s="29" t="s">
        <v>280</v>
      </c>
      <c r="L29" s="308"/>
      <c r="M29" s="308"/>
      <c r="N29" s="308"/>
      <c r="O29" s="733">
        <v>1</v>
      </c>
      <c r="P29" s="731" t="s">
        <v>618</v>
      </c>
      <c r="Q29" s="308" t="str">
        <f>IF(R29="","включаем","не включаем")</f>
        <v>включаем</v>
      </c>
      <c r="R29" s="732"/>
      <c r="S29" s="308"/>
      <c r="T29" s="308" t="s">
        <v>566</v>
      </c>
      <c r="V29" s="731" t="s">
        <v>613</v>
      </c>
      <c r="W29" s="406">
        <v>46173</v>
      </c>
    </row>
    <row r="30" spans="1:38" customHeight="1" ht="22.5">
      <c r="A30" s="722" t="s">
        <v>718</v>
      </c>
      <c r="B30" s="722" t="s">
        <v>719</v>
      </c>
      <c r="D30" s="722" t="s">
        <v>650</v>
      </c>
      <c r="E30" s="722" t="s">
        <v>720</v>
      </c>
      <c r="F30" s="722" t="s">
        <v>436</v>
      </c>
      <c r="G30" s="722" t="s">
        <v>235</v>
      </c>
      <c r="H30" s="308" t="str">
        <f>IF(ISBLANK(B30),"-",IF(ISERROR(FIND("вич",B30,1)),"ж","м"))</f>
        <v>м</v>
      </c>
      <c r="I30" s="308" t="e">
        <v>#REF!</v>
      </c>
      <c r="J30" s="308" t="e">
        <v>#REF!</v>
      </c>
      <c r="K30" s="29" t="s">
        <v>280</v>
      </c>
      <c r="L30" s="308"/>
      <c r="M30" s="308"/>
      <c r="N30" s="308"/>
      <c r="O30" s="733">
        <v>1</v>
      </c>
      <c r="P30" s="731" t="s">
        <v>618</v>
      </c>
      <c r="Q30" s="308" t="str">
        <f>IF(R30="","включаем","не включаем")</f>
        <v>включаем</v>
      </c>
      <c r="R30" s="732"/>
      <c r="S30" s="308"/>
      <c r="T30" s="308" t="s">
        <v>566</v>
      </c>
      <c r="V30" s="731" t="s">
        <v>613</v>
      </c>
      <c r="W30" s="406">
        <v>46173</v>
      </c>
    </row>
    <row r="31" spans="1:38" customHeight="1" ht="33.75">
      <c r="A31" s="722" t="s">
        <v>721</v>
      </c>
      <c r="B31" s="722" t="s">
        <v>722</v>
      </c>
      <c r="D31" s="722" t="s">
        <v>723</v>
      </c>
      <c r="E31" s="722" t="s">
        <v>724</v>
      </c>
      <c r="F31" s="722" t="s">
        <v>725</v>
      </c>
      <c r="G31" s="722" t="s">
        <v>235</v>
      </c>
      <c r="H31" s="308" t="str">
        <f>IF(ISBLANK(B31),"-",IF(ISERROR(FIND("вич",B31,1)),"ж","м"))</f>
        <v>м</v>
      </c>
      <c r="I31" s="308" t="e">
        <v>#REF!</v>
      </c>
      <c r="J31" s="308" t="e">
        <v>#REF!</v>
      </c>
      <c r="K31" s="29" t="s">
        <v>280</v>
      </c>
      <c r="L31" s="308"/>
      <c r="M31" s="308"/>
      <c r="N31" s="308"/>
      <c r="O31" s="733">
        <v>1</v>
      </c>
      <c r="P31" s="731" t="s">
        <v>618</v>
      </c>
      <c r="Q31" s="308" t="str">
        <f>IF(R31="","включаем","не включаем")</f>
        <v>включаем</v>
      </c>
      <c r="R31" s="732"/>
      <c r="S31" s="308"/>
      <c r="T31" s="308" t="s">
        <v>566</v>
      </c>
      <c r="V31" s="731" t="s">
        <v>613</v>
      </c>
      <c r="W31" s="406">
        <v>46173</v>
      </c>
    </row>
    <row r="32" spans="1:38" customHeight="1" ht="33.75">
      <c r="A32" s="722" t="s">
        <v>726</v>
      </c>
      <c r="B32" s="722" t="s">
        <v>727</v>
      </c>
      <c r="D32" s="722" t="s">
        <v>728</v>
      </c>
      <c r="E32" s="723" t="s">
        <v>729</v>
      </c>
      <c r="F32" s="722" t="s">
        <v>730</v>
      </c>
      <c r="G32" s="722" t="s">
        <v>384</v>
      </c>
      <c r="H32" s="308" t="str">
        <f>IF(ISBLANK(B32),"-",IF(ISERROR(FIND("вич",B32,1)),"ж","м"))</f>
        <v>м</v>
      </c>
      <c r="I32" s="308" t="e">
        <v>#REF!</v>
      </c>
      <c r="J32" s="308" t="e">
        <v>#REF!</v>
      </c>
      <c r="K32" s="29" t="s">
        <v>280</v>
      </c>
      <c r="L32" s="308"/>
      <c r="M32" s="308"/>
      <c r="N32" s="308"/>
      <c r="O32" s="733">
        <v>1</v>
      </c>
      <c r="P32" s="731" t="s">
        <v>618</v>
      </c>
      <c r="Q32" s="308" t="str">
        <f>IF(R32="","включаем","не включаем")</f>
        <v>включаем</v>
      </c>
      <c r="R32" s="732"/>
      <c r="S32" s="308"/>
      <c r="T32" s="308" t="s">
        <v>566</v>
      </c>
      <c r="V32" s="731" t="s">
        <v>613</v>
      </c>
      <c r="W32" s="406">
        <v>46173</v>
      </c>
    </row>
    <row r="33" spans="1:38" customHeight="1" ht="33.75">
      <c r="A33" s="722" t="s">
        <v>731</v>
      </c>
      <c r="B33" s="722" t="s">
        <v>732</v>
      </c>
      <c r="D33" s="722" t="s">
        <v>733</v>
      </c>
      <c r="E33" s="722" t="s">
        <v>734</v>
      </c>
      <c r="F33" s="722" t="s">
        <v>730</v>
      </c>
      <c r="G33" s="722" t="s">
        <v>735</v>
      </c>
      <c r="H33" s="308" t="str">
        <f>IF(ISBLANK(B33),"-",IF(ISERROR(FIND("вич",B33,1)),"ж","м"))</f>
        <v>м</v>
      </c>
      <c r="I33" s="308" t="e">
        <v>#REF!</v>
      </c>
      <c r="J33" s="308" t="e">
        <v>#REF!</v>
      </c>
      <c r="K33" s="29" t="s">
        <v>280</v>
      </c>
      <c r="L33" s="308"/>
      <c r="M33" s="308"/>
      <c r="N33" s="308"/>
      <c r="O33" s="733">
        <v>1</v>
      </c>
      <c r="P33" s="731" t="s">
        <v>618</v>
      </c>
      <c r="Q33" s="308" t="str">
        <f>IF(R33="","включаем","не включаем")</f>
        <v>включаем</v>
      </c>
      <c r="R33" s="732"/>
      <c r="S33" s="308"/>
      <c r="T33" s="308" t="s">
        <v>566</v>
      </c>
      <c r="V33" s="731" t="s">
        <v>613</v>
      </c>
      <c r="W33" s="406">
        <v>46173</v>
      </c>
    </row>
    <row r="34" spans="1:38" customHeight="1" ht="33.75">
      <c r="A34" s="722" t="s">
        <v>736</v>
      </c>
      <c r="B34" s="722" t="s">
        <v>737</v>
      </c>
      <c r="D34" s="722" t="s">
        <v>738</v>
      </c>
      <c r="E34" s="722" t="s">
        <v>739</v>
      </c>
      <c r="F34" s="722" t="s">
        <v>730</v>
      </c>
      <c r="G34" s="722" t="s">
        <v>735</v>
      </c>
      <c r="H34" s="308" t="str">
        <f>IF(ISBLANK(B34),"-",IF(ISERROR(FIND("вич",B34,1)),"ж","м"))</f>
        <v>м</v>
      </c>
      <c r="I34" s="308" t="e">
        <v>#REF!</v>
      </c>
      <c r="J34" s="308" t="e">
        <v>#REF!</v>
      </c>
      <c r="K34" s="29" t="s">
        <v>280</v>
      </c>
      <c r="L34" s="308"/>
      <c r="M34" s="308"/>
      <c r="N34" s="308"/>
      <c r="O34" s="733">
        <v>1</v>
      </c>
      <c r="P34" s="731" t="s">
        <v>618</v>
      </c>
      <c r="Q34" s="308" t="str">
        <f>IF(R34="","включаем","не включаем")</f>
        <v>включаем</v>
      </c>
      <c r="R34" s="732"/>
      <c r="S34" s="308"/>
      <c r="T34" s="308" t="s">
        <v>566</v>
      </c>
      <c r="V34" s="731" t="s">
        <v>613</v>
      </c>
      <c r="W34" s="406">
        <v>46173</v>
      </c>
    </row>
    <row r="35" spans="1:38" customHeight="1" ht="33.75">
      <c r="A35" s="722" t="s">
        <v>740</v>
      </c>
      <c r="B35" s="722" t="s">
        <v>741</v>
      </c>
      <c r="D35" s="722" t="s">
        <v>742</v>
      </c>
      <c r="E35" s="723" t="s">
        <v>743</v>
      </c>
      <c r="F35" s="722" t="s">
        <v>312</v>
      </c>
      <c r="G35" s="722" t="s">
        <v>467</v>
      </c>
      <c r="H35" s="308" t="str">
        <f>IF(ISBLANK(B35),"-",IF(ISERROR(FIND("вич",B35,1)),"ж","м"))</f>
        <v>м</v>
      </c>
      <c r="I35" s="308" t="e">
        <v>#REF!</v>
      </c>
      <c r="J35" s="308" t="e">
        <v>#REF!</v>
      </c>
      <c r="K35" s="29" t="s">
        <v>592</v>
      </c>
      <c r="L35" s="308"/>
      <c r="M35" s="308"/>
      <c r="N35" s="308"/>
      <c r="O35" s="733">
        <v>1</v>
      </c>
      <c r="P35" s="731" t="s">
        <v>618</v>
      </c>
      <c r="Q35" s="308" t="str">
        <f>IF(R35="","включаем","не включаем")</f>
        <v>включаем</v>
      </c>
      <c r="R35" s="732"/>
      <c r="S35" s="308"/>
      <c r="T35" s="308" t="s">
        <v>566</v>
      </c>
      <c r="V35" s="731" t="s">
        <v>613</v>
      </c>
      <c r="W35" s="406">
        <v>46173</v>
      </c>
    </row>
    <row r="36" spans="1:38" customHeight="1" ht="22.5">
      <c r="A36" s="722" t="s">
        <v>744</v>
      </c>
      <c r="B36" s="722" t="s">
        <v>745</v>
      </c>
      <c r="D36" s="722" t="s">
        <v>746</v>
      </c>
      <c r="E36" s="722" t="s">
        <v>747</v>
      </c>
      <c r="F36" s="722" t="s">
        <v>378</v>
      </c>
      <c r="G36" s="722" t="s">
        <v>329</v>
      </c>
      <c r="H36" s="308" t="str">
        <f>IF(ISBLANK(B36),"-",IF(ISERROR(FIND("вич",B36,1)),"ж","м"))</f>
        <v>м</v>
      </c>
      <c r="I36" s="308" t="e">
        <v>#REF!</v>
      </c>
      <c r="J36" s="308" t="e">
        <v>#REF!</v>
      </c>
      <c r="K36" s="29" t="s">
        <v>280</v>
      </c>
      <c r="L36" s="308"/>
      <c r="M36" s="308"/>
      <c r="N36" s="308"/>
      <c r="O36" s="733">
        <v>1</v>
      </c>
      <c r="P36" s="731" t="s">
        <v>618</v>
      </c>
      <c r="Q36" s="308" t="str">
        <f>IF(R36="","включаем","не включаем")</f>
        <v>включаем</v>
      </c>
      <c r="R36" s="732"/>
      <c r="S36" s="308"/>
      <c r="T36" s="308" t="s">
        <v>566</v>
      </c>
      <c r="V36" s="731" t="s">
        <v>613</v>
      </c>
      <c r="W36" s="406">
        <v>46173</v>
      </c>
    </row>
    <row r="37" spans="1:38" customHeight="1" ht="22.5">
      <c r="A37" s="722" t="s">
        <v>748</v>
      </c>
      <c r="B37" s="722" t="s">
        <v>749</v>
      </c>
      <c r="D37" s="722" t="s">
        <v>750</v>
      </c>
      <c r="E37" s="722" t="s">
        <v>751</v>
      </c>
      <c r="F37" s="722" t="s">
        <v>378</v>
      </c>
      <c r="G37" s="722" t="s">
        <v>380</v>
      </c>
      <c r="H37" s="308" t="str">
        <f>IF(ISBLANK(B37),"-",IF(ISERROR(FIND("вич",B37,1)),"ж","м"))</f>
        <v>м</v>
      </c>
      <c r="I37" s="308" t="e">
        <v>#REF!</v>
      </c>
      <c r="J37" s="308" t="e">
        <v>#REF!</v>
      </c>
      <c r="K37" s="29" t="s">
        <v>280</v>
      </c>
      <c r="L37" s="308"/>
      <c r="M37" s="308"/>
      <c r="N37" s="308"/>
      <c r="O37" s="733">
        <v>1</v>
      </c>
      <c r="P37" s="731" t="s">
        <v>618</v>
      </c>
      <c r="Q37" s="308" t="str">
        <f>IF(R37="","включаем","не включаем")</f>
        <v>включаем</v>
      </c>
      <c r="R37" s="732"/>
      <c r="S37" s="308"/>
      <c r="T37" s="308" t="s">
        <v>566</v>
      </c>
      <c r="V37" s="731" t="s">
        <v>613</v>
      </c>
      <c r="W37" s="406">
        <v>46173</v>
      </c>
    </row>
    <row r="38" spans="1:38" customHeight="1" ht="22.5">
      <c r="A38" s="722" t="s">
        <v>752</v>
      </c>
      <c r="B38" s="722" t="s">
        <v>753</v>
      </c>
      <c r="D38" s="722" t="s">
        <v>754</v>
      </c>
      <c r="E38" s="723" t="s">
        <v>755</v>
      </c>
      <c r="F38" s="722" t="s">
        <v>279</v>
      </c>
      <c r="G38" s="722" t="s">
        <v>256</v>
      </c>
      <c r="H38" s="308" t="str">
        <f>IF(ISBLANK(B38),"-",IF(ISERROR(FIND("вич",B38,1)),"ж","м"))</f>
        <v>ж</v>
      </c>
      <c r="I38" s="308" t="e">
        <v>#REF!</v>
      </c>
      <c r="J38" s="308" t="e">
        <v>#REF!</v>
      </c>
      <c r="K38" s="29" t="s">
        <v>280</v>
      </c>
      <c r="L38" s="308"/>
      <c r="M38" s="308"/>
      <c r="N38" s="308"/>
      <c r="O38" s="733">
        <v>1</v>
      </c>
      <c r="P38" s="731" t="s">
        <v>618</v>
      </c>
      <c r="Q38" s="308" t="str">
        <f>IF(R38="","включаем","не включаем")</f>
        <v>включаем</v>
      </c>
      <c r="R38" s="732"/>
      <c r="S38" s="308"/>
      <c r="T38" s="308" t="s">
        <v>566</v>
      </c>
      <c r="V38" s="731" t="s">
        <v>613</v>
      </c>
      <c r="W38" s="406">
        <v>46173</v>
      </c>
    </row>
    <row r="39" spans="1:38" customHeight="1" ht="22.5">
      <c r="A39" s="722" t="s">
        <v>756</v>
      </c>
      <c r="B39" s="722" t="s">
        <v>757</v>
      </c>
      <c r="D39" s="722" t="s">
        <v>758</v>
      </c>
      <c r="E39" s="722" t="s">
        <v>759</v>
      </c>
      <c r="F39" s="722" t="s">
        <v>279</v>
      </c>
      <c r="G39" s="722" t="s">
        <v>760</v>
      </c>
      <c r="H39" s="308" t="str">
        <f>IF(ISBLANK(B39),"-",IF(ISERROR(FIND("вич",B39,1)),"ж","м"))</f>
        <v>ж</v>
      </c>
      <c r="I39" s="308" t="e">
        <v>#REF!</v>
      </c>
      <c r="J39" s="308" t="e">
        <v>#REF!</v>
      </c>
      <c r="K39" s="29" t="s">
        <v>280</v>
      </c>
      <c r="L39" s="308"/>
      <c r="M39" s="308"/>
      <c r="N39" s="308"/>
      <c r="O39" s="733">
        <v>1</v>
      </c>
      <c r="P39" s="731" t="s">
        <v>618</v>
      </c>
      <c r="Q39" s="308" t="str">
        <f>IF(R39="","включаем","не включаем")</f>
        <v>включаем</v>
      </c>
      <c r="R39" s="732"/>
      <c r="S39" s="308"/>
      <c r="T39" s="308" t="s">
        <v>566</v>
      </c>
      <c r="V39" s="731" t="s">
        <v>613</v>
      </c>
      <c r="W39" s="406">
        <v>46173</v>
      </c>
    </row>
    <row r="40" spans="1:38" customHeight="1" ht="56.25">
      <c r="A40" s="722" t="s">
        <v>761</v>
      </c>
      <c r="B40" s="722" t="s">
        <v>762</v>
      </c>
      <c r="D40" s="722" t="s">
        <v>763</v>
      </c>
      <c r="E40" s="722" t="s">
        <v>764</v>
      </c>
      <c r="F40" s="722" t="s">
        <v>279</v>
      </c>
      <c r="G40" s="722" t="s">
        <v>765</v>
      </c>
      <c r="H40" s="308" t="str">
        <f>IF(ISBLANK(B40),"-",IF(ISERROR(FIND("вич",B40,1)),"ж","м"))</f>
        <v>ж</v>
      </c>
      <c r="I40" s="308" t="e">
        <v>#REF!</v>
      </c>
      <c r="J40" s="308" t="e">
        <v>#REF!</v>
      </c>
      <c r="K40" s="29" t="s">
        <v>280</v>
      </c>
      <c r="L40" s="308"/>
      <c r="M40" s="308"/>
      <c r="N40" s="308"/>
      <c r="O40" s="733">
        <v>1</v>
      </c>
      <c r="P40" s="731" t="s">
        <v>618</v>
      </c>
      <c r="Q40" s="308" t="str">
        <f>IF(R40="","включаем","не включаем")</f>
        <v>включаем</v>
      </c>
      <c r="R40" s="732"/>
      <c r="S40" s="308"/>
      <c r="T40" s="308" t="s">
        <v>566</v>
      </c>
      <c r="V40" s="731" t="s">
        <v>613</v>
      </c>
      <c r="W40" s="406">
        <v>46173</v>
      </c>
    </row>
    <row r="41" spans="1:38" customHeight="1" ht="33.75">
      <c r="A41" s="722" t="s">
        <v>766</v>
      </c>
      <c r="B41" s="722" t="s">
        <v>767</v>
      </c>
      <c r="D41" s="722" t="s">
        <v>768</v>
      </c>
      <c r="E41" s="722" t="s">
        <v>769</v>
      </c>
      <c r="F41" s="722" t="s">
        <v>270</v>
      </c>
      <c r="G41" s="722" t="s">
        <v>293</v>
      </c>
      <c r="H41" s="308" t="str">
        <f>IF(ISBLANK(B41),"-",IF(ISERROR(FIND("вич",B41,1)),"ж","м"))</f>
        <v>ж</v>
      </c>
      <c r="I41" s="308" t="e">
        <v>#REF!</v>
      </c>
      <c r="J41" s="308" t="e">
        <v>#REF!</v>
      </c>
      <c r="K41" s="29" t="s">
        <v>130</v>
      </c>
      <c r="L41" s="308"/>
      <c r="M41" s="308"/>
      <c r="N41" s="308"/>
      <c r="O41" s="733">
        <v>1</v>
      </c>
      <c r="P41" s="731" t="s">
        <v>618</v>
      </c>
      <c r="Q41" s="308" t="str">
        <f>IF(R41="","включаем","не включаем")</f>
        <v>включаем</v>
      </c>
      <c r="R41" s="732"/>
      <c r="S41" s="308"/>
      <c r="T41" s="308" t="s">
        <v>566</v>
      </c>
      <c r="V41" s="731" t="s">
        <v>770</v>
      </c>
      <c r="W41" s="406">
        <v>46173</v>
      </c>
    </row>
    <row r="42" spans="1:38" customHeight="1" ht="33.75">
      <c r="A42" s="722" t="s">
        <v>771</v>
      </c>
      <c r="B42" s="722" t="s">
        <v>772</v>
      </c>
      <c r="D42" s="722" t="s">
        <v>773</v>
      </c>
      <c r="E42" s="722" t="s">
        <v>774</v>
      </c>
      <c r="F42" s="722" t="s">
        <v>270</v>
      </c>
      <c r="G42" s="722" t="s">
        <v>255</v>
      </c>
      <c r="H42" s="308" t="str">
        <f>IF(ISBLANK(B42),"-",IF(ISERROR(FIND("вич",B42,1)),"ж","м"))</f>
        <v>ж</v>
      </c>
      <c r="I42" s="308" t="e">
        <v>#REF!</v>
      </c>
      <c r="J42" s="308" t="e">
        <v>#REF!</v>
      </c>
      <c r="K42" s="29" t="s">
        <v>130</v>
      </c>
      <c r="L42" s="308"/>
      <c r="M42" s="308"/>
      <c r="N42" s="308"/>
      <c r="O42" s="733">
        <v>1</v>
      </c>
      <c r="P42" s="731" t="s">
        <v>618</v>
      </c>
      <c r="Q42" s="308" t="str">
        <f>IF(R42="","включаем","не включаем")</f>
        <v>не включаем</v>
      </c>
      <c r="R42" s="732" t="s">
        <v>531</v>
      </c>
      <c r="S42" s="308"/>
      <c r="T42" s="308" t="s">
        <v>566</v>
      </c>
      <c r="V42" s="731" t="s">
        <v>770</v>
      </c>
      <c r="W42" s="406">
        <v>46173</v>
      </c>
    </row>
    <row r="43" spans="1:38" customHeight="1" ht="33.75">
      <c r="A43" s="722" t="s">
        <v>775</v>
      </c>
      <c r="B43" s="722" t="s">
        <v>776</v>
      </c>
      <c r="D43" s="722" t="s">
        <v>777</v>
      </c>
      <c r="E43" s="722" t="s">
        <v>778</v>
      </c>
      <c r="F43" s="722" t="s">
        <v>270</v>
      </c>
      <c r="G43" s="722" t="s">
        <v>255</v>
      </c>
      <c r="H43" s="308" t="str">
        <f>IF(ISBLANK(B43),"-",IF(ISERROR(FIND("вич",B43,1)),"ж","м"))</f>
        <v>ж</v>
      </c>
      <c r="I43" s="308" t="e">
        <v>#REF!</v>
      </c>
      <c r="J43" s="308" t="e">
        <v>#REF!</v>
      </c>
      <c r="K43" s="29" t="s">
        <v>130</v>
      </c>
      <c r="L43" s="308"/>
      <c r="M43" s="308"/>
      <c r="N43" s="308"/>
      <c r="O43" s="733">
        <v>1</v>
      </c>
      <c r="P43" s="731" t="s">
        <v>618</v>
      </c>
      <c r="Q43" s="308" t="str">
        <f>IF(R43="","включаем","не включаем")</f>
        <v>включаем</v>
      </c>
      <c r="R43" s="732"/>
      <c r="S43" s="308"/>
      <c r="T43" s="308" t="s">
        <v>566</v>
      </c>
      <c r="V43" s="731" t="s">
        <v>770</v>
      </c>
      <c r="W43" s="406">
        <v>46173</v>
      </c>
    </row>
    <row r="44" spans="1:38" customHeight="1" ht="33.75">
      <c r="A44" s="722" t="s">
        <v>779</v>
      </c>
      <c r="B44" s="722" t="s">
        <v>780</v>
      </c>
      <c r="D44" s="722" t="s">
        <v>685</v>
      </c>
      <c r="E44" s="722" t="s">
        <v>781</v>
      </c>
      <c r="F44" s="722" t="s">
        <v>270</v>
      </c>
      <c r="G44" s="722" t="s">
        <v>255</v>
      </c>
      <c r="H44" s="308" t="str">
        <f>IF(ISBLANK(B44),"-",IF(ISERROR(FIND("вич",B44,1)),"ж","м"))</f>
        <v>ж</v>
      </c>
      <c r="I44" s="308" t="e">
        <v>#REF!</v>
      </c>
      <c r="J44" s="308" t="e">
        <v>#REF!</v>
      </c>
      <c r="K44" s="29" t="s">
        <v>130</v>
      </c>
      <c r="L44" s="308"/>
      <c r="M44" s="308"/>
      <c r="N44" s="308"/>
      <c r="O44" s="733">
        <v>1</v>
      </c>
      <c r="P44" s="731" t="s">
        <v>618</v>
      </c>
      <c r="Q44" s="308" t="str">
        <f>IF(R44="","включаем","не включаем")</f>
        <v>включаем</v>
      </c>
      <c r="R44" s="732"/>
      <c r="S44" s="308"/>
      <c r="T44" s="308" t="s">
        <v>566</v>
      </c>
      <c r="V44" s="731" t="s">
        <v>770</v>
      </c>
      <c r="W44" s="406">
        <v>46173</v>
      </c>
    </row>
    <row r="45" spans="1:38" customHeight="1" ht="33.75">
      <c r="A45" s="722" t="s">
        <v>782</v>
      </c>
      <c r="B45" s="722" t="s">
        <v>783</v>
      </c>
      <c r="D45" s="722" t="s">
        <v>784</v>
      </c>
      <c r="E45" s="723" t="s">
        <v>785</v>
      </c>
      <c r="F45" s="722" t="s">
        <v>270</v>
      </c>
      <c r="G45" s="722" t="s">
        <v>255</v>
      </c>
      <c r="H45" s="308" t="str">
        <f>IF(ISBLANK(B45),"-",IF(ISERROR(FIND("вич",B45,1)),"ж","м"))</f>
        <v>ж</v>
      </c>
      <c r="I45" s="308" t="e">
        <v>#REF!</v>
      </c>
      <c r="J45" s="308" t="e">
        <v>#REF!</v>
      </c>
      <c r="K45" s="29" t="s">
        <v>130</v>
      </c>
      <c r="L45" s="308"/>
      <c r="M45" s="308"/>
      <c r="N45" s="308"/>
      <c r="O45" s="733">
        <v>1</v>
      </c>
      <c r="P45" s="731" t="s">
        <v>618</v>
      </c>
      <c r="Q45" s="308" t="str">
        <f>IF(R45="","включаем","не включаем")</f>
        <v>включаем</v>
      </c>
      <c r="R45" s="732"/>
      <c r="S45" s="308"/>
      <c r="T45" s="308" t="s">
        <v>566</v>
      </c>
      <c r="V45" s="731" t="s">
        <v>770</v>
      </c>
      <c r="W45" s="406">
        <v>46173</v>
      </c>
    </row>
    <row r="46" spans="1:38" customHeight="1" ht="33.75">
      <c r="A46" s="722" t="s">
        <v>786</v>
      </c>
      <c r="B46" s="722" t="s">
        <v>787</v>
      </c>
      <c r="D46" s="722" t="s">
        <v>788</v>
      </c>
      <c r="E46" s="722" t="s">
        <v>789</v>
      </c>
      <c r="F46" s="722" t="s">
        <v>270</v>
      </c>
      <c r="G46" s="722" t="s">
        <v>255</v>
      </c>
      <c r="H46" s="308" t="str">
        <f>IF(ISBLANK(B46),"-",IF(ISERROR(FIND("вич",B46,1)),"ж","м"))</f>
        <v>ж</v>
      </c>
      <c r="I46" s="308" t="e">
        <v>#REF!</v>
      </c>
      <c r="J46" s="308" t="e">
        <v>#REF!</v>
      </c>
      <c r="K46" s="29" t="s">
        <v>130</v>
      </c>
      <c r="L46" s="308"/>
      <c r="M46" s="308"/>
      <c r="N46" s="308"/>
      <c r="O46" s="733">
        <v>1</v>
      </c>
      <c r="P46" s="731" t="s">
        <v>618</v>
      </c>
      <c r="Q46" s="308" t="str">
        <f>IF(R46="","включаем","не включаем")</f>
        <v>включаем</v>
      </c>
      <c r="R46" s="732"/>
      <c r="S46" s="308"/>
      <c r="T46" s="308" t="s">
        <v>566</v>
      </c>
      <c r="V46" s="731" t="s">
        <v>770</v>
      </c>
      <c r="W46" s="406">
        <v>46173</v>
      </c>
    </row>
    <row r="47" spans="1:38" customHeight="1" ht="67.5">
      <c r="A47" s="722" t="s">
        <v>790</v>
      </c>
      <c r="B47" s="722" t="s">
        <v>791</v>
      </c>
      <c r="D47" s="722" t="s">
        <v>792</v>
      </c>
      <c r="E47" s="722" t="s">
        <v>793</v>
      </c>
      <c r="F47" s="722" t="s">
        <v>270</v>
      </c>
      <c r="G47" s="722" t="s">
        <v>794</v>
      </c>
      <c r="H47" s="308" t="str">
        <f>IF(ISBLANK(B47),"-",IF(ISERROR(FIND("вич",B47,1)),"ж","м"))</f>
        <v>м</v>
      </c>
      <c r="I47" s="308" t="e">
        <v>#REF!</v>
      </c>
      <c r="J47" s="308" t="e">
        <v>#REF!</v>
      </c>
      <c r="K47" s="29" t="s">
        <v>130</v>
      </c>
      <c r="L47" s="308"/>
      <c r="M47" s="308"/>
      <c r="N47" s="308"/>
      <c r="O47" s="733">
        <v>1</v>
      </c>
      <c r="P47" s="731" t="s">
        <v>618</v>
      </c>
      <c r="Q47" s="308" t="str">
        <f>IF(R47="","включаем","не включаем")</f>
        <v>включаем</v>
      </c>
      <c r="R47" s="732"/>
      <c r="S47" s="308"/>
      <c r="T47" s="308" t="s">
        <v>566</v>
      </c>
      <c r="V47" s="731" t="s">
        <v>770</v>
      </c>
      <c r="W47" s="406">
        <v>46173</v>
      </c>
    </row>
    <row r="48" spans="1:38" customHeight="1" ht="33.75">
      <c r="A48" s="722" t="s">
        <v>795</v>
      </c>
      <c r="B48" s="722" t="s">
        <v>796</v>
      </c>
      <c r="D48" s="722" t="s">
        <v>797</v>
      </c>
      <c r="E48" s="722" t="s">
        <v>798</v>
      </c>
      <c r="F48" s="722" t="s">
        <v>270</v>
      </c>
      <c r="G48" s="722" t="s">
        <v>254</v>
      </c>
      <c r="H48" s="308" t="str">
        <f>IF(ISBLANK(B48),"-",IF(ISERROR(FIND("вич",B48,1)),"ж","м"))</f>
        <v>ж</v>
      </c>
      <c r="I48" s="308" t="e">
        <v>#REF!</v>
      </c>
      <c r="J48" s="308" t="e">
        <v>#REF!</v>
      </c>
      <c r="K48" s="29" t="s">
        <v>130</v>
      </c>
      <c r="L48" s="308"/>
      <c r="M48" s="308"/>
      <c r="N48" s="308"/>
      <c r="O48" s="733">
        <v>1</v>
      </c>
      <c r="P48" s="731" t="s">
        <v>618</v>
      </c>
      <c r="Q48" s="308" t="str">
        <f>IF(R48="","включаем","не включаем")</f>
        <v>включаем</v>
      </c>
      <c r="R48" s="732"/>
      <c r="S48" s="308"/>
      <c r="T48" s="308" t="s">
        <v>566</v>
      </c>
      <c r="V48" s="731" t="s">
        <v>770</v>
      </c>
      <c r="W48" s="406">
        <v>46173</v>
      </c>
    </row>
    <row r="49" spans="1:38" customHeight="1" ht="33.75">
      <c r="A49" s="722" t="s">
        <v>799</v>
      </c>
      <c r="B49" s="722" t="s">
        <v>800</v>
      </c>
      <c r="D49" s="722" t="s">
        <v>768</v>
      </c>
      <c r="E49" s="722" t="s">
        <v>801</v>
      </c>
      <c r="F49" s="722" t="s">
        <v>270</v>
      </c>
      <c r="G49" s="722" t="s">
        <v>254</v>
      </c>
      <c r="H49" s="308" t="str">
        <f>IF(ISBLANK(B49),"-",IF(ISERROR(FIND("вич",B49,1)),"ж","м"))</f>
        <v>м</v>
      </c>
      <c r="I49" s="308" t="e">
        <v>#REF!</v>
      </c>
      <c r="J49" s="308" t="e">
        <v>#REF!</v>
      </c>
      <c r="K49" s="29" t="s">
        <v>130</v>
      </c>
      <c r="L49" s="308"/>
      <c r="M49" s="308"/>
      <c r="N49" s="308"/>
      <c r="O49" s="733">
        <v>1</v>
      </c>
      <c r="P49" s="731" t="s">
        <v>618</v>
      </c>
      <c r="Q49" s="308" t="str">
        <f>IF(R49="","включаем","не включаем")</f>
        <v>включаем</v>
      </c>
      <c r="R49" s="732"/>
      <c r="S49" s="308"/>
      <c r="T49" s="308" t="s">
        <v>566</v>
      </c>
      <c r="V49" s="731" t="s">
        <v>770</v>
      </c>
      <c r="W49" s="406">
        <v>46173</v>
      </c>
    </row>
    <row r="50" spans="1:38" customHeight="1" ht="33.75">
      <c r="A50" s="722" t="s">
        <v>802</v>
      </c>
      <c r="B50" s="722" t="s">
        <v>803</v>
      </c>
      <c r="D50" s="722" t="s">
        <v>658</v>
      </c>
      <c r="E50" s="722" t="s">
        <v>804</v>
      </c>
      <c r="F50" s="722" t="s">
        <v>270</v>
      </c>
      <c r="G50" s="722" t="s">
        <v>254</v>
      </c>
      <c r="H50" s="308" t="str">
        <f>IF(ISBLANK(B50),"-",IF(ISERROR(FIND("вич",B50,1)),"ж","м"))</f>
        <v>ж</v>
      </c>
      <c r="I50" s="308" t="e">
        <v>#REF!</v>
      </c>
      <c r="J50" s="308" t="e">
        <v>#REF!</v>
      </c>
      <c r="K50" s="29" t="s">
        <v>130</v>
      </c>
      <c r="L50" s="308"/>
      <c r="M50" s="308"/>
      <c r="N50" s="308"/>
      <c r="O50" s="733">
        <v>1</v>
      </c>
      <c r="P50" s="731" t="s">
        <v>618</v>
      </c>
      <c r="Q50" s="308" t="str">
        <f>IF(R50="","включаем","не включаем")</f>
        <v>включаем</v>
      </c>
      <c r="R50" s="732"/>
      <c r="S50" s="308"/>
      <c r="T50" s="308" t="s">
        <v>566</v>
      </c>
      <c r="V50" s="731" t="s">
        <v>770</v>
      </c>
      <c r="W50" s="406">
        <v>46173</v>
      </c>
    </row>
    <row r="51" spans="1:38" customHeight="1" ht="33.75">
      <c r="A51" s="722" t="s">
        <v>805</v>
      </c>
      <c r="B51" s="722" t="s">
        <v>806</v>
      </c>
      <c r="D51" s="722" t="s">
        <v>807</v>
      </c>
      <c r="E51" s="722" t="s">
        <v>808</v>
      </c>
      <c r="F51" s="722" t="s">
        <v>270</v>
      </c>
      <c r="G51" s="722" t="s">
        <v>254</v>
      </c>
      <c r="H51" s="308" t="str">
        <f>IF(ISBLANK(B51),"-",IF(ISERROR(FIND("вич",B51,1)),"ж","м"))</f>
        <v>ж</v>
      </c>
      <c r="I51" s="308" t="e">
        <v>#REF!</v>
      </c>
      <c r="J51" s="308" t="e">
        <v>#REF!</v>
      </c>
      <c r="K51" s="29" t="s">
        <v>130</v>
      </c>
      <c r="L51" s="308"/>
      <c r="M51" s="308"/>
      <c r="N51" s="308"/>
      <c r="O51" s="733">
        <v>1</v>
      </c>
      <c r="P51" s="731" t="s">
        <v>618</v>
      </c>
      <c r="Q51" s="308" t="str">
        <f>IF(R51="","включаем","не включаем")</f>
        <v>включаем</v>
      </c>
      <c r="R51" s="732"/>
      <c r="S51" s="308"/>
      <c r="T51" s="308" t="s">
        <v>566</v>
      </c>
      <c r="V51" s="731" t="s">
        <v>770</v>
      </c>
      <c r="W51" s="406">
        <v>46173</v>
      </c>
    </row>
    <row r="52" spans="1:38" customHeight="1" ht="33.75">
      <c r="A52" s="722" t="s">
        <v>809</v>
      </c>
      <c r="B52" s="722" t="s">
        <v>810</v>
      </c>
      <c r="D52" s="722" t="s">
        <v>811</v>
      </c>
      <c r="E52" s="722" t="s">
        <v>812</v>
      </c>
      <c r="F52" s="722" t="s">
        <v>270</v>
      </c>
      <c r="G52" s="722" t="s">
        <v>254</v>
      </c>
      <c r="H52" s="308" t="str">
        <f>IF(ISBLANK(B52),"-",IF(ISERROR(FIND("вич",B52,1)),"ж","м"))</f>
        <v>ж</v>
      </c>
      <c r="I52" s="308" t="e">
        <v>#REF!</v>
      </c>
      <c r="J52" s="308" t="e">
        <v>#REF!</v>
      </c>
      <c r="K52" s="29" t="s">
        <v>130</v>
      </c>
      <c r="L52" s="308"/>
      <c r="M52" s="308"/>
      <c r="N52" s="308"/>
      <c r="O52" s="733">
        <v>1</v>
      </c>
      <c r="P52" s="731" t="s">
        <v>618</v>
      </c>
      <c r="Q52" s="308" t="str">
        <f>IF(R52="","включаем","не включаем")</f>
        <v>включаем</v>
      </c>
      <c r="R52" s="732"/>
      <c r="S52" s="308"/>
      <c r="T52" s="308" t="s">
        <v>566</v>
      </c>
      <c r="V52" s="731" t="s">
        <v>770</v>
      </c>
      <c r="W52" s="406">
        <v>46173</v>
      </c>
    </row>
    <row r="53" spans="1:38" customHeight="1" ht="33.75">
      <c r="A53" s="722" t="s">
        <v>813</v>
      </c>
      <c r="B53" s="722" t="s">
        <v>814</v>
      </c>
      <c r="D53" s="722" t="s">
        <v>815</v>
      </c>
      <c r="E53" s="722" t="s">
        <v>816</v>
      </c>
      <c r="F53" s="722" t="s">
        <v>136</v>
      </c>
      <c r="G53" s="722" t="s">
        <v>144</v>
      </c>
      <c r="H53" s="308" t="str">
        <f>IF(ISBLANK(B53),"-",IF(ISERROR(FIND("вич",B53,1)),"ж","м"))</f>
        <v>м</v>
      </c>
      <c r="I53" s="308" t="e">
        <v>#REF!</v>
      </c>
      <c r="J53" s="308" t="e">
        <v>#REF!</v>
      </c>
      <c r="K53" s="29" t="s">
        <v>143</v>
      </c>
      <c r="L53" s="308"/>
      <c r="M53" s="308"/>
      <c r="N53" s="308"/>
      <c r="O53" s="733">
        <v>1</v>
      </c>
      <c r="P53" s="731" t="s">
        <v>618</v>
      </c>
      <c r="Q53" s="308" t="str">
        <f>IF(R53="","включаем","не включаем")</f>
        <v>включаем</v>
      </c>
      <c r="R53" s="732"/>
      <c r="S53" s="308"/>
      <c r="T53" s="308" t="s">
        <v>566</v>
      </c>
      <c r="V53" s="731" t="s">
        <v>817</v>
      </c>
      <c r="W53" s="406">
        <v>46173</v>
      </c>
    </row>
    <row r="54" spans="1:38" customHeight="1" ht="22.5">
      <c r="A54" s="722" t="s">
        <v>818</v>
      </c>
      <c r="B54" s="722" t="s">
        <v>819</v>
      </c>
      <c r="D54" s="722" t="s">
        <v>820</v>
      </c>
      <c r="E54" s="722" t="s">
        <v>821</v>
      </c>
      <c r="F54" s="722" t="s">
        <v>136</v>
      </c>
      <c r="G54" s="722" t="s">
        <v>137</v>
      </c>
      <c r="H54" s="308" t="str">
        <f>IF(ISBLANK(B54),"-",IF(ISERROR(FIND("вич",B54,1)),"ж","м"))</f>
        <v>ж</v>
      </c>
      <c r="I54" s="308" t="e">
        <v>#REF!</v>
      </c>
      <c r="J54" s="308" t="e">
        <v>#REF!</v>
      </c>
      <c r="K54" s="29" t="s">
        <v>143</v>
      </c>
      <c r="L54" s="308"/>
      <c r="M54" s="308"/>
      <c r="N54" s="308"/>
      <c r="O54" s="733">
        <v>1</v>
      </c>
      <c r="P54" s="731" t="s">
        <v>618</v>
      </c>
      <c r="Q54" s="308" t="str">
        <f>IF(R54="","включаем","не включаем")</f>
        <v>включаем</v>
      </c>
      <c r="R54" s="732"/>
      <c r="S54" s="308"/>
      <c r="T54" s="308" t="s">
        <v>566</v>
      </c>
      <c r="V54" s="731" t="s">
        <v>817</v>
      </c>
      <c r="W54" s="406">
        <v>46173</v>
      </c>
    </row>
    <row r="55" spans="1:38" customHeight="1" ht="22.5">
      <c r="A55" s="722" t="s">
        <v>822</v>
      </c>
      <c r="B55" s="722" t="s">
        <v>823</v>
      </c>
      <c r="D55" s="722" t="s">
        <v>824</v>
      </c>
      <c r="E55" s="722" t="s">
        <v>825</v>
      </c>
      <c r="F55" s="722" t="s">
        <v>136</v>
      </c>
      <c r="G55" s="722" t="s">
        <v>137</v>
      </c>
      <c r="H55" s="308" t="str">
        <f>IF(ISBLANK(B55),"-",IF(ISERROR(FIND("вич",B55,1)),"ж","м"))</f>
        <v>ж</v>
      </c>
      <c r="I55" s="308" t="e">
        <v>#REF!</v>
      </c>
      <c r="J55" s="308" t="e">
        <v>#REF!</v>
      </c>
      <c r="K55" s="29" t="s">
        <v>143</v>
      </c>
      <c r="L55" s="308"/>
      <c r="M55" s="308"/>
      <c r="N55" s="308"/>
      <c r="O55" s="733">
        <v>1</v>
      </c>
      <c r="P55" s="731" t="s">
        <v>618</v>
      </c>
      <c r="Q55" s="308" t="str">
        <f>IF(R55="","включаем","не включаем")</f>
        <v>не включаем</v>
      </c>
      <c r="R55" s="732" t="s">
        <v>544</v>
      </c>
      <c r="S55" s="308"/>
      <c r="T55" s="308" t="s">
        <v>566</v>
      </c>
      <c r="V55" s="731" t="s">
        <v>817</v>
      </c>
      <c r="W55" s="406">
        <v>46173</v>
      </c>
    </row>
    <row r="56" spans="1:38" customHeight="1" ht="22.5">
      <c r="A56" s="722" t="s">
        <v>826</v>
      </c>
      <c r="B56" s="722" t="s">
        <v>827</v>
      </c>
      <c r="D56" s="722" t="s">
        <v>828</v>
      </c>
      <c r="E56" s="722" t="s">
        <v>829</v>
      </c>
      <c r="F56" s="722" t="s">
        <v>136</v>
      </c>
      <c r="G56" s="722" t="s">
        <v>149</v>
      </c>
      <c r="H56" s="308" t="str">
        <f>IF(ISBLANK(B56),"-",IF(ISERROR(FIND("вич",B56,1)),"ж","м"))</f>
        <v>м</v>
      </c>
      <c r="I56" s="308" t="e">
        <v>#REF!</v>
      </c>
      <c r="J56" s="308" t="e">
        <v>#REF!</v>
      </c>
      <c r="K56" s="29" t="s">
        <v>143</v>
      </c>
      <c r="L56" s="308"/>
      <c r="M56" s="308"/>
      <c r="N56" s="308"/>
      <c r="O56" s="733">
        <v>1</v>
      </c>
      <c r="P56" s="731" t="s">
        <v>618</v>
      </c>
      <c r="Q56" s="308" t="str">
        <f>IF(R56="","включаем","не включаем")</f>
        <v>включаем</v>
      </c>
      <c r="R56" s="732"/>
      <c r="S56" s="308"/>
      <c r="T56" s="308" t="s">
        <v>566</v>
      </c>
      <c r="V56" s="731" t="s">
        <v>817</v>
      </c>
      <c r="W56" s="406">
        <v>46173</v>
      </c>
    </row>
    <row r="57" spans="1:38" customHeight="1" ht="33.75">
      <c r="A57" s="722" t="s">
        <v>830</v>
      </c>
      <c r="B57" s="722" t="s">
        <v>831</v>
      </c>
      <c r="D57" s="722" t="s">
        <v>832</v>
      </c>
      <c r="E57" s="722" t="s">
        <v>833</v>
      </c>
      <c r="F57" s="722" t="s">
        <v>150</v>
      </c>
      <c r="G57" s="722" t="s">
        <v>144</v>
      </c>
      <c r="H57" s="308" t="str">
        <f>IF(ISBLANK(B57),"-",IF(ISERROR(FIND("вич",B57,1)),"ж","м"))</f>
        <v>м</v>
      </c>
      <c r="I57" s="308" t="e">
        <v>#REF!</v>
      </c>
      <c r="J57" s="308" t="e">
        <v>#REF!</v>
      </c>
      <c r="K57" s="29" t="s">
        <v>143</v>
      </c>
      <c r="L57" s="308"/>
      <c r="M57" s="308"/>
      <c r="N57" s="308"/>
      <c r="O57" s="733">
        <v>1</v>
      </c>
      <c r="P57" s="731" t="s">
        <v>618</v>
      </c>
      <c r="Q57" s="308" t="str">
        <f>IF(R57="","включаем","не включаем")</f>
        <v>включаем</v>
      </c>
      <c r="R57" s="732"/>
      <c r="S57" s="308"/>
      <c r="T57" s="308" t="s">
        <v>566</v>
      </c>
      <c r="V57" s="731" t="s">
        <v>817</v>
      </c>
      <c r="W57" s="406">
        <v>46173</v>
      </c>
    </row>
    <row r="58" spans="1:38" customHeight="1" ht="22.5">
      <c r="A58" s="722" t="s">
        <v>809</v>
      </c>
      <c r="B58" s="722" t="s">
        <v>834</v>
      </c>
      <c r="D58" s="722" t="s">
        <v>835</v>
      </c>
      <c r="E58" s="723" t="s">
        <v>836</v>
      </c>
      <c r="F58" s="722" t="s">
        <v>150</v>
      </c>
      <c r="G58" s="722" t="s">
        <v>137</v>
      </c>
      <c r="H58" s="308" t="str">
        <f>IF(ISBLANK(B58),"-",IF(ISERROR(FIND("вич",B58,1)),"ж","м"))</f>
        <v>ж</v>
      </c>
      <c r="I58" s="308" t="e">
        <v>#REF!</v>
      </c>
      <c r="J58" s="308" t="e">
        <v>#REF!</v>
      </c>
      <c r="K58" s="29" t="s">
        <v>143</v>
      </c>
      <c r="L58" s="308"/>
      <c r="M58" s="308"/>
      <c r="N58" s="308"/>
      <c r="O58" s="733">
        <v>1</v>
      </c>
      <c r="P58" s="731" t="s">
        <v>618</v>
      </c>
      <c r="Q58" s="308" t="str">
        <f>IF(R58="","включаем","не включаем")</f>
        <v>включаем</v>
      </c>
      <c r="R58" s="732"/>
      <c r="S58" s="308"/>
      <c r="T58" s="308" t="s">
        <v>566</v>
      </c>
      <c r="V58" s="731" t="s">
        <v>817</v>
      </c>
      <c r="W58" s="406">
        <v>46173</v>
      </c>
    </row>
    <row r="59" spans="1:38" customHeight="1" ht="33.75">
      <c r="A59" s="722" t="s">
        <v>837</v>
      </c>
      <c r="B59" s="722" t="s">
        <v>838</v>
      </c>
      <c r="D59" s="722" t="s">
        <v>839</v>
      </c>
      <c r="E59" s="722" t="s">
        <v>840</v>
      </c>
      <c r="F59" s="722" t="s">
        <v>165</v>
      </c>
      <c r="G59" s="722" t="s">
        <v>144</v>
      </c>
      <c r="H59" s="308" t="str">
        <f>IF(ISBLANK(B59),"-",IF(ISERROR(FIND("вич",B59,1)),"ж","м"))</f>
        <v>м</v>
      </c>
      <c r="I59" s="308" t="e">
        <v>#REF!</v>
      </c>
      <c r="J59" s="308" t="e">
        <v>#REF!</v>
      </c>
      <c r="K59" s="29" t="s">
        <v>143</v>
      </c>
      <c r="L59" s="308"/>
      <c r="M59" s="308"/>
      <c r="N59" s="308"/>
      <c r="O59" s="733">
        <v>1</v>
      </c>
      <c r="P59" s="731" t="s">
        <v>618</v>
      </c>
      <c r="Q59" s="308" t="str">
        <f>IF(R59="","включаем","не включаем")</f>
        <v>включаем</v>
      </c>
      <c r="R59" s="732"/>
      <c r="S59" s="308"/>
      <c r="T59" s="308" t="s">
        <v>566</v>
      </c>
      <c r="V59" s="731" t="s">
        <v>817</v>
      </c>
      <c r="W59" s="406">
        <v>46173</v>
      </c>
    </row>
    <row r="60" spans="1:38" customHeight="1" ht="22.5">
      <c r="A60" s="722" t="s">
        <v>841</v>
      </c>
      <c r="B60" s="722" t="s">
        <v>842</v>
      </c>
      <c r="D60" s="722" t="s">
        <v>843</v>
      </c>
      <c r="E60" s="722" t="s">
        <v>844</v>
      </c>
      <c r="F60" s="722" t="s">
        <v>165</v>
      </c>
      <c r="G60" s="722" t="s">
        <v>137</v>
      </c>
      <c r="H60" s="308" t="str">
        <f>IF(ISBLANK(B60),"-",IF(ISERROR(FIND("вич",B60,1)),"ж","м"))</f>
        <v>ж</v>
      </c>
      <c r="I60" s="308" t="e">
        <v>#REF!</v>
      </c>
      <c r="J60" s="308" t="e">
        <v>#REF!</v>
      </c>
      <c r="K60" s="29" t="s">
        <v>143</v>
      </c>
      <c r="L60" s="308"/>
      <c r="M60" s="308"/>
      <c r="N60" s="308"/>
      <c r="O60" s="733">
        <v>1</v>
      </c>
      <c r="P60" s="731" t="s">
        <v>618</v>
      </c>
      <c r="Q60" s="308" t="str">
        <f>IF(R60="","включаем","не включаем")</f>
        <v>включаем</v>
      </c>
      <c r="R60" s="732"/>
      <c r="S60" s="308"/>
      <c r="T60" s="308" t="s">
        <v>566</v>
      </c>
      <c r="V60" s="731" t="s">
        <v>817</v>
      </c>
      <c r="W60" s="406">
        <v>46173</v>
      </c>
    </row>
    <row r="61" spans="1:38" customHeight="1" ht="33.75">
      <c r="A61" s="722" t="s">
        <v>845</v>
      </c>
      <c r="B61" s="722" t="s">
        <v>846</v>
      </c>
      <c r="D61" s="722" t="s">
        <v>847</v>
      </c>
      <c r="E61" s="722" t="s">
        <v>848</v>
      </c>
      <c r="F61" s="722" t="s">
        <v>170</v>
      </c>
      <c r="G61" s="722" t="s">
        <v>144</v>
      </c>
      <c r="H61" s="308" t="str">
        <f>IF(ISBLANK(B61),"-",IF(ISERROR(FIND("вич",B61,1)),"ж","м"))</f>
        <v>м</v>
      </c>
      <c r="I61" s="308" t="e">
        <v>#REF!</v>
      </c>
      <c r="J61" s="308" t="e">
        <v>#REF!</v>
      </c>
      <c r="K61" s="29" t="s">
        <v>143</v>
      </c>
      <c r="L61" s="308"/>
      <c r="M61" s="308"/>
      <c r="N61" s="308"/>
      <c r="O61" s="733">
        <v>1</v>
      </c>
      <c r="P61" s="731" t="s">
        <v>618</v>
      </c>
      <c r="Q61" s="308" t="str">
        <f>IF(R61="","включаем","не включаем")</f>
        <v>включаем</v>
      </c>
      <c r="R61" s="732"/>
      <c r="S61" s="308"/>
      <c r="T61" s="308" t="s">
        <v>566</v>
      </c>
      <c r="V61" s="731" t="s">
        <v>817</v>
      </c>
      <c r="W61" s="406">
        <v>46173</v>
      </c>
    </row>
    <row r="62" spans="1:38" customHeight="1" ht="22.5">
      <c r="A62" s="722" t="s">
        <v>849</v>
      </c>
      <c r="B62" s="722" t="s">
        <v>850</v>
      </c>
      <c r="D62" s="722" t="s">
        <v>851</v>
      </c>
      <c r="E62" s="722" t="s">
        <v>852</v>
      </c>
      <c r="F62" s="722" t="s">
        <v>170</v>
      </c>
      <c r="G62" s="722" t="s">
        <v>137</v>
      </c>
      <c r="H62" s="308" t="str">
        <f>IF(ISBLANK(B62),"-",IF(ISERROR(FIND("вич",B62,1)),"ж","м"))</f>
        <v>ж</v>
      </c>
      <c r="I62" s="308" t="e">
        <v>#REF!</v>
      </c>
      <c r="J62" s="308" t="e">
        <v>#REF!</v>
      </c>
      <c r="K62" s="29" t="s">
        <v>143</v>
      </c>
      <c r="L62" s="308"/>
      <c r="M62" s="308"/>
      <c r="N62" s="308"/>
      <c r="O62" s="733">
        <v>1</v>
      </c>
      <c r="P62" s="731" t="s">
        <v>618</v>
      </c>
      <c r="Q62" s="308" t="str">
        <f>IF(R62="","включаем","не включаем")</f>
        <v>включаем</v>
      </c>
      <c r="R62" s="732"/>
      <c r="S62" s="308"/>
      <c r="T62" s="308" t="s">
        <v>566</v>
      </c>
      <c r="V62" s="731" t="s">
        <v>817</v>
      </c>
      <c r="W62" s="406">
        <v>46173</v>
      </c>
    </row>
    <row r="63" spans="1:38" customHeight="1" ht="22.5">
      <c r="A63" s="722" t="s">
        <v>853</v>
      </c>
      <c r="B63" s="722" t="s">
        <v>854</v>
      </c>
      <c r="D63" s="722" t="s">
        <v>855</v>
      </c>
      <c r="E63" s="722" t="s">
        <v>856</v>
      </c>
      <c r="F63" s="722" t="s">
        <v>170</v>
      </c>
      <c r="G63" s="722" t="s">
        <v>149</v>
      </c>
      <c r="H63" s="308" t="str">
        <f>IF(ISBLANK(B63),"-",IF(ISERROR(FIND("вич",B63,1)),"ж","м"))</f>
        <v>м</v>
      </c>
      <c r="I63" s="308" t="e">
        <v>#REF!</v>
      </c>
      <c r="J63" s="308" t="e">
        <v>#REF!</v>
      </c>
      <c r="K63" s="29" t="s">
        <v>143</v>
      </c>
      <c r="L63" s="308"/>
      <c r="M63" s="308"/>
      <c r="N63" s="308"/>
      <c r="O63" s="733">
        <v>1</v>
      </c>
      <c r="P63" s="731" t="s">
        <v>618</v>
      </c>
      <c r="Q63" s="308" t="str">
        <f>IF(R63="","включаем","не включаем")</f>
        <v>включаем</v>
      </c>
      <c r="R63" s="732"/>
      <c r="S63" s="308"/>
      <c r="T63" s="308" t="s">
        <v>566</v>
      </c>
      <c r="V63" s="731" t="s">
        <v>817</v>
      </c>
      <c r="W63" s="406">
        <v>46173</v>
      </c>
    </row>
    <row r="64" spans="1:38" customHeight="1" ht="33.75">
      <c r="A64" s="722" t="s">
        <v>857</v>
      </c>
      <c r="B64" s="722" t="s">
        <v>858</v>
      </c>
      <c r="D64" s="722" t="s">
        <v>859</v>
      </c>
      <c r="E64" s="722" t="s">
        <v>860</v>
      </c>
      <c r="F64" s="722" t="s">
        <v>236</v>
      </c>
      <c r="G64" s="722" t="s">
        <v>144</v>
      </c>
      <c r="H64" s="308" t="str">
        <f>IF(ISBLANK(B64),"-",IF(ISERROR(FIND("вич",B64,1)),"ж","м"))</f>
        <v>м</v>
      </c>
      <c r="I64" s="308" t="e">
        <v>#REF!</v>
      </c>
      <c r="J64" s="308" t="e">
        <v>#REF!</v>
      </c>
      <c r="K64" s="29" t="s">
        <v>143</v>
      </c>
      <c r="L64" s="308"/>
      <c r="M64" s="308"/>
      <c r="N64" s="308"/>
      <c r="O64" s="733">
        <v>1</v>
      </c>
      <c r="P64" s="731" t="s">
        <v>618</v>
      </c>
      <c r="Q64" s="308" t="str">
        <f>IF(R64="","включаем","не включаем")</f>
        <v>включаем</v>
      </c>
      <c r="R64" s="732"/>
      <c r="S64" s="308"/>
      <c r="T64" s="308" t="s">
        <v>566</v>
      </c>
      <c r="V64" s="731" t="s">
        <v>817</v>
      </c>
      <c r="W64" s="406">
        <v>46173</v>
      </c>
    </row>
    <row r="65" spans="1:38" customHeight="1" ht="22.5">
      <c r="A65" s="722" t="s">
        <v>861</v>
      </c>
      <c r="B65" s="722" t="s">
        <v>862</v>
      </c>
      <c r="D65" s="722" t="s">
        <v>863</v>
      </c>
      <c r="E65" s="722" t="s">
        <v>864</v>
      </c>
      <c r="F65" s="722" t="s">
        <v>236</v>
      </c>
      <c r="G65" s="722" t="s">
        <v>137</v>
      </c>
      <c r="H65" s="308" t="str">
        <f>IF(ISBLANK(B65),"-",IF(ISERROR(FIND("вич",B65,1)),"ж","м"))</f>
        <v>ж</v>
      </c>
      <c r="I65" s="308" t="e">
        <v>#REF!</v>
      </c>
      <c r="J65" s="308" t="e">
        <v>#REF!</v>
      </c>
      <c r="K65" s="29" t="s">
        <v>143</v>
      </c>
      <c r="L65" s="308"/>
      <c r="M65" s="308"/>
      <c r="N65" s="308"/>
      <c r="O65" s="733">
        <v>1</v>
      </c>
      <c r="P65" s="731" t="s">
        <v>618</v>
      </c>
      <c r="Q65" s="308" t="str">
        <f>IF(R65="","включаем","не включаем")</f>
        <v>включаем</v>
      </c>
      <c r="R65" s="732"/>
      <c r="S65" s="308"/>
      <c r="T65" s="308" t="s">
        <v>566</v>
      </c>
      <c r="V65" s="731" t="s">
        <v>817</v>
      </c>
      <c r="W65" s="406">
        <v>46173</v>
      </c>
    </row>
    <row r="66" spans="1:38" customHeight="1" ht="33.75">
      <c r="A66" s="722" t="s">
        <v>865</v>
      </c>
      <c r="B66" s="722" t="s">
        <v>866</v>
      </c>
      <c r="D66" s="722" t="s">
        <v>867</v>
      </c>
      <c r="E66" s="722" t="s">
        <v>868</v>
      </c>
      <c r="F66" s="722" t="s">
        <v>344</v>
      </c>
      <c r="G66" s="722" t="s">
        <v>144</v>
      </c>
      <c r="H66" s="308" t="str">
        <f>IF(ISBLANK(B66),"-",IF(ISERROR(FIND("вич",B66,1)),"ж","м"))</f>
        <v>м</v>
      </c>
      <c r="I66" s="308" t="e">
        <v>#REF!</v>
      </c>
      <c r="J66" s="308" t="e">
        <v>#REF!</v>
      </c>
      <c r="K66" s="29" t="s">
        <v>143</v>
      </c>
      <c r="L66" s="308"/>
      <c r="M66" s="308"/>
      <c r="N66" s="308"/>
      <c r="O66" s="733">
        <v>1</v>
      </c>
      <c r="P66" s="731" t="s">
        <v>618</v>
      </c>
      <c r="Q66" s="308" t="str">
        <f>IF(R66="","включаем","не включаем")</f>
        <v>включаем</v>
      </c>
      <c r="R66" s="732"/>
      <c r="S66" s="308"/>
      <c r="T66" s="308" t="s">
        <v>566</v>
      </c>
      <c r="V66" s="731" t="s">
        <v>817</v>
      </c>
      <c r="W66" s="406">
        <v>46173</v>
      </c>
    </row>
    <row r="67" spans="1:38" customHeight="1" ht="22.5">
      <c r="A67" s="722" t="s">
        <v>869</v>
      </c>
      <c r="B67" s="722" t="s">
        <v>870</v>
      </c>
      <c r="D67" s="722" t="s">
        <v>871</v>
      </c>
      <c r="E67" s="723" t="s">
        <v>872</v>
      </c>
      <c r="F67" s="722" t="s">
        <v>344</v>
      </c>
      <c r="G67" s="722" t="s">
        <v>137</v>
      </c>
      <c r="H67" s="308" t="str">
        <f>IF(ISBLANK(B67),"-",IF(ISERROR(FIND("вич",B67,1)),"ж","м"))</f>
        <v>ж</v>
      </c>
      <c r="I67" s="308" t="e">
        <v>#REF!</v>
      </c>
      <c r="J67" s="308" t="e">
        <v>#REF!</v>
      </c>
      <c r="K67" s="29" t="s">
        <v>143</v>
      </c>
      <c r="L67" s="308"/>
      <c r="M67" s="308"/>
      <c r="N67" s="308"/>
      <c r="O67" s="733">
        <v>1</v>
      </c>
      <c r="P67" s="731" t="s">
        <v>618</v>
      </c>
      <c r="Q67" s="308" t="str">
        <f>IF(R67="","включаем","не включаем")</f>
        <v>включаем</v>
      </c>
      <c r="R67" s="732"/>
      <c r="S67" s="308"/>
      <c r="T67" s="308" t="s">
        <v>566</v>
      </c>
      <c r="V67" s="731" t="s">
        <v>817</v>
      </c>
      <c r="W67" s="406">
        <v>46173</v>
      </c>
    </row>
    <row r="68" spans="1:38" customHeight="1" ht="22.5">
      <c r="A68" s="722" t="s">
        <v>771</v>
      </c>
      <c r="B68" s="722" t="s">
        <v>873</v>
      </c>
      <c r="D68" s="722" t="s">
        <v>874</v>
      </c>
      <c r="E68" s="723" t="s">
        <v>875</v>
      </c>
      <c r="F68" s="722" t="s">
        <v>344</v>
      </c>
      <c r="G68" s="722" t="s">
        <v>149</v>
      </c>
      <c r="H68" s="308" t="str">
        <f>IF(ISBLANK(B68),"-",IF(ISERROR(FIND("вич",B68,1)),"ж","м"))</f>
        <v>м</v>
      </c>
      <c r="I68" s="308" t="e">
        <v>#REF!</v>
      </c>
      <c r="J68" s="308" t="e">
        <v>#REF!</v>
      </c>
      <c r="K68" s="29" t="s">
        <v>143</v>
      </c>
      <c r="L68" s="308"/>
      <c r="M68" s="308"/>
      <c r="N68" s="308"/>
      <c r="O68" s="733">
        <v>1</v>
      </c>
      <c r="P68" s="731" t="s">
        <v>618</v>
      </c>
      <c r="Q68" s="308" t="str">
        <f>IF(R68="","включаем","не включаем")</f>
        <v>включаем</v>
      </c>
      <c r="R68" s="732"/>
      <c r="S68" s="308"/>
      <c r="T68" s="308" t="s">
        <v>566</v>
      </c>
      <c r="V68" s="731" t="s">
        <v>817</v>
      </c>
      <c r="W68" s="406">
        <v>46173</v>
      </c>
    </row>
    <row r="69" spans="1:38" customHeight="1" ht="22.5">
      <c r="A69" s="722" t="s">
        <v>876</v>
      </c>
      <c r="B69" s="722" t="s">
        <v>877</v>
      </c>
      <c r="D69" s="722" t="s">
        <v>878</v>
      </c>
      <c r="E69" s="722" t="s">
        <v>879</v>
      </c>
      <c r="F69" s="722" t="s">
        <v>344</v>
      </c>
      <c r="G69" s="722" t="s">
        <v>149</v>
      </c>
      <c r="H69" s="308" t="str">
        <f>IF(ISBLANK(B69),"-",IF(ISERROR(FIND("вич",B69,1)),"ж","м"))</f>
        <v>м</v>
      </c>
      <c r="I69" s="308" t="e">
        <v>#REF!</v>
      </c>
      <c r="J69" s="308" t="e">
        <v>#REF!</v>
      </c>
      <c r="K69" s="29" t="s">
        <v>143</v>
      </c>
      <c r="L69" s="308"/>
      <c r="M69" s="308"/>
      <c r="N69" s="308"/>
      <c r="O69" s="733">
        <v>1</v>
      </c>
      <c r="P69" s="731" t="s">
        <v>618</v>
      </c>
      <c r="Q69" s="308" t="str">
        <f>IF(R69="","включаем","не включаем")</f>
        <v>включаем</v>
      </c>
      <c r="R69" s="732"/>
      <c r="S69" s="308"/>
      <c r="T69" s="308" t="s">
        <v>566</v>
      </c>
      <c r="V69" s="731" t="s">
        <v>817</v>
      </c>
      <c r="W69" s="406">
        <v>46173</v>
      </c>
    </row>
    <row r="70" spans="1:38" customHeight="1" ht="22.5">
      <c r="A70" s="722" t="s">
        <v>880</v>
      </c>
      <c r="B70" s="722" t="s">
        <v>881</v>
      </c>
      <c r="D70" s="722" t="s">
        <v>882</v>
      </c>
      <c r="E70" s="723" t="s">
        <v>883</v>
      </c>
      <c r="F70" s="722" t="s">
        <v>344</v>
      </c>
      <c r="G70" s="722" t="s">
        <v>149</v>
      </c>
      <c r="H70" s="308" t="str">
        <f>IF(ISBLANK(B70),"-",IF(ISERROR(FIND("вич",B70,1)),"ж","м"))</f>
        <v>м</v>
      </c>
      <c r="I70" s="308" t="e">
        <v>#REF!</v>
      </c>
      <c r="J70" s="308" t="e">
        <v>#REF!</v>
      </c>
      <c r="K70" s="29" t="s">
        <v>143</v>
      </c>
      <c r="L70" s="308"/>
      <c r="M70" s="308"/>
      <c r="N70" s="308"/>
      <c r="O70" s="733">
        <v>1</v>
      </c>
      <c r="P70" s="731" t="s">
        <v>618</v>
      </c>
      <c r="Q70" s="308" t="str">
        <f>IF(R70="","включаем","не включаем")</f>
        <v>включаем</v>
      </c>
      <c r="R70" s="732"/>
      <c r="S70" s="308"/>
      <c r="T70" s="308" t="s">
        <v>566</v>
      </c>
      <c r="V70" s="731" t="s">
        <v>817</v>
      </c>
      <c r="W70" s="406">
        <v>46173</v>
      </c>
    </row>
    <row r="71" spans="1:38" customHeight="1" ht="22.5">
      <c r="A71" s="722" t="s">
        <v>884</v>
      </c>
      <c r="B71" s="722" t="s">
        <v>885</v>
      </c>
      <c r="D71" s="722" t="s">
        <v>886</v>
      </c>
      <c r="E71" s="722" t="s">
        <v>887</v>
      </c>
      <c r="F71" s="722" t="s">
        <v>344</v>
      </c>
      <c r="G71" s="722" t="s">
        <v>149</v>
      </c>
      <c r="H71" s="308" t="str">
        <f>IF(ISBLANK(B71),"-",IF(ISERROR(FIND("вич",B71,1)),"ж","м"))</f>
        <v>м</v>
      </c>
      <c r="I71" s="308" t="e">
        <v>#REF!</v>
      </c>
      <c r="J71" s="308" t="e">
        <v>#REF!</v>
      </c>
      <c r="K71" s="29" t="s">
        <v>143</v>
      </c>
      <c r="L71" s="308"/>
      <c r="M71" s="308"/>
      <c r="N71" s="308"/>
      <c r="O71" s="733">
        <v>1</v>
      </c>
      <c r="P71" s="731" t="s">
        <v>618</v>
      </c>
      <c r="Q71" s="308" t="str">
        <f>IF(R71="","включаем","не включаем")</f>
        <v>включаем</v>
      </c>
      <c r="R71" s="732"/>
      <c r="S71" s="308"/>
      <c r="T71" s="308" t="s">
        <v>566</v>
      </c>
      <c r="V71" s="731" t="s">
        <v>817</v>
      </c>
      <c r="W71" s="406">
        <v>46173</v>
      </c>
    </row>
    <row r="72" spans="1:38" customHeight="1" ht="22.5">
      <c r="A72" s="722" t="s">
        <v>888</v>
      </c>
      <c r="B72" s="722" t="s">
        <v>889</v>
      </c>
      <c r="D72" s="722" t="s">
        <v>890</v>
      </c>
      <c r="E72" s="722" t="s">
        <v>891</v>
      </c>
      <c r="F72" s="722" t="s">
        <v>344</v>
      </c>
      <c r="G72" s="722" t="s">
        <v>149</v>
      </c>
      <c r="H72" s="308" t="str">
        <f>IF(ISBLANK(B72),"-",IF(ISERROR(FIND("вич",B72,1)),"ж","м"))</f>
        <v>м</v>
      </c>
      <c r="I72" s="308" t="e">
        <v>#REF!</v>
      </c>
      <c r="J72" s="308" t="e">
        <v>#REF!</v>
      </c>
      <c r="K72" s="29" t="s">
        <v>143</v>
      </c>
      <c r="L72" s="308"/>
      <c r="M72" s="308"/>
      <c r="N72" s="308"/>
      <c r="O72" s="733">
        <v>1</v>
      </c>
      <c r="P72" s="731" t="s">
        <v>618</v>
      </c>
      <c r="Q72" s="308" t="str">
        <f>IF(R72="","включаем","не включаем")</f>
        <v>включаем</v>
      </c>
      <c r="R72" s="732"/>
      <c r="S72" s="308"/>
      <c r="T72" s="308" t="s">
        <v>566</v>
      </c>
      <c r="V72" s="731" t="s">
        <v>817</v>
      </c>
      <c r="W72" s="406">
        <v>46173</v>
      </c>
    </row>
    <row r="73" spans="1:38" customHeight="1" ht="22.5">
      <c r="A73" s="722" t="s">
        <v>892</v>
      </c>
      <c r="B73" s="722" t="s">
        <v>893</v>
      </c>
      <c r="D73" s="722" t="s">
        <v>894</v>
      </c>
      <c r="E73" s="722" t="s">
        <v>895</v>
      </c>
      <c r="F73" s="722" t="s">
        <v>344</v>
      </c>
      <c r="G73" s="722" t="s">
        <v>345</v>
      </c>
      <c r="H73" s="308" t="str">
        <f>IF(ISBLANK(B73),"-",IF(ISERROR(FIND("вич",B73,1)),"ж","м"))</f>
        <v>ж</v>
      </c>
      <c r="I73" s="308" t="e">
        <v>#REF!</v>
      </c>
      <c r="J73" s="308" t="e">
        <v>#REF!</v>
      </c>
      <c r="K73" s="29" t="s">
        <v>143</v>
      </c>
      <c r="L73" s="308"/>
      <c r="M73" s="308"/>
      <c r="N73" s="308"/>
      <c r="O73" s="733">
        <v>1</v>
      </c>
      <c r="P73" s="731" t="s">
        <v>618</v>
      </c>
      <c r="Q73" s="308" t="str">
        <f>IF(R73="","включаем","не включаем")</f>
        <v>включаем</v>
      </c>
      <c r="R73" s="732"/>
      <c r="S73" s="308"/>
      <c r="T73" s="308" t="s">
        <v>566</v>
      </c>
      <c r="V73" s="731" t="s">
        <v>817</v>
      </c>
      <c r="W73" s="406">
        <v>46173</v>
      </c>
    </row>
    <row r="74" spans="1:38" customHeight="1" ht="33.75">
      <c r="A74" s="722" t="s">
        <v>896</v>
      </c>
      <c r="B74" s="722" t="s">
        <v>897</v>
      </c>
      <c r="D74" s="722" t="s">
        <v>898</v>
      </c>
      <c r="E74" s="722" t="s">
        <v>899</v>
      </c>
      <c r="F74" s="722" t="s">
        <v>418</v>
      </c>
      <c r="G74" s="722" t="s">
        <v>144</v>
      </c>
      <c r="H74" s="308" t="str">
        <f>IF(ISBLANK(B74),"-",IF(ISERROR(FIND("вич",B74,1)),"ж","м"))</f>
        <v>м</v>
      </c>
      <c r="I74" s="308" t="e">
        <v>#REF!</v>
      </c>
      <c r="J74" s="308" t="e">
        <v>#REF!</v>
      </c>
      <c r="K74" s="29" t="s">
        <v>143</v>
      </c>
      <c r="L74" s="308"/>
      <c r="M74" s="308"/>
      <c r="N74" s="308"/>
      <c r="O74" s="733">
        <v>1</v>
      </c>
      <c r="P74" s="731" t="s">
        <v>618</v>
      </c>
      <c r="Q74" s="308" t="str">
        <f>IF(R74="","включаем","не включаем")</f>
        <v>включаем</v>
      </c>
      <c r="R74" s="732"/>
      <c r="S74" s="308"/>
      <c r="T74" s="308" t="s">
        <v>566</v>
      </c>
      <c r="V74" s="731" t="s">
        <v>817</v>
      </c>
      <c r="W74" s="406">
        <v>46173</v>
      </c>
    </row>
    <row r="75" spans="1:38" customHeight="1" ht="22.5">
      <c r="A75" s="722" t="s">
        <v>900</v>
      </c>
      <c r="B75" s="722" t="s">
        <v>901</v>
      </c>
      <c r="D75" s="722" t="s">
        <v>902</v>
      </c>
      <c r="E75" s="722" t="s">
        <v>903</v>
      </c>
      <c r="F75" s="722" t="s">
        <v>418</v>
      </c>
      <c r="G75" s="722" t="s">
        <v>137</v>
      </c>
      <c r="H75" s="308" t="str">
        <f>IF(ISBLANK(B75),"-",IF(ISERROR(FIND("вич",B75,1)),"ж","м"))</f>
        <v>ж</v>
      </c>
      <c r="I75" s="308" t="e">
        <v>#REF!</v>
      </c>
      <c r="J75" s="308" t="e">
        <v>#REF!</v>
      </c>
      <c r="K75" s="29" t="s">
        <v>143</v>
      </c>
      <c r="L75" s="308"/>
      <c r="M75" s="308"/>
      <c r="N75" s="308"/>
      <c r="O75" s="733">
        <v>1</v>
      </c>
      <c r="P75" s="731" t="s">
        <v>618</v>
      </c>
      <c r="Q75" s="308" t="str">
        <f>IF(R75="","включаем","не включаем")</f>
        <v>включаем</v>
      </c>
      <c r="R75" s="732"/>
      <c r="S75" s="308"/>
      <c r="T75" s="308" t="s">
        <v>566</v>
      </c>
      <c r="V75" s="731" t="s">
        <v>817</v>
      </c>
      <c r="W75" s="406">
        <v>46173</v>
      </c>
    </row>
    <row r="76" spans="1:38" customHeight="1" ht="33.75">
      <c r="A76" s="722" t="s">
        <v>904</v>
      </c>
      <c r="B76" s="722" t="s">
        <v>905</v>
      </c>
      <c r="D76" s="722" t="s">
        <v>906</v>
      </c>
      <c r="E76" s="722" t="s">
        <v>907</v>
      </c>
      <c r="F76" s="722" t="s">
        <v>450</v>
      </c>
      <c r="G76" s="722" t="s">
        <v>144</v>
      </c>
      <c r="H76" s="308" t="str">
        <f>IF(ISBLANK(B76),"-",IF(ISERROR(FIND("вич",B76,1)),"ж","м"))</f>
        <v>м</v>
      </c>
      <c r="I76" s="308" t="e">
        <v>#REF!</v>
      </c>
      <c r="J76" s="308" t="e">
        <v>#REF!</v>
      </c>
      <c r="K76" s="29" t="s">
        <v>143</v>
      </c>
      <c r="L76" s="308"/>
      <c r="M76" s="308"/>
      <c r="N76" s="308"/>
      <c r="O76" s="733">
        <v>1</v>
      </c>
      <c r="P76" s="731" t="s">
        <v>618</v>
      </c>
      <c r="Q76" s="308" t="str">
        <f>IF(R76="","включаем","не включаем")</f>
        <v>включаем</v>
      </c>
      <c r="R76" s="732"/>
      <c r="S76" s="308"/>
      <c r="T76" s="308" t="s">
        <v>566</v>
      </c>
      <c r="V76" s="731" t="s">
        <v>817</v>
      </c>
      <c r="W76" s="406">
        <v>46173</v>
      </c>
    </row>
    <row r="77" spans="1:38" customHeight="1" ht="22.5">
      <c r="A77" s="722" t="s">
        <v>908</v>
      </c>
      <c r="B77" s="722" t="s">
        <v>909</v>
      </c>
      <c r="D77" s="722" t="s">
        <v>910</v>
      </c>
      <c r="E77" s="722" t="s">
        <v>911</v>
      </c>
      <c r="F77" s="722" t="s">
        <v>450</v>
      </c>
      <c r="G77" s="722" t="s">
        <v>137</v>
      </c>
      <c r="H77" s="308" t="str">
        <f>IF(ISBLANK(B77),"-",IF(ISERROR(FIND("вич",B77,1)),"ж","м"))</f>
        <v>м</v>
      </c>
      <c r="I77" s="308" t="e">
        <v>#REF!</v>
      </c>
      <c r="J77" s="308" t="e">
        <v>#REF!</v>
      </c>
      <c r="K77" s="29" t="s">
        <v>143</v>
      </c>
      <c r="L77" s="308"/>
      <c r="M77" s="308"/>
      <c r="N77" s="308"/>
      <c r="O77" s="733">
        <v>1</v>
      </c>
      <c r="P77" s="731" t="s">
        <v>618</v>
      </c>
      <c r="Q77" s="308" t="str">
        <f>IF(R77="","включаем","не включаем")</f>
        <v>включаем</v>
      </c>
      <c r="R77" s="732"/>
      <c r="S77" s="308"/>
      <c r="T77" s="308" t="s">
        <v>566</v>
      </c>
      <c r="V77" s="731" t="s">
        <v>817</v>
      </c>
      <c r="W77" s="406">
        <v>46173</v>
      </c>
    </row>
    <row r="78" spans="1:38" customHeight="1" ht="33.75">
      <c r="A78" s="722" t="s">
        <v>912</v>
      </c>
      <c r="B78" s="722" t="s">
        <v>913</v>
      </c>
      <c r="D78" s="722" t="s">
        <v>914</v>
      </c>
      <c r="E78" s="722" t="s">
        <v>915</v>
      </c>
      <c r="F78" s="722" t="s">
        <v>242</v>
      </c>
      <c r="G78" s="722" t="s">
        <v>163</v>
      </c>
      <c r="H78" s="308" t="str">
        <f>IF(ISBLANK(B78),"-",IF(ISERROR(FIND("вич",B78,1)),"ж","м"))</f>
        <v>ж</v>
      </c>
      <c r="I78" s="308" t="e">
        <v>#REF!</v>
      </c>
      <c r="J78" s="308" t="e">
        <v>#REF!</v>
      </c>
      <c r="K78" s="29" t="s">
        <v>143</v>
      </c>
      <c r="L78" s="308"/>
      <c r="M78" s="308"/>
      <c r="N78" s="308"/>
      <c r="O78" s="733">
        <v>1</v>
      </c>
      <c r="P78" s="731" t="s">
        <v>618</v>
      </c>
      <c r="Q78" s="308" t="str">
        <f>IF(R78="","включаем","не включаем")</f>
        <v>включаем</v>
      </c>
      <c r="R78" s="732"/>
      <c r="S78" s="308"/>
      <c r="T78" s="308" t="s">
        <v>566</v>
      </c>
      <c r="V78" s="731" t="s">
        <v>817</v>
      </c>
      <c r="W78" s="406">
        <v>46173</v>
      </c>
    </row>
    <row r="79" spans="1:38" customHeight="1" ht="33.75">
      <c r="A79" s="722" t="s">
        <v>916</v>
      </c>
      <c r="B79" s="722" t="s">
        <v>917</v>
      </c>
      <c r="D79" s="722" t="s">
        <v>914</v>
      </c>
      <c r="E79" s="722" t="s">
        <v>918</v>
      </c>
      <c r="F79" s="722" t="s">
        <v>242</v>
      </c>
      <c r="G79" s="722" t="s">
        <v>132</v>
      </c>
      <c r="H79" s="308" t="str">
        <f>IF(ISBLANK(B79),"-",IF(ISERROR(FIND("вич",B79,1)),"ж","м"))</f>
        <v>м</v>
      </c>
      <c r="I79" s="308" t="e">
        <v>#REF!</v>
      </c>
      <c r="J79" s="308" t="e">
        <v>#REF!</v>
      </c>
      <c r="K79" s="29" t="s">
        <v>143</v>
      </c>
      <c r="L79" s="308"/>
      <c r="M79" s="308"/>
      <c r="N79" s="308"/>
      <c r="O79" s="733">
        <v>1</v>
      </c>
      <c r="P79" s="731" t="s">
        <v>618</v>
      </c>
      <c r="Q79" s="308" t="str">
        <f>IF(R79="","включаем","не включаем")</f>
        <v>включаем</v>
      </c>
      <c r="R79" s="732"/>
      <c r="S79" s="308"/>
      <c r="T79" s="308" t="s">
        <v>566</v>
      </c>
      <c r="V79" s="731" t="s">
        <v>817</v>
      </c>
      <c r="W79" s="406">
        <v>46173</v>
      </c>
    </row>
    <row r="80" spans="1:38" customHeight="1" ht="67.5">
      <c r="A80" s="722" t="s">
        <v>919</v>
      </c>
      <c r="B80" s="722" t="s">
        <v>920</v>
      </c>
      <c r="D80" s="722" t="s">
        <v>638</v>
      </c>
      <c r="E80" s="722" t="s">
        <v>921</v>
      </c>
      <c r="F80" s="722" t="s">
        <v>242</v>
      </c>
      <c r="G80" s="722" t="s">
        <v>244</v>
      </c>
      <c r="H80" s="308" t="str">
        <f>IF(ISBLANK(B80),"-",IF(ISERROR(FIND("вич",B80,1)),"ж","м"))</f>
        <v>ж</v>
      </c>
      <c r="I80" s="308" t="e">
        <v>#REF!</v>
      </c>
      <c r="J80" s="308" t="e">
        <v>#REF!</v>
      </c>
      <c r="K80" s="29" t="s">
        <v>143</v>
      </c>
      <c r="L80" s="308"/>
      <c r="M80" s="308"/>
      <c r="N80" s="308"/>
      <c r="O80" s="733">
        <v>1</v>
      </c>
      <c r="P80" s="731" t="s">
        <v>618</v>
      </c>
      <c r="Q80" s="308" t="str">
        <f>IF(R80="","включаем","не включаем")</f>
        <v>не включаем</v>
      </c>
      <c r="R80" s="732" t="s">
        <v>563</v>
      </c>
      <c r="S80" s="308"/>
      <c r="T80" s="308" t="s">
        <v>566</v>
      </c>
      <c r="V80" s="731" t="s">
        <v>817</v>
      </c>
      <c r="W80" s="406">
        <v>46173</v>
      </c>
    </row>
    <row r="81" spans="1:38" customHeight="1" ht="33.75">
      <c r="A81" s="722" t="s">
        <v>922</v>
      </c>
      <c r="B81" s="722" t="s">
        <v>923</v>
      </c>
      <c r="D81" s="722" t="s">
        <v>924</v>
      </c>
      <c r="E81" s="722" t="s">
        <v>925</v>
      </c>
      <c r="F81" s="722" t="s">
        <v>242</v>
      </c>
      <c r="G81" s="722" t="s">
        <v>161</v>
      </c>
      <c r="H81" s="308" t="str">
        <f>IF(ISBLANK(B81),"-",IF(ISERROR(FIND("вич",B81,1)),"ж","м"))</f>
        <v>ж</v>
      </c>
      <c r="I81" s="308" t="e">
        <v>#REF!</v>
      </c>
      <c r="J81" s="308" t="e">
        <v>#REF!</v>
      </c>
      <c r="K81" s="29" t="s">
        <v>143</v>
      </c>
      <c r="L81" s="308"/>
      <c r="M81" s="308"/>
      <c r="N81" s="308"/>
      <c r="O81" s="733">
        <v>1</v>
      </c>
      <c r="P81" s="731" t="s">
        <v>618</v>
      </c>
      <c r="Q81" s="308" t="str">
        <f>IF(R81="","включаем","не включаем")</f>
        <v>включаем</v>
      </c>
      <c r="R81" s="732"/>
      <c r="S81" s="308"/>
      <c r="T81" s="308" t="s">
        <v>566</v>
      </c>
      <c r="V81" s="731" t="s">
        <v>817</v>
      </c>
      <c r="W81" s="406">
        <v>46173</v>
      </c>
    </row>
    <row r="82" spans="1:38" customHeight="1" ht="33.75">
      <c r="A82" s="722" t="s">
        <v>926</v>
      </c>
      <c r="B82" s="722" t="s">
        <v>927</v>
      </c>
      <c r="D82" s="722" t="s">
        <v>928</v>
      </c>
      <c r="E82" s="722" t="s">
        <v>929</v>
      </c>
      <c r="F82" s="722" t="s">
        <v>242</v>
      </c>
      <c r="G82" s="722" t="s">
        <v>468</v>
      </c>
      <c r="H82" s="308" t="str">
        <f>IF(ISBLANK(B82),"-",IF(ISERROR(FIND("вич",B82,1)),"ж","м"))</f>
        <v>м</v>
      </c>
      <c r="I82" s="308" t="e">
        <v>#REF!</v>
      </c>
      <c r="J82" s="308" t="e">
        <v>#REF!</v>
      </c>
      <c r="K82" s="29" t="s">
        <v>143</v>
      </c>
      <c r="L82" s="308"/>
      <c r="M82" s="308"/>
      <c r="N82" s="308"/>
      <c r="O82" s="733">
        <v>1</v>
      </c>
      <c r="P82" s="731" t="s">
        <v>618</v>
      </c>
      <c r="Q82" s="308" t="str">
        <f>IF(R82="","включаем","не включаем")</f>
        <v>включаем</v>
      </c>
      <c r="R82" s="732"/>
      <c r="S82" s="308"/>
      <c r="T82" s="308" t="s">
        <v>566</v>
      </c>
      <c r="V82" s="731" t="s">
        <v>817</v>
      </c>
      <c r="W82" s="406">
        <v>46173</v>
      </c>
    </row>
    <row r="83" spans="1:38" customHeight="1" ht="45">
      <c r="A83" s="722" t="s">
        <v>930</v>
      </c>
      <c r="B83" s="722" t="s">
        <v>931</v>
      </c>
      <c r="D83" s="722" t="s">
        <v>932</v>
      </c>
      <c r="E83" s="722" t="s">
        <v>933</v>
      </c>
      <c r="F83" s="722" t="s">
        <v>242</v>
      </c>
      <c r="G83" s="722" t="s">
        <v>934</v>
      </c>
      <c r="H83" s="308" t="str">
        <f>IF(ISBLANK(B83),"-",IF(ISERROR(FIND("вич",B83,1)),"ж","м"))</f>
        <v>м</v>
      </c>
      <c r="I83" s="308" t="e">
        <v>#REF!</v>
      </c>
      <c r="J83" s="308" t="e">
        <v>#REF!</v>
      </c>
      <c r="K83" s="29" t="s">
        <v>143</v>
      </c>
      <c r="L83" s="308"/>
      <c r="M83" s="308"/>
      <c r="N83" s="308"/>
      <c r="O83" s="733">
        <v>1</v>
      </c>
      <c r="P83" s="731" t="s">
        <v>618</v>
      </c>
      <c r="Q83" s="308" t="str">
        <f>IF(R83="","включаем","не включаем")</f>
        <v>включаем</v>
      </c>
      <c r="R83" s="732"/>
      <c r="S83" s="308"/>
      <c r="T83" s="308" t="s">
        <v>566</v>
      </c>
      <c r="V83" s="731" t="s">
        <v>817</v>
      </c>
      <c r="W83" s="406">
        <v>46173</v>
      </c>
    </row>
    <row r="84" spans="1:38" customHeight="1" ht="67.5">
      <c r="A84" s="722" t="s">
        <v>935</v>
      </c>
      <c r="B84" s="722" t="s">
        <v>936</v>
      </c>
      <c r="D84" s="722" t="s">
        <v>937</v>
      </c>
      <c r="E84" s="722" t="s">
        <v>938</v>
      </c>
      <c r="F84" s="722" t="s">
        <v>242</v>
      </c>
      <c r="G84" s="722" t="s">
        <v>939</v>
      </c>
      <c r="H84" s="308" t="str">
        <f>IF(ISBLANK(B84),"-",IF(ISERROR(FIND("вич",B84,1)),"ж","м"))</f>
        <v>м</v>
      </c>
      <c r="I84" s="308" t="e">
        <v>#REF!</v>
      </c>
      <c r="J84" s="308" t="e">
        <v>#REF!</v>
      </c>
      <c r="K84" s="29" t="s">
        <v>143</v>
      </c>
      <c r="L84" s="308"/>
      <c r="M84" s="308"/>
      <c r="N84" s="308"/>
      <c r="O84" s="733">
        <v>1</v>
      </c>
      <c r="P84" s="731" t="s">
        <v>618</v>
      </c>
      <c r="Q84" s="308" t="str">
        <f>IF(R84="","включаем","не включаем")</f>
        <v>включаем</v>
      </c>
      <c r="R84" s="732"/>
      <c r="S84" s="308"/>
      <c r="T84" s="308" t="s">
        <v>566</v>
      </c>
      <c r="V84" s="731" t="s">
        <v>817</v>
      </c>
      <c r="W84" s="406">
        <v>46173</v>
      </c>
    </row>
    <row r="85" spans="1:38" customHeight="1" ht="33.75">
      <c r="A85" s="722" t="s">
        <v>940</v>
      </c>
      <c r="B85" s="722" t="s">
        <v>941</v>
      </c>
      <c r="D85" s="722" t="s">
        <v>942</v>
      </c>
      <c r="E85" s="722" t="s">
        <v>943</v>
      </c>
      <c r="F85" s="722" t="s">
        <v>944</v>
      </c>
      <c r="G85" s="722" t="s">
        <v>144</v>
      </c>
      <c r="H85" s="308" t="str">
        <f>IF(ISBLANK(B85),"-",IF(ISERROR(FIND("вич",B85,1)),"ж","м"))</f>
        <v>м</v>
      </c>
      <c r="I85" s="308" t="e">
        <v>#REF!</v>
      </c>
      <c r="J85" s="308" t="e">
        <v>#REF!</v>
      </c>
      <c r="K85" s="29" t="s">
        <v>143</v>
      </c>
      <c r="L85" s="308"/>
      <c r="M85" s="308"/>
      <c r="N85" s="308"/>
      <c r="O85" s="733">
        <v>1</v>
      </c>
      <c r="P85" s="731" t="s">
        <v>618</v>
      </c>
      <c r="Q85" s="308" t="str">
        <f>IF(R85="","включаем","не включаем")</f>
        <v>включаем</v>
      </c>
      <c r="R85" s="732"/>
      <c r="S85" s="308"/>
      <c r="T85" s="308" t="s">
        <v>566</v>
      </c>
      <c r="V85" s="731" t="s">
        <v>817</v>
      </c>
      <c r="W85" s="406">
        <v>46173</v>
      </c>
    </row>
    <row r="86" spans="1:38" customHeight="1" ht="22.5">
      <c r="A86" s="722" t="s">
        <v>945</v>
      </c>
      <c r="B86" s="722" t="s">
        <v>946</v>
      </c>
      <c r="D86" s="722" t="s">
        <v>947</v>
      </c>
      <c r="E86" s="722" t="s">
        <v>948</v>
      </c>
      <c r="F86" s="722" t="s">
        <v>944</v>
      </c>
      <c r="G86" s="722" t="s">
        <v>137</v>
      </c>
      <c r="H86" s="308" t="str">
        <f>IF(ISBLANK(B86),"-",IF(ISERROR(FIND("вич",B86,1)),"ж","м"))</f>
        <v>ж</v>
      </c>
      <c r="I86" s="308" t="e">
        <v>#REF!</v>
      </c>
      <c r="J86" s="308" t="e">
        <v>#REF!</v>
      </c>
      <c r="K86" s="29" t="s">
        <v>143</v>
      </c>
      <c r="L86" s="308"/>
      <c r="M86" s="308"/>
      <c r="N86" s="308"/>
      <c r="O86" s="733">
        <v>1</v>
      </c>
      <c r="P86" s="731" t="s">
        <v>618</v>
      </c>
      <c r="Q86" s="308" t="str">
        <f>IF(R86="","включаем","не включаем")</f>
        <v>включаем</v>
      </c>
      <c r="R86" s="732"/>
      <c r="S86" s="308"/>
      <c r="T86" s="308" t="s">
        <v>566</v>
      </c>
      <c r="V86" s="731" t="s">
        <v>817</v>
      </c>
      <c r="W86" s="406">
        <v>46173</v>
      </c>
    </row>
    <row r="87" spans="1:38" customHeight="1" ht="33.75">
      <c r="A87" s="722" t="s">
        <v>949</v>
      </c>
      <c r="B87" s="722" t="s">
        <v>950</v>
      </c>
      <c r="D87" s="722" t="s">
        <v>951</v>
      </c>
      <c r="E87" s="722" t="s">
        <v>952</v>
      </c>
      <c r="F87" s="722" t="s">
        <v>366</v>
      </c>
      <c r="G87" s="722" t="s">
        <v>144</v>
      </c>
      <c r="H87" s="308" t="str">
        <f>IF(ISBLANK(B87),"-",IF(ISERROR(FIND("вич",B87,1)),"ж","м"))</f>
        <v>м</v>
      </c>
      <c r="I87" s="308" t="e">
        <v>#REF!</v>
      </c>
      <c r="J87" s="308" t="e">
        <v>#REF!</v>
      </c>
      <c r="K87" s="29" t="s">
        <v>143</v>
      </c>
      <c r="L87" s="308"/>
      <c r="M87" s="308"/>
      <c r="N87" s="308"/>
      <c r="O87" s="730" t="s">
        <v>953</v>
      </c>
      <c r="P87" s="731" t="s">
        <v>612</v>
      </c>
      <c r="Q87" s="308" t="str">
        <f>IF(R87="","включаем","не включаем")</f>
        <v>включаем</v>
      </c>
      <c r="R87" s="732"/>
      <c r="S87" s="308"/>
      <c r="T87" s="308" t="s">
        <v>566</v>
      </c>
      <c r="V87" s="731" t="s">
        <v>817</v>
      </c>
      <c r="W87" s="406">
        <v>46173</v>
      </c>
    </row>
    <row r="88" spans="1:38" customHeight="1" ht="22.5">
      <c r="A88" s="722" t="s">
        <v>954</v>
      </c>
      <c r="B88" s="722" t="s">
        <v>955</v>
      </c>
      <c r="D88" s="722" t="s">
        <v>951</v>
      </c>
      <c r="E88" s="722" t="s">
        <v>956</v>
      </c>
      <c r="F88" s="722" t="s">
        <v>366</v>
      </c>
      <c r="G88" s="722" t="s">
        <v>137</v>
      </c>
      <c r="H88" s="308" t="str">
        <f>IF(ISBLANK(B88),"-",IF(ISERROR(FIND("вич",B88,1)),"ж","м"))</f>
        <v>ж</v>
      </c>
      <c r="I88" s="308" t="e">
        <v>#REF!</v>
      </c>
      <c r="J88" s="308" t="e">
        <v>#REF!</v>
      </c>
      <c r="K88" s="29" t="s">
        <v>143</v>
      </c>
      <c r="L88" s="308"/>
      <c r="M88" s="308"/>
      <c r="N88" s="308"/>
      <c r="O88" s="733">
        <v>1</v>
      </c>
      <c r="P88" s="731" t="s">
        <v>618</v>
      </c>
      <c r="Q88" s="308" t="str">
        <f>IF(R88="","включаем","не включаем")</f>
        <v>включаем</v>
      </c>
      <c r="R88" s="732"/>
      <c r="S88" s="308"/>
      <c r="T88" s="308" t="s">
        <v>566</v>
      </c>
      <c r="V88" s="731" t="s">
        <v>817</v>
      </c>
      <c r="W88" s="406">
        <v>46173</v>
      </c>
    </row>
    <row r="89" spans="1:38" customHeight="1" ht="33.75">
      <c r="A89" s="722" t="s">
        <v>957</v>
      </c>
      <c r="B89" s="722" t="s">
        <v>958</v>
      </c>
      <c r="D89" s="722" t="s">
        <v>959</v>
      </c>
      <c r="E89" s="722" t="s">
        <v>960</v>
      </c>
      <c r="F89" s="722" t="s">
        <v>961</v>
      </c>
      <c r="G89" s="722" t="s">
        <v>144</v>
      </c>
      <c r="H89" s="308" t="str">
        <f>IF(ISBLANK(B89),"-",IF(ISERROR(FIND("вич",B89,1)),"ж","м"))</f>
        <v>м</v>
      </c>
      <c r="I89" s="308" t="e">
        <v>#REF!</v>
      </c>
      <c r="J89" s="308" t="e">
        <v>#REF!</v>
      </c>
      <c r="K89" s="29" t="s">
        <v>143</v>
      </c>
      <c r="L89" s="308"/>
      <c r="M89" s="308"/>
      <c r="N89" s="308"/>
      <c r="O89" s="733">
        <v>1</v>
      </c>
      <c r="P89" s="731" t="s">
        <v>618</v>
      </c>
      <c r="Q89" s="308" t="str">
        <f>IF(R89="","включаем","не включаем")</f>
        <v>включаем</v>
      </c>
      <c r="R89" s="732"/>
      <c r="S89" s="308"/>
      <c r="T89" s="308" t="s">
        <v>566</v>
      </c>
      <c r="V89" s="731" t="s">
        <v>817</v>
      </c>
      <c r="W89" s="406">
        <v>46173</v>
      </c>
    </row>
    <row r="90" spans="1:38" customHeight="1" ht="22.5">
      <c r="A90" s="722" t="s">
        <v>962</v>
      </c>
      <c r="B90" s="722" t="s">
        <v>963</v>
      </c>
      <c r="D90" s="722" t="s">
        <v>964</v>
      </c>
      <c r="E90" s="722" t="s">
        <v>965</v>
      </c>
      <c r="F90" s="722" t="s">
        <v>961</v>
      </c>
      <c r="G90" s="722" t="s">
        <v>137</v>
      </c>
      <c r="H90" s="308" t="str">
        <f>IF(ISBLANK(B90),"-",IF(ISERROR(FIND("вич",B90,1)),"ж","м"))</f>
        <v>ж</v>
      </c>
      <c r="I90" s="308" t="e">
        <v>#REF!</v>
      </c>
      <c r="J90" s="308" t="e">
        <v>#REF!</v>
      </c>
      <c r="K90" s="29" t="s">
        <v>143</v>
      </c>
      <c r="L90" s="308"/>
      <c r="M90" s="308"/>
      <c r="N90" s="308"/>
      <c r="O90" s="733">
        <v>1</v>
      </c>
      <c r="P90" s="731" t="s">
        <v>618</v>
      </c>
      <c r="Q90" s="308" t="str">
        <f>IF(R90="","включаем","не включаем")</f>
        <v>включаем</v>
      </c>
      <c r="R90" s="732"/>
      <c r="S90" s="308"/>
      <c r="T90" s="308" t="s">
        <v>566</v>
      </c>
      <c r="V90" s="731" t="s">
        <v>817</v>
      </c>
      <c r="W90" s="406">
        <v>46173</v>
      </c>
    </row>
    <row r="91" spans="1:38" customHeight="1" ht="33.75">
      <c r="A91" s="722" t="s">
        <v>966</v>
      </c>
      <c r="B91" s="722" t="s">
        <v>967</v>
      </c>
      <c r="D91" s="722" t="s">
        <v>968</v>
      </c>
      <c r="E91" s="722" t="s">
        <v>969</v>
      </c>
      <c r="F91" s="722" t="s">
        <v>970</v>
      </c>
      <c r="G91" s="722" t="s">
        <v>144</v>
      </c>
      <c r="H91" s="308" t="str">
        <f>IF(ISBLANK(B91),"-",IF(ISERROR(FIND("вич",B91,1)),"ж","м"))</f>
        <v>м</v>
      </c>
      <c r="I91" s="308" t="e">
        <v>#REF!</v>
      </c>
      <c r="J91" s="308" t="e">
        <v>#REF!</v>
      </c>
      <c r="K91" s="29" t="s">
        <v>143</v>
      </c>
      <c r="L91" s="308"/>
      <c r="M91" s="308"/>
      <c r="N91" s="308"/>
      <c r="O91" s="730" t="s">
        <v>953</v>
      </c>
      <c r="P91" s="731" t="s">
        <v>612</v>
      </c>
      <c r="Q91" s="308" t="str">
        <f>IF(R91="","включаем","не включаем")</f>
        <v>включаем</v>
      </c>
      <c r="R91" s="732"/>
      <c r="S91" s="308"/>
      <c r="T91" s="308" t="s">
        <v>566</v>
      </c>
      <c r="V91" s="731" t="s">
        <v>817</v>
      </c>
      <c r="W91" s="406">
        <v>46173</v>
      </c>
    </row>
    <row r="92" spans="1:38" customHeight="1" ht="22.5">
      <c r="A92" s="722" t="s">
        <v>971</v>
      </c>
      <c r="B92" s="722" t="s">
        <v>972</v>
      </c>
      <c r="D92" s="722" t="s">
        <v>973</v>
      </c>
      <c r="E92" s="722" t="s">
        <v>974</v>
      </c>
      <c r="F92" s="722" t="s">
        <v>970</v>
      </c>
      <c r="G92" s="722" t="s">
        <v>137</v>
      </c>
      <c r="H92" s="308" t="str">
        <f>IF(ISBLANK(B92),"-",IF(ISERROR(FIND("вич",B92,1)),"ж","м"))</f>
        <v>ж</v>
      </c>
      <c r="I92" s="308" t="e">
        <v>#REF!</v>
      </c>
      <c r="J92" s="308" t="e">
        <v>#REF!</v>
      </c>
      <c r="K92" s="29" t="s">
        <v>143</v>
      </c>
      <c r="L92" s="308"/>
      <c r="M92" s="308"/>
      <c r="N92" s="308"/>
      <c r="O92" s="733">
        <v>1</v>
      </c>
      <c r="P92" s="731" t="s">
        <v>618</v>
      </c>
      <c r="Q92" s="308" t="str">
        <f>IF(R92="","включаем","не включаем")</f>
        <v>включаем</v>
      </c>
      <c r="R92" s="732"/>
      <c r="S92" s="308"/>
      <c r="T92" s="308" t="s">
        <v>566</v>
      </c>
      <c r="V92" s="731" t="s">
        <v>817</v>
      </c>
      <c r="W92" s="406">
        <v>46173</v>
      </c>
    </row>
    <row r="93" spans="1:38" customHeight="1" ht="33.75">
      <c r="A93" s="722" t="s">
        <v>975</v>
      </c>
      <c r="B93" s="722" t="s">
        <v>976</v>
      </c>
      <c r="D93" s="722" t="s">
        <v>977</v>
      </c>
      <c r="E93" s="722" t="s">
        <v>978</v>
      </c>
      <c r="F93" s="722" t="s">
        <v>979</v>
      </c>
      <c r="G93" s="722" t="s">
        <v>144</v>
      </c>
      <c r="H93" s="308" t="str">
        <f>IF(ISBLANK(B93),"-",IF(ISERROR(FIND("вич",B93,1)),"ж","м"))</f>
        <v>м</v>
      </c>
      <c r="I93" s="308" t="e">
        <v>#REF!</v>
      </c>
      <c r="J93" s="308" t="e">
        <v>#REF!</v>
      </c>
      <c r="K93" s="29" t="s">
        <v>143</v>
      </c>
      <c r="L93" s="308"/>
      <c r="M93" s="308"/>
      <c r="N93" s="308"/>
      <c r="O93" s="733">
        <v>1</v>
      </c>
      <c r="P93" s="731" t="s">
        <v>618</v>
      </c>
      <c r="Q93" s="308" t="str">
        <f>IF(R93="","включаем","не включаем")</f>
        <v>включаем</v>
      </c>
      <c r="R93" s="732"/>
      <c r="S93" s="308"/>
      <c r="T93" s="308" t="s">
        <v>566</v>
      </c>
      <c r="V93" s="731" t="s">
        <v>817</v>
      </c>
      <c r="W93" s="406">
        <v>46173</v>
      </c>
    </row>
    <row r="94" spans="1:38" customHeight="1" ht="22.5">
      <c r="A94" s="722" t="s">
        <v>980</v>
      </c>
      <c r="B94" s="722" t="s">
        <v>981</v>
      </c>
      <c r="D94" s="722" t="s">
        <v>982</v>
      </c>
      <c r="E94" s="722" t="s">
        <v>983</v>
      </c>
      <c r="F94" s="722" t="s">
        <v>979</v>
      </c>
      <c r="G94" s="722" t="s">
        <v>137</v>
      </c>
      <c r="H94" s="308" t="str">
        <f>IF(ISBLANK(B94),"-",IF(ISERROR(FIND("вич",B94,1)),"ж","м"))</f>
        <v>ж</v>
      </c>
      <c r="I94" s="308" t="e">
        <v>#REF!</v>
      </c>
      <c r="J94" s="308" t="e">
        <v>#REF!</v>
      </c>
      <c r="K94" s="29" t="s">
        <v>143</v>
      </c>
      <c r="L94" s="308"/>
      <c r="M94" s="308"/>
      <c r="N94" s="308"/>
      <c r="O94" s="733">
        <v>1</v>
      </c>
      <c r="P94" s="731" t="s">
        <v>618</v>
      </c>
      <c r="Q94" s="308" t="str">
        <f>IF(R94="","включаем","не включаем")</f>
        <v>включаем</v>
      </c>
      <c r="R94" s="732"/>
      <c r="S94" s="308"/>
      <c r="T94" s="308" t="s">
        <v>566</v>
      </c>
      <c r="V94" s="731" t="s">
        <v>817</v>
      </c>
      <c r="W94" s="406">
        <v>46173</v>
      </c>
    </row>
    <row r="95" spans="1:38" customHeight="1" ht="33.75">
      <c r="A95" s="722" t="s">
        <v>984</v>
      </c>
      <c r="B95" s="722" t="s">
        <v>985</v>
      </c>
      <c r="D95" s="722" t="s">
        <v>705</v>
      </c>
      <c r="E95" s="722" t="s">
        <v>986</v>
      </c>
      <c r="F95" s="722" t="s">
        <v>987</v>
      </c>
      <c r="G95" s="722" t="s">
        <v>144</v>
      </c>
      <c r="H95" s="308" t="str">
        <f>IF(ISBLANK(B95),"-",IF(ISERROR(FIND("вич",B95,1)),"ж","м"))</f>
        <v>м</v>
      </c>
      <c r="I95" s="308" t="e">
        <v>#REF!</v>
      </c>
      <c r="J95" s="308" t="e">
        <v>#REF!</v>
      </c>
      <c r="K95" s="29" t="s">
        <v>143</v>
      </c>
      <c r="L95" s="308"/>
      <c r="M95" s="308"/>
      <c r="N95" s="308"/>
      <c r="O95" s="730" t="s">
        <v>953</v>
      </c>
      <c r="P95" s="731" t="s">
        <v>612</v>
      </c>
      <c r="Q95" s="308" t="str">
        <f>IF(R95="","включаем","не включаем")</f>
        <v>не включаем</v>
      </c>
      <c r="R95" s="732" t="s">
        <v>582</v>
      </c>
      <c r="S95" s="308"/>
      <c r="T95" s="308" t="s">
        <v>566</v>
      </c>
      <c r="V95" s="731" t="s">
        <v>817</v>
      </c>
      <c r="W95" s="406">
        <v>46173</v>
      </c>
    </row>
    <row r="96" spans="1:38" customHeight="1" ht="22.5">
      <c r="A96" s="722" t="s">
        <v>988</v>
      </c>
      <c r="B96" s="722" t="s">
        <v>989</v>
      </c>
      <c r="D96" s="722" t="s">
        <v>705</v>
      </c>
      <c r="E96" s="722" t="s">
        <v>990</v>
      </c>
      <c r="F96" s="722" t="s">
        <v>987</v>
      </c>
      <c r="G96" s="722" t="s">
        <v>137</v>
      </c>
      <c r="H96" s="308" t="str">
        <f>IF(ISBLANK(B96),"-",IF(ISERROR(FIND("вич",B96,1)),"ж","м"))</f>
        <v>ж</v>
      </c>
      <c r="I96" s="308" t="e">
        <v>#REF!</v>
      </c>
      <c r="J96" s="308" t="e">
        <v>#REF!</v>
      </c>
      <c r="K96" s="29" t="s">
        <v>143</v>
      </c>
      <c r="L96" s="308"/>
      <c r="M96" s="308"/>
      <c r="N96" s="308"/>
      <c r="O96" s="733">
        <v>1</v>
      </c>
      <c r="P96" s="731" t="s">
        <v>618</v>
      </c>
      <c r="Q96" s="308" t="str">
        <f>IF(R96="","включаем","не включаем")</f>
        <v>включаем</v>
      </c>
      <c r="R96" s="732"/>
      <c r="S96" s="308"/>
      <c r="T96" s="308" t="s">
        <v>566</v>
      </c>
      <c r="V96" s="731" t="s">
        <v>817</v>
      </c>
      <c r="W96" s="406">
        <v>46173</v>
      </c>
    </row>
    <row r="97" spans="1:38" customHeight="1" ht="22.5">
      <c r="A97" s="722" t="s">
        <v>991</v>
      </c>
      <c r="B97" s="722" t="s">
        <v>992</v>
      </c>
      <c r="D97" s="722" t="s">
        <v>993</v>
      </c>
      <c r="E97" s="722" t="s">
        <v>994</v>
      </c>
      <c r="F97" s="722" t="s">
        <v>347</v>
      </c>
      <c r="G97" s="722" t="s">
        <v>132</v>
      </c>
      <c r="H97" s="308" t="str">
        <f>IF(ISBLANK(B97),"-",IF(ISERROR(FIND("вич",B97,1)),"ж","м"))</f>
        <v>ж</v>
      </c>
      <c r="I97" s="308" t="e">
        <v>#REF!</v>
      </c>
      <c r="J97" s="308" t="e">
        <v>#REF!</v>
      </c>
      <c r="K97" s="29" t="s">
        <v>349</v>
      </c>
      <c r="L97" s="308"/>
      <c r="M97" s="308"/>
      <c r="N97" s="308"/>
      <c r="O97" s="730" t="s">
        <v>995</v>
      </c>
      <c r="P97" s="731" t="s">
        <v>612</v>
      </c>
      <c r="Q97" s="308" t="str">
        <f>IF(R97="","включаем","не включаем")</f>
        <v>не включаем</v>
      </c>
      <c r="R97" s="732" t="s">
        <v>582</v>
      </c>
      <c r="S97" s="308"/>
      <c r="T97" s="308" t="s">
        <v>566</v>
      </c>
      <c r="V97" s="731" t="s">
        <v>996</v>
      </c>
      <c r="W97" s="406">
        <v>46173</v>
      </c>
    </row>
    <row r="98" spans="1:38" customHeight="1" ht="22.5">
      <c r="A98" s="722" t="s">
        <v>997</v>
      </c>
      <c r="B98" s="722" t="s">
        <v>998</v>
      </c>
      <c r="D98" s="722" t="s">
        <v>999</v>
      </c>
      <c r="E98" s="722" t="s">
        <v>1000</v>
      </c>
      <c r="F98" s="722" t="s">
        <v>479</v>
      </c>
      <c r="G98" s="722" t="s">
        <v>132</v>
      </c>
      <c r="H98" s="308" t="str">
        <f>IF(ISBLANK(B98),"-",IF(ISERROR(FIND("вич",B98,1)),"ж","м"))</f>
        <v>ж</v>
      </c>
      <c r="I98" s="308" t="e">
        <v>#REF!</v>
      </c>
      <c r="J98" s="308" t="e">
        <v>#REF!</v>
      </c>
      <c r="K98" s="29" t="s">
        <v>349</v>
      </c>
      <c r="L98" s="308"/>
      <c r="M98" s="308"/>
      <c r="N98" s="308"/>
      <c r="O98" s="733">
        <v>1</v>
      </c>
      <c r="P98" s="731" t="s">
        <v>618</v>
      </c>
      <c r="Q98" s="308" t="str">
        <f>IF(R98="","включаем","не включаем")</f>
        <v>включаем</v>
      </c>
      <c r="R98" s="732"/>
      <c r="S98" s="308"/>
      <c r="T98" s="308" t="s">
        <v>566</v>
      </c>
      <c r="V98" s="731" t="s">
        <v>996</v>
      </c>
      <c r="W98" s="406">
        <v>46173</v>
      </c>
    </row>
    <row r="99" spans="1:38" customHeight="1" ht="33.75">
      <c r="A99" s="722" t="s">
        <v>1001</v>
      </c>
      <c r="B99" s="722" t="s">
        <v>1002</v>
      </c>
      <c r="D99" s="722" t="s">
        <v>638</v>
      </c>
      <c r="E99" s="722" t="s">
        <v>1003</v>
      </c>
      <c r="F99" s="722" t="s">
        <v>479</v>
      </c>
      <c r="G99" s="722" t="s">
        <v>357</v>
      </c>
      <c r="H99" s="308" t="str">
        <f>IF(ISBLANK(B99),"-",IF(ISERROR(FIND("вич",B99,1)),"ж","м"))</f>
        <v>м</v>
      </c>
      <c r="I99" s="308" t="e">
        <v>#REF!</v>
      </c>
      <c r="J99" s="308" t="e">
        <v>#REF!</v>
      </c>
      <c r="K99" s="29" t="s">
        <v>349</v>
      </c>
      <c r="L99" s="308"/>
      <c r="M99" s="308"/>
      <c r="N99" s="308"/>
      <c r="O99" s="730" t="s">
        <v>953</v>
      </c>
      <c r="P99" s="731" t="s">
        <v>1004</v>
      </c>
      <c r="Q99" s="308" t="str">
        <f>IF(R99="","включаем","не включаем")</f>
        <v>не включаем</v>
      </c>
      <c r="R99" s="732" t="s">
        <v>578</v>
      </c>
      <c r="S99" s="308"/>
      <c r="T99" s="308" t="s">
        <v>566</v>
      </c>
      <c r="V99" s="731" t="s">
        <v>996</v>
      </c>
      <c r="W99" s="406">
        <v>46173</v>
      </c>
    </row>
    <row r="100" spans="1:38" customHeight="1" ht="33.75">
      <c r="A100" s="722" t="s">
        <v>1005</v>
      </c>
      <c r="B100" s="722" t="s">
        <v>1006</v>
      </c>
      <c r="D100" s="722" t="s">
        <v>1007</v>
      </c>
      <c r="E100" s="723" t="s">
        <v>1008</v>
      </c>
      <c r="F100" s="722" t="s">
        <v>429</v>
      </c>
      <c r="G100" s="722" t="s">
        <v>356</v>
      </c>
      <c r="H100" s="308" t="str">
        <f>IF(ISBLANK(B100),"-",IF(ISERROR(FIND("вич",B100,1)),"ж","м"))</f>
        <v>ж</v>
      </c>
      <c r="I100" s="308" t="e">
        <v>#REF!</v>
      </c>
      <c r="J100" s="308" t="e">
        <v>#REF!</v>
      </c>
      <c r="K100" s="29" t="s">
        <v>349</v>
      </c>
      <c r="L100" s="308"/>
      <c r="M100" s="308"/>
      <c r="N100" s="308"/>
      <c r="O100" s="733">
        <v>1</v>
      </c>
      <c r="P100" s="731" t="s">
        <v>618</v>
      </c>
      <c r="Q100" s="308" t="str">
        <f>IF(R100="","включаем","не включаем")</f>
        <v>включаем</v>
      </c>
      <c r="R100" s="732"/>
      <c r="S100" s="308"/>
      <c r="T100" s="308" t="s">
        <v>566</v>
      </c>
      <c r="V100" s="731" t="s">
        <v>996</v>
      </c>
      <c r="W100" s="406">
        <v>46173</v>
      </c>
    </row>
    <row r="101" spans="1:38" customHeight="1" ht="33.75">
      <c r="A101" s="722" t="s">
        <v>1009</v>
      </c>
      <c r="B101" s="722" t="s">
        <v>1010</v>
      </c>
      <c r="D101" s="722" t="s">
        <v>1011</v>
      </c>
      <c r="E101" s="722" t="s">
        <v>1012</v>
      </c>
      <c r="F101" s="722" t="s">
        <v>429</v>
      </c>
      <c r="G101" s="722" t="s">
        <v>356</v>
      </c>
      <c r="H101" s="308" t="str">
        <f>IF(ISBLANK(B101),"-",IF(ISERROR(FIND("вич",B101,1)),"ж","м"))</f>
        <v>ж</v>
      </c>
      <c r="I101" s="308" t="e">
        <v>#REF!</v>
      </c>
      <c r="J101" s="308" t="e">
        <v>#REF!</v>
      </c>
      <c r="K101" s="29" t="s">
        <v>349</v>
      </c>
      <c r="L101" s="308"/>
      <c r="M101" s="308"/>
      <c r="N101" s="308"/>
      <c r="O101" s="733">
        <v>1</v>
      </c>
      <c r="P101" s="731" t="s">
        <v>618</v>
      </c>
      <c r="Q101" s="308" t="str">
        <f>IF(R101="","включаем","не включаем")</f>
        <v>не включаем</v>
      </c>
      <c r="R101" s="732" t="s">
        <v>568</v>
      </c>
      <c r="S101" s="308"/>
      <c r="T101" s="308" t="s">
        <v>566</v>
      </c>
      <c r="V101" s="731" t="s">
        <v>996</v>
      </c>
      <c r="W101" s="406">
        <v>46173</v>
      </c>
    </row>
    <row r="102" spans="1:38" customHeight="1" ht="45">
      <c r="A102" s="722" t="s">
        <v>1013</v>
      </c>
      <c r="B102" s="722" t="s">
        <v>1014</v>
      </c>
      <c r="D102" s="722" t="s">
        <v>1015</v>
      </c>
      <c r="E102" s="722" t="s">
        <v>1016</v>
      </c>
      <c r="F102" s="722" t="s">
        <v>429</v>
      </c>
      <c r="G102" s="722" t="s">
        <v>432</v>
      </c>
      <c r="H102" s="308" t="str">
        <f>IF(ISBLANK(B102),"-",IF(ISERROR(FIND("вич",B102,1)),"ж","м"))</f>
        <v>ж</v>
      </c>
      <c r="I102" s="308" t="e">
        <v>#REF!</v>
      </c>
      <c r="J102" s="308" t="e">
        <v>#REF!</v>
      </c>
      <c r="K102" s="29" t="s">
        <v>349</v>
      </c>
      <c r="L102" s="308"/>
      <c r="M102" s="308"/>
      <c r="N102" s="308"/>
      <c r="O102" s="733">
        <v>1</v>
      </c>
      <c r="P102" s="731" t="s">
        <v>618</v>
      </c>
      <c r="Q102" s="308" t="str">
        <f>IF(R102="","включаем","не включаем")</f>
        <v>включаем</v>
      </c>
      <c r="R102" s="732"/>
      <c r="S102" s="308"/>
      <c r="T102" s="308" t="s">
        <v>566</v>
      </c>
      <c r="V102" s="731" t="s">
        <v>996</v>
      </c>
      <c r="W102" s="406">
        <v>46173</v>
      </c>
    </row>
    <row r="103" spans="1:38" customHeight="1" ht="22.5">
      <c r="A103" s="722" t="s">
        <v>1017</v>
      </c>
      <c r="B103" s="722" t="s">
        <v>1018</v>
      </c>
      <c r="D103" s="722" t="s">
        <v>1019</v>
      </c>
      <c r="E103" s="722" t="s">
        <v>1020</v>
      </c>
      <c r="F103" s="722" t="s">
        <v>429</v>
      </c>
      <c r="G103" s="722" t="s">
        <v>431</v>
      </c>
      <c r="H103" s="308" t="str">
        <f>IF(ISBLANK(B103),"-",IF(ISERROR(FIND("вич",B103,1)),"ж","м"))</f>
        <v>ж</v>
      </c>
      <c r="I103" s="308" t="e">
        <v>#REF!</v>
      </c>
      <c r="J103" s="308" t="e">
        <v>#REF!</v>
      </c>
      <c r="K103" s="29" t="s">
        <v>349</v>
      </c>
      <c r="L103" s="308"/>
      <c r="M103" s="308"/>
      <c r="N103" s="308"/>
      <c r="O103" s="733">
        <v>1</v>
      </c>
      <c r="P103" s="731" t="s">
        <v>618</v>
      </c>
      <c r="Q103" s="308" t="str">
        <f>IF(R103="","включаем","не включаем")</f>
        <v>не включаем</v>
      </c>
      <c r="R103" s="732" t="s">
        <v>544</v>
      </c>
      <c r="S103" s="308"/>
      <c r="T103" s="308" t="s">
        <v>566</v>
      </c>
      <c r="V103" s="731" t="s">
        <v>996</v>
      </c>
      <c r="W103" s="406">
        <v>46173</v>
      </c>
    </row>
    <row r="104" spans="1:38" customHeight="1" ht="22.5">
      <c r="A104" s="722" t="s">
        <v>1021</v>
      </c>
      <c r="B104" s="722" t="s">
        <v>1022</v>
      </c>
      <c r="D104" s="722" t="s">
        <v>1023</v>
      </c>
      <c r="E104" s="722" t="s">
        <v>1024</v>
      </c>
      <c r="F104" s="722" t="s">
        <v>429</v>
      </c>
      <c r="G104" s="722" t="s">
        <v>1025</v>
      </c>
      <c r="H104" s="308" t="str">
        <f>IF(ISBLANK(B104),"-",IF(ISERROR(FIND("вич",B104,1)),"ж","м"))</f>
        <v>ж</v>
      </c>
      <c r="I104" s="308" t="e">
        <v>#REF!</v>
      </c>
      <c r="J104" s="308" t="e">
        <v>#REF!</v>
      </c>
      <c r="K104" s="29" t="s">
        <v>349</v>
      </c>
      <c r="L104" s="308"/>
      <c r="M104" s="308"/>
      <c r="N104" s="308"/>
      <c r="O104" s="733">
        <v>1</v>
      </c>
      <c r="P104" s="731" t="s">
        <v>618</v>
      </c>
      <c r="Q104" s="308" t="str">
        <f>IF(R104="","включаем","не включаем")</f>
        <v>включаем</v>
      </c>
      <c r="R104" s="732"/>
      <c r="S104" s="308"/>
      <c r="T104" s="308" t="s">
        <v>566</v>
      </c>
      <c r="V104" s="731" t="s">
        <v>996</v>
      </c>
      <c r="W104" s="406">
        <v>46173</v>
      </c>
    </row>
    <row r="105" spans="1:38" customHeight="1" ht="78.75">
      <c r="A105" s="722" t="s">
        <v>1026</v>
      </c>
      <c r="B105" s="722" t="s">
        <v>1027</v>
      </c>
      <c r="D105" s="722" t="s">
        <v>1028</v>
      </c>
      <c r="E105" s="722" t="s">
        <v>1029</v>
      </c>
      <c r="F105" s="722" t="s">
        <v>393</v>
      </c>
      <c r="G105" s="722" t="s">
        <v>354</v>
      </c>
      <c r="H105" s="308" t="str">
        <f>IF(ISBLANK(B105),"-",IF(ISERROR(FIND("вич",B105,1)),"ж","м"))</f>
        <v>м</v>
      </c>
      <c r="I105" s="308" t="e">
        <v>#REF!</v>
      </c>
      <c r="J105" s="308" t="e">
        <v>#REF!</v>
      </c>
      <c r="K105" s="29" t="s">
        <v>250</v>
      </c>
      <c r="L105" s="308"/>
      <c r="M105" s="308"/>
      <c r="N105" s="308"/>
      <c r="O105" s="733">
        <v>1</v>
      </c>
      <c r="P105" s="731" t="s">
        <v>618</v>
      </c>
      <c r="Q105" s="308" t="str">
        <f>IF(R105="","включаем","не включаем")</f>
        <v>включаем</v>
      </c>
      <c r="R105" s="732"/>
      <c r="S105" s="308"/>
      <c r="T105" s="308" t="s">
        <v>566</v>
      </c>
      <c r="V105" s="731" t="s">
        <v>996</v>
      </c>
      <c r="W105" s="406">
        <v>46173</v>
      </c>
    </row>
    <row r="106" spans="1:38" customHeight="1" ht="45">
      <c r="A106" s="722" t="s">
        <v>1030</v>
      </c>
      <c r="B106" s="722" t="s">
        <v>1031</v>
      </c>
      <c r="D106" s="722" t="s">
        <v>1032</v>
      </c>
      <c r="E106" s="722" t="s">
        <v>1033</v>
      </c>
      <c r="F106" s="722" t="s">
        <v>391</v>
      </c>
      <c r="G106" s="722" t="s">
        <v>1034</v>
      </c>
      <c r="H106" s="308" t="str">
        <f>IF(ISBLANK(B106),"-",IF(ISERROR(FIND("вич",B106,1)),"ж","м"))</f>
        <v>м</v>
      </c>
      <c r="I106" s="308" t="e">
        <v>#REF!</v>
      </c>
      <c r="J106" s="308" t="e">
        <v>#REF!</v>
      </c>
      <c r="K106" s="29" t="s">
        <v>250</v>
      </c>
      <c r="L106" s="308"/>
      <c r="M106" s="308"/>
      <c r="N106" s="308"/>
      <c r="O106" s="733">
        <v>1</v>
      </c>
      <c r="P106" s="731" t="s">
        <v>618</v>
      </c>
      <c r="Q106" s="308" t="str">
        <f>IF(R106="","включаем","не включаем")</f>
        <v>включаем</v>
      </c>
      <c r="R106" s="732"/>
      <c r="S106" s="308"/>
      <c r="T106" s="308" t="s">
        <v>566</v>
      </c>
      <c r="V106" s="731" t="s">
        <v>996</v>
      </c>
      <c r="W106" s="406">
        <v>46173</v>
      </c>
    </row>
    <row r="107" spans="1:38" customHeight="1" ht="33.75">
      <c r="A107" s="722" t="s">
        <v>1035</v>
      </c>
      <c r="B107" s="722" t="s">
        <v>1036</v>
      </c>
      <c r="D107" s="722" t="s">
        <v>1037</v>
      </c>
      <c r="E107" s="722" t="s">
        <v>1038</v>
      </c>
      <c r="F107" s="722" t="s">
        <v>391</v>
      </c>
      <c r="G107" s="722" t="s">
        <v>392</v>
      </c>
      <c r="H107" s="308" t="str">
        <f>IF(ISBLANK(B107),"-",IF(ISERROR(FIND("вич",B107,1)),"ж","м"))</f>
        <v>м</v>
      </c>
      <c r="I107" s="308" t="e">
        <v>#REF!</v>
      </c>
      <c r="J107" s="308" t="e">
        <v>#REF!</v>
      </c>
      <c r="K107" s="29" t="s">
        <v>250</v>
      </c>
      <c r="L107" s="308"/>
      <c r="M107" s="308"/>
      <c r="N107" s="308"/>
      <c r="O107" s="733">
        <v>1</v>
      </c>
      <c r="P107" s="731" t="s">
        <v>618</v>
      </c>
      <c r="Q107" s="308" t="str">
        <f>IF(R107="","включаем","не включаем")</f>
        <v>включаем</v>
      </c>
      <c r="R107" s="732"/>
      <c r="S107" s="308"/>
      <c r="T107" s="308" t="s">
        <v>566</v>
      </c>
      <c r="V107" s="731" t="s">
        <v>996</v>
      </c>
      <c r="W107" s="406">
        <v>46173</v>
      </c>
    </row>
    <row r="108" spans="1:38" customHeight="1" ht="33.75">
      <c r="A108" s="722" t="s">
        <v>1039</v>
      </c>
      <c r="B108" s="722" t="s">
        <v>1040</v>
      </c>
      <c r="D108" s="722" t="s">
        <v>1041</v>
      </c>
      <c r="E108" s="722" t="s">
        <v>1042</v>
      </c>
      <c r="F108" s="722" t="s">
        <v>391</v>
      </c>
      <c r="G108" s="722" t="s">
        <v>392</v>
      </c>
      <c r="H108" s="308" t="str">
        <f>IF(ISBLANK(B108),"-",IF(ISERROR(FIND("вич",B108,1)),"ж","м"))</f>
        <v>м</v>
      </c>
      <c r="I108" s="308" t="e">
        <v>#REF!</v>
      </c>
      <c r="J108" s="308" t="e">
        <v>#REF!</v>
      </c>
      <c r="K108" s="29" t="s">
        <v>250</v>
      </c>
      <c r="L108" s="308"/>
      <c r="M108" s="308"/>
      <c r="N108" s="308"/>
      <c r="O108" s="733">
        <v>1</v>
      </c>
      <c r="P108" s="731" t="s">
        <v>618</v>
      </c>
      <c r="Q108" s="308" t="str">
        <f>IF(R108="","включаем","не включаем")</f>
        <v>включаем</v>
      </c>
      <c r="R108" s="732"/>
      <c r="S108" s="308"/>
      <c r="T108" s="308" t="s">
        <v>566</v>
      </c>
      <c r="V108" s="731" t="s">
        <v>996</v>
      </c>
      <c r="W108" s="406">
        <v>46173</v>
      </c>
    </row>
    <row r="109" spans="1:38" customHeight="1" ht="33.75">
      <c r="A109" s="722" t="s">
        <v>1043</v>
      </c>
      <c r="B109" s="722" t="s">
        <v>1044</v>
      </c>
      <c r="D109" s="722" t="s">
        <v>1045</v>
      </c>
      <c r="E109" s="722" t="s">
        <v>1046</v>
      </c>
      <c r="F109" s="722" t="s">
        <v>391</v>
      </c>
      <c r="G109" s="722" t="s">
        <v>392</v>
      </c>
      <c r="H109" s="308" t="str">
        <f>IF(ISBLANK(B109),"-",IF(ISERROR(FIND("вич",B109,1)),"ж","м"))</f>
        <v>м</v>
      </c>
      <c r="I109" s="308" t="e">
        <v>#REF!</v>
      </c>
      <c r="J109" s="308" t="e">
        <v>#REF!</v>
      </c>
      <c r="K109" s="29" t="s">
        <v>250</v>
      </c>
      <c r="L109" s="308"/>
      <c r="M109" s="308"/>
      <c r="N109" s="308"/>
      <c r="O109" s="733">
        <v>1</v>
      </c>
      <c r="P109" s="731" t="s">
        <v>618</v>
      </c>
      <c r="Q109" s="308" t="str">
        <f>IF(R109="","включаем","не включаем")</f>
        <v>включаем</v>
      </c>
      <c r="R109" s="732"/>
      <c r="S109" s="308"/>
      <c r="T109" s="308" t="s">
        <v>566</v>
      </c>
      <c r="V109" s="731" t="s">
        <v>996</v>
      </c>
      <c r="W109" s="406">
        <v>46173</v>
      </c>
    </row>
    <row r="110" spans="1:38" customHeight="1" ht="33.75">
      <c r="A110" s="722" t="s">
        <v>1047</v>
      </c>
      <c r="B110" s="722" t="s">
        <v>1048</v>
      </c>
      <c r="D110" s="722" t="s">
        <v>1049</v>
      </c>
      <c r="E110" s="722" t="s">
        <v>1050</v>
      </c>
      <c r="F110" s="722" t="s">
        <v>391</v>
      </c>
      <c r="G110" s="722" t="s">
        <v>392</v>
      </c>
      <c r="H110" s="308" t="str">
        <f>IF(ISBLANK(B110),"-",IF(ISERROR(FIND("вич",B110,1)),"ж","м"))</f>
        <v>м</v>
      </c>
      <c r="I110" s="308" t="e">
        <v>#REF!</v>
      </c>
      <c r="J110" s="308" t="e">
        <v>#REF!</v>
      </c>
      <c r="K110" s="29" t="s">
        <v>250</v>
      </c>
      <c r="L110" s="308"/>
      <c r="M110" s="308"/>
      <c r="N110" s="308"/>
      <c r="O110" s="733">
        <v>1</v>
      </c>
      <c r="P110" s="731" t="s">
        <v>618</v>
      </c>
      <c r="Q110" s="308" t="str">
        <f>IF(R110="","включаем","не включаем")</f>
        <v>включаем</v>
      </c>
      <c r="R110" s="732"/>
      <c r="S110" s="308"/>
      <c r="T110" s="308" t="s">
        <v>566</v>
      </c>
      <c r="V110" s="731" t="s">
        <v>996</v>
      </c>
      <c r="W110" s="406">
        <v>46173</v>
      </c>
    </row>
    <row r="111" spans="1:38" customHeight="1" ht="33.75">
      <c r="A111" s="722" t="s">
        <v>1051</v>
      </c>
      <c r="B111" s="722" t="s">
        <v>1052</v>
      </c>
      <c r="D111" s="722" t="s">
        <v>1053</v>
      </c>
      <c r="E111" s="722" t="s">
        <v>1054</v>
      </c>
      <c r="F111" s="722" t="s">
        <v>391</v>
      </c>
      <c r="G111" s="722" t="s">
        <v>392</v>
      </c>
      <c r="H111" s="308" t="str">
        <f>IF(ISBLANK(B111),"-",IF(ISERROR(FIND("вич",B111,1)),"ж","м"))</f>
        <v>м</v>
      </c>
      <c r="I111" s="308" t="e">
        <v>#REF!</v>
      </c>
      <c r="J111" s="308" t="e">
        <v>#REF!</v>
      </c>
      <c r="K111" s="29" t="s">
        <v>250</v>
      </c>
      <c r="L111" s="308"/>
      <c r="M111" s="308"/>
      <c r="N111" s="308"/>
      <c r="O111" s="733">
        <v>1</v>
      </c>
      <c r="P111" s="731" t="s">
        <v>618</v>
      </c>
      <c r="Q111" s="308" t="str">
        <f>IF(R111="","включаем","не включаем")</f>
        <v>включаем</v>
      </c>
      <c r="R111" s="732"/>
      <c r="S111" s="308"/>
      <c r="T111" s="308" t="s">
        <v>566</v>
      </c>
      <c r="V111" s="731" t="s">
        <v>996</v>
      </c>
      <c r="W111" s="406">
        <v>46173</v>
      </c>
    </row>
    <row r="112" spans="1:38" customHeight="1" ht="33.75">
      <c r="A112" s="722" t="s">
        <v>683</v>
      </c>
      <c r="B112" s="722" t="s">
        <v>1055</v>
      </c>
      <c r="D112" s="722" t="s">
        <v>1056</v>
      </c>
      <c r="E112" s="722" t="s">
        <v>1057</v>
      </c>
      <c r="F112" s="722" t="s">
        <v>391</v>
      </c>
      <c r="G112" s="722" t="s">
        <v>392</v>
      </c>
      <c r="H112" s="308" t="str">
        <f>IF(ISBLANK(B112),"-",IF(ISERROR(FIND("вич",B112,1)),"ж","м"))</f>
        <v>м</v>
      </c>
      <c r="I112" s="308" t="e">
        <v>#REF!</v>
      </c>
      <c r="J112" s="308" t="e">
        <v>#REF!</v>
      </c>
      <c r="K112" s="29" t="s">
        <v>250</v>
      </c>
      <c r="L112" s="308"/>
      <c r="M112" s="308"/>
      <c r="N112" s="308"/>
      <c r="O112" s="733">
        <v>1</v>
      </c>
      <c r="P112" s="731" t="s">
        <v>618</v>
      </c>
      <c r="Q112" s="308" t="str">
        <f>IF(R112="","включаем","не включаем")</f>
        <v>включаем</v>
      </c>
      <c r="R112" s="732"/>
      <c r="S112" s="308"/>
      <c r="T112" s="308" t="s">
        <v>566</v>
      </c>
      <c r="V112" s="731" t="s">
        <v>996</v>
      </c>
      <c r="W112" s="406">
        <v>46173</v>
      </c>
    </row>
    <row r="113" spans="1:38" customHeight="1" ht="33.75">
      <c r="A113" s="722" t="s">
        <v>1058</v>
      </c>
      <c r="B113" s="722" t="s">
        <v>1059</v>
      </c>
      <c r="D113" s="722" t="s">
        <v>1060</v>
      </c>
      <c r="E113" s="722" t="s">
        <v>1061</v>
      </c>
      <c r="F113" s="722" t="s">
        <v>391</v>
      </c>
      <c r="G113" s="722" t="s">
        <v>392</v>
      </c>
      <c r="H113" s="308" t="str">
        <f>IF(ISBLANK(B113),"-",IF(ISERROR(FIND("вич",B113,1)),"ж","м"))</f>
        <v>м</v>
      </c>
      <c r="I113" s="308" t="e">
        <v>#REF!</v>
      </c>
      <c r="J113" s="308" t="e">
        <v>#REF!</v>
      </c>
      <c r="K113" s="29" t="s">
        <v>250</v>
      </c>
      <c r="L113" s="308"/>
      <c r="M113" s="308"/>
      <c r="N113" s="308"/>
      <c r="O113" s="733">
        <v>1</v>
      </c>
      <c r="P113" s="731" t="s">
        <v>618</v>
      </c>
      <c r="Q113" s="308" t="str">
        <f>IF(R113="","включаем","не включаем")</f>
        <v>включаем</v>
      </c>
      <c r="R113" s="732"/>
      <c r="S113" s="308"/>
      <c r="T113" s="308" t="s">
        <v>566</v>
      </c>
      <c r="V113" s="731" t="s">
        <v>996</v>
      </c>
      <c r="W113" s="406">
        <v>46173</v>
      </c>
    </row>
    <row r="114" spans="1:38" customHeight="1" ht="33.75">
      <c r="A114" s="722" t="s">
        <v>1062</v>
      </c>
      <c r="B114" s="722" t="s">
        <v>1063</v>
      </c>
      <c r="D114" s="722" t="s">
        <v>1053</v>
      </c>
      <c r="E114" s="722" t="s">
        <v>1064</v>
      </c>
      <c r="F114" s="722" t="s">
        <v>391</v>
      </c>
      <c r="G114" s="722" t="s">
        <v>392</v>
      </c>
      <c r="H114" s="308" t="str">
        <f>IF(ISBLANK(B114),"-",IF(ISERROR(FIND("вич",B114,1)),"ж","м"))</f>
        <v>м</v>
      </c>
      <c r="I114" s="308" t="e">
        <v>#REF!</v>
      </c>
      <c r="J114" s="308" t="e">
        <v>#REF!</v>
      </c>
      <c r="K114" s="29" t="s">
        <v>250</v>
      </c>
      <c r="L114" s="308"/>
      <c r="M114" s="308"/>
      <c r="N114" s="308"/>
      <c r="O114" s="733">
        <v>1</v>
      </c>
      <c r="P114" s="731" t="s">
        <v>618</v>
      </c>
      <c r="Q114" s="308" t="str">
        <f>IF(R114="","включаем","не включаем")</f>
        <v>включаем</v>
      </c>
      <c r="R114" s="732"/>
      <c r="S114" s="308"/>
      <c r="T114" s="308" t="s">
        <v>566</v>
      </c>
      <c r="V114" s="731" t="s">
        <v>996</v>
      </c>
      <c r="W114" s="406">
        <v>46173</v>
      </c>
    </row>
    <row r="115" spans="1:38" customHeight="1" ht="33.75">
      <c r="A115" s="722" t="s">
        <v>1065</v>
      </c>
      <c r="B115" s="722" t="s">
        <v>1066</v>
      </c>
      <c r="D115" s="722" t="s">
        <v>1067</v>
      </c>
      <c r="E115" s="722" t="s">
        <v>1068</v>
      </c>
      <c r="F115" s="722" t="s">
        <v>391</v>
      </c>
      <c r="G115" s="722" t="s">
        <v>392</v>
      </c>
      <c r="H115" s="308" t="str">
        <f>IF(ISBLANK(B115),"-",IF(ISERROR(FIND("вич",B115,1)),"ж","м"))</f>
        <v>м</v>
      </c>
      <c r="I115" s="308" t="e">
        <v>#REF!</v>
      </c>
      <c r="J115" s="308" t="e">
        <v>#REF!</v>
      </c>
      <c r="K115" s="29" t="s">
        <v>250</v>
      </c>
      <c r="L115" s="308"/>
      <c r="M115" s="308"/>
      <c r="N115" s="308"/>
      <c r="O115" s="733">
        <v>1</v>
      </c>
      <c r="P115" s="731" t="s">
        <v>618</v>
      </c>
      <c r="Q115" s="308" t="str">
        <f>IF(R115="","включаем","не включаем")</f>
        <v>включаем</v>
      </c>
      <c r="R115" s="732"/>
      <c r="S115" s="308"/>
      <c r="T115" s="308" t="s">
        <v>566</v>
      </c>
      <c r="V115" s="731" t="s">
        <v>996</v>
      </c>
      <c r="W115" s="406">
        <v>46173</v>
      </c>
    </row>
    <row r="116" spans="1:38" customHeight="1" ht="33.75">
      <c r="A116" s="722" t="s">
        <v>691</v>
      </c>
      <c r="B116" s="722" t="s">
        <v>1069</v>
      </c>
      <c r="D116" s="722" t="s">
        <v>1070</v>
      </c>
      <c r="E116" s="722" t="s">
        <v>1071</v>
      </c>
      <c r="F116" s="722" t="s">
        <v>391</v>
      </c>
      <c r="G116" s="722" t="s">
        <v>392</v>
      </c>
      <c r="H116" s="308" t="str">
        <f>IF(ISBLANK(B116),"-",IF(ISERROR(FIND("вич",B116,1)),"ж","м"))</f>
        <v>м</v>
      </c>
      <c r="I116" s="308" t="e">
        <v>#REF!</v>
      </c>
      <c r="J116" s="308" t="e">
        <v>#REF!</v>
      </c>
      <c r="K116" s="29" t="s">
        <v>250</v>
      </c>
      <c r="L116" s="308"/>
      <c r="M116" s="308"/>
      <c r="N116" s="308"/>
      <c r="O116" s="733">
        <v>1</v>
      </c>
      <c r="P116" s="731" t="s">
        <v>618</v>
      </c>
      <c r="Q116" s="308" t="str">
        <f>IF(R116="","включаем","не включаем")</f>
        <v>включаем</v>
      </c>
      <c r="R116" s="732"/>
      <c r="S116" s="308"/>
      <c r="T116" s="308" t="s">
        <v>566</v>
      </c>
      <c r="V116" s="731" t="s">
        <v>996</v>
      </c>
      <c r="W116" s="406">
        <v>46173</v>
      </c>
    </row>
    <row r="117" spans="1:38" customHeight="1" ht="33.75">
      <c r="A117" s="722" t="s">
        <v>1072</v>
      </c>
      <c r="B117" s="722" t="s">
        <v>1073</v>
      </c>
      <c r="D117" s="722" t="s">
        <v>1074</v>
      </c>
      <c r="E117" s="723" t="s">
        <v>1075</v>
      </c>
      <c r="F117" s="722" t="s">
        <v>391</v>
      </c>
      <c r="G117" s="722" t="s">
        <v>392</v>
      </c>
      <c r="H117" s="308" t="str">
        <f>IF(ISBLANK(B117),"-",IF(ISERROR(FIND("вич",B117,1)),"ж","м"))</f>
        <v>м</v>
      </c>
      <c r="I117" s="308" t="e">
        <v>#REF!</v>
      </c>
      <c r="J117" s="308" t="e">
        <v>#REF!</v>
      </c>
      <c r="K117" s="29" t="s">
        <v>250</v>
      </c>
      <c r="L117" s="308"/>
      <c r="M117" s="308"/>
      <c r="N117" s="308"/>
      <c r="O117" s="733">
        <v>1</v>
      </c>
      <c r="P117" s="731" t="s">
        <v>618</v>
      </c>
      <c r="Q117" s="308" t="str">
        <f>IF(R117="","включаем","не включаем")</f>
        <v>включаем</v>
      </c>
      <c r="R117" s="732"/>
      <c r="S117" s="308"/>
      <c r="T117" s="308" t="s">
        <v>566</v>
      </c>
      <c r="V117" s="731" t="s">
        <v>996</v>
      </c>
      <c r="W117" s="406">
        <v>46173</v>
      </c>
    </row>
    <row r="118" spans="1:38" customHeight="1" ht="33.75">
      <c r="A118" s="722" t="s">
        <v>1076</v>
      </c>
      <c r="B118" s="722" t="s">
        <v>1077</v>
      </c>
      <c r="D118" s="722" t="s">
        <v>1078</v>
      </c>
      <c r="E118" s="722" t="s">
        <v>1079</v>
      </c>
      <c r="F118" s="722" t="s">
        <v>391</v>
      </c>
      <c r="G118" s="722" t="s">
        <v>392</v>
      </c>
      <c r="H118" s="308" t="str">
        <f>IF(ISBLANK(B118),"-",IF(ISERROR(FIND("вич",B118,1)),"ж","м"))</f>
        <v>м</v>
      </c>
      <c r="I118" s="308" t="e">
        <v>#REF!</v>
      </c>
      <c r="J118" s="308" t="e">
        <v>#REF!</v>
      </c>
      <c r="K118" s="29" t="s">
        <v>250</v>
      </c>
      <c r="L118" s="308"/>
      <c r="M118" s="308"/>
      <c r="N118" s="308"/>
      <c r="O118" s="733">
        <v>1</v>
      </c>
      <c r="P118" s="731" t="s">
        <v>618</v>
      </c>
      <c r="Q118" s="308" t="str">
        <f>IF(R118="","включаем","не включаем")</f>
        <v>включаем</v>
      </c>
      <c r="R118" s="732"/>
      <c r="S118" s="308"/>
      <c r="T118" s="308" t="s">
        <v>566</v>
      </c>
      <c r="V118" s="731" t="s">
        <v>996</v>
      </c>
      <c r="W118" s="406">
        <v>46173</v>
      </c>
    </row>
    <row r="119" spans="1:38" customHeight="1" ht="33.75">
      <c r="A119" s="722" t="s">
        <v>1080</v>
      </c>
      <c r="B119" s="722" t="s">
        <v>1081</v>
      </c>
      <c r="D119" s="722" t="s">
        <v>1082</v>
      </c>
      <c r="E119" s="722" t="s">
        <v>1083</v>
      </c>
      <c r="F119" s="722" t="s">
        <v>391</v>
      </c>
      <c r="G119" s="722" t="s">
        <v>392</v>
      </c>
      <c r="H119" s="308" t="str">
        <f>IF(ISBLANK(B119),"-",IF(ISERROR(FIND("вич",B119,1)),"ж","м"))</f>
        <v>м</v>
      </c>
      <c r="I119" s="308" t="e">
        <v>#REF!</v>
      </c>
      <c r="J119" s="308" t="e">
        <v>#REF!</v>
      </c>
      <c r="K119" s="29" t="s">
        <v>250</v>
      </c>
      <c r="L119" s="308"/>
      <c r="M119" s="308"/>
      <c r="N119" s="308"/>
      <c r="O119" s="733">
        <v>1</v>
      </c>
      <c r="P119" s="731" t="s">
        <v>618</v>
      </c>
      <c r="Q119" s="308" t="str">
        <f>IF(R119="","включаем","не включаем")</f>
        <v>включаем</v>
      </c>
      <c r="R119" s="732"/>
      <c r="S119" s="308"/>
      <c r="T119" s="308" t="s">
        <v>566</v>
      </c>
      <c r="V119" s="731" t="s">
        <v>996</v>
      </c>
      <c r="W119" s="406">
        <v>46173</v>
      </c>
    </row>
    <row r="120" spans="1:38" customHeight="1" ht="33.75">
      <c r="A120" s="722" t="s">
        <v>1084</v>
      </c>
      <c r="B120" s="722" t="s">
        <v>1085</v>
      </c>
      <c r="D120" s="722" t="s">
        <v>1086</v>
      </c>
      <c r="E120" s="722" t="s">
        <v>1087</v>
      </c>
      <c r="F120" s="722" t="s">
        <v>391</v>
      </c>
      <c r="G120" s="722" t="s">
        <v>392</v>
      </c>
      <c r="H120" s="308" t="str">
        <f>IF(ISBLANK(B120),"-",IF(ISERROR(FIND("вич",B120,1)),"ж","м"))</f>
        <v>м</v>
      </c>
      <c r="I120" s="308" t="e">
        <v>#REF!</v>
      </c>
      <c r="J120" s="308" t="e">
        <v>#REF!</v>
      </c>
      <c r="K120" s="29" t="s">
        <v>250</v>
      </c>
      <c r="L120" s="308"/>
      <c r="M120" s="308"/>
      <c r="N120" s="308"/>
      <c r="O120" s="733">
        <v>1</v>
      </c>
      <c r="P120" s="731" t="s">
        <v>618</v>
      </c>
      <c r="Q120" s="308" t="str">
        <f>IF(R120="","включаем","не включаем")</f>
        <v>включаем</v>
      </c>
      <c r="R120" s="732"/>
      <c r="S120" s="308"/>
      <c r="T120" s="308" t="s">
        <v>566</v>
      </c>
      <c r="V120" s="731" t="s">
        <v>996</v>
      </c>
      <c r="W120" s="406">
        <v>46173</v>
      </c>
    </row>
    <row r="121" spans="1:38" customHeight="1" ht="33.75">
      <c r="A121" s="722" t="s">
        <v>1088</v>
      </c>
      <c r="B121" s="722" t="s">
        <v>1089</v>
      </c>
      <c r="D121" s="722" t="s">
        <v>1090</v>
      </c>
      <c r="E121" s="722" t="s">
        <v>1091</v>
      </c>
      <c r="F121" s="722" t="s">
        <v>391</v>
      </c>
      <c r="G121" s="722" t="s">
        <v>392</v>
      </c>
      <c r="H121" s="308" t="str">
        <f>IF(ISBLANK(B121),"-",IF(ISERROR(FIND("вич",B121,1)),"ж","м"))</f>
        <v>м</v>
      </c>
      <c r="I121" s="308" t="e">
        <v>#REF!</v>
      </c>
      <c r="J121" s="308" t="e">
        <v>#REF!</v>
      </c>
      <c r="K121" s="29" t="s">
        <v>250</v>
      </c>
      <c r="L121" s="308"/>
      <c r="M121" s="308"/>
      <c r="N121" s="308"/>
      <c r="O121" s="733">
        <v>1</v>
      </c>
      <c r="P121" s="731" t="s">
        <v>618</v>
      </c>
      <c r="Q121" s="308" t="str">
        <f>IF(R121="","включаем","не включаем")</f>
        <v>включаем</v>
      </c>
      <c r="R121" s="732"/>
      <c r="S121" s="308"/>
      <c r="T121" s="308" t="s">
        <v>566</v>
      </c>
      <c r="V121" s="731" t="s">
        <v>996</v>
      </c>
      <c r="W121" s="406">
        <v>46173</v>
      </c>
    </row>
    <row r="122" spans="1:38" customHeight="1" ht="33.75">
      <c r="A122" s="722" t="s">
        <v>1092</v>
      </c>
      <c r="B122" s="722" t="s">
        <v>1093</v>
      </c>
      <c r="D122" s="722" t="s">
        <v>1094</v>
      </c>
      <c r="E122" s="722" t="s">
        <v>1095</v>
      </c>
      <c r="F122" s="722" t="s">
        <v>391</v>
      </c>
      <c r="G122" s="722" t="s">
        <v>392</v>
      </c>
      <c r="H122" s="308" t="str">
        <f>IF(ISBLANK(B122),"-",IF(ISERROR(FIND("вич",B122,1)),"ж","м"))</f>
        <v>м</v>
      </c>
      <c r="I122" s="308" t="e">
        <v>#REF!</v>
      </c>
      <c r="J122" s="308" t="e">
        <v>#REF!</v>
      </c>
      <c r="K122" s="29" t="s">
        <v>250</v>
      </c>
      <c r="L122" s="308"/>
      <c r="M122" s="308"/>
      <c r="N122" s="308"/>
      <c r="O122" s="733">
        <v>1</v>
      </c>
      <c r="P122" s="731" t="s">
        <v>618</v>
      </c>
      <c r="Q122" s="308" t="str">
        <f>IF(R122="","включаем","не включаем")</f>
        <v>включаем</v>
      </c>
      <c r="R122" s="732"/>
      <c r="S122" s="308"/>
      <c r="T122" s="308" t="s">
        <v>566</v>
      </c>
      <c r="V122" s="731" t="s">
        <v>996</v>
      </c>
      <c r="W122" s="406">
        <v>46173</v>
      </c>
    </row>
    <row r="123" spans="1:38" customHeight="1" ht="33.75">
      <c r="A123" s="722" t="s">
        <v>1096</v>
      </c>
      <c r="B123" s="722" t="s">
        <v>1097</v>
      </c>
      <c r="D123" s="722" t="s">
        <v>1098</v>
      </c>
      <c r="E123" s="722" t="s">
        <v>1099</v>
      </c>
      <c r="F123" s="722" t="s">
        <v>391</v>
      </c>
      <c r="G123" s="722" t="s">
        <v>392</v>
      </c>
      <c r="H123" s="308" t="str">
        <f>IF(ISBLANK(B123),"-",IF(ISERROR(FIND("вич",B123,1)),"ж","м"))</f>
        <v>м</v>
      </c>
      <c r="I123" s="308" t="e">
        <v>#REF!</v>
      </c>
      <c r="J123" s="308" t="e">
        <v>#REF!</v>
      </c>
      <c r="K123" s="29" t="s">
        <v>250</v>
      </c>
      <c r="L123" s="308"/>
      <c r="M123" s="308"/>
      <c r="N123" s="308"/>
      <c r="O123" s="733">
        <v>1</v>
      </c>
      <c r="P123" s="731" t="s">
        <v>618</v>
      </c>
      <c r="Q123" s="308" t="str">
        <f>IF(R123="","включаем","не включаем")</f>
        <v>включаем</v>
      </c>
      <c r="R123" s="732"/>
      <c r="S123" s="308"/>
      <c r="T123" s="308" t="s">
        <v>566</v>
      </c>
      <c r="V123" s="731" t="s">
        <v>996</v>
      </c>
      <c r="W123" s="406">
        <v>46173</v>
      </c>
    </row>
    <row r="124" spans="1:38" customHeight="1" ht="33.75">
      <c r="A124" s="722" t="s">
        <v>818</v>
      </c>
      <c r="B124" s="722" t="s">
        <v>1002</v>
      </c>
      <c r="D124" s="722" t="s">
        <v>1100</v>
      </c>
      <c r="E124" s="722" t="s">
        <v>1003</v>
      </c>
      <c r="F124" s="722" t="s">
        <v>362</v>
      </c>
      <c r="G124" s="722" t="s">
        <v>363</v>
      </c>
      <c r="H124" s="308" t="str">
        <f>IF(ISBLANK(B124),"-",IF(ISERROR(FIND("вич",B124,1)),"ж","м"))</f>
        <v>м</v>
      </c>
      <c r="I124" s="308" t="e">
        <v>#REF!</v>
      </c>
      <c r="J124" s="308" t="e">
        <v>#REF!</v>
      </c>
      <c r="K124" s="29" t="s">
        <v>349</v>
      </c>
      <c r="L124" s="308"/>
      <c r="M124" s="308"/>
      <c r="N124" s="308"/>
      <c r="O124" s="733">
        <v>1</v>
      </c>
      <c r="P124" s="731" t="s">
        <v>618</v>
      </c>
      <c r="Q124" s="308" t="str">
        <f>IF(R124="","включаем","не включаем")</f>
        <v>включаем</v>
      </c>
      <c r="R124" s="732"/>
      <c r="S124" s="308"/>
      <c r="T124" s="308" t="s">
        <v>566</v>
      </c>
      <c r="V124" s="731" t="s">
        <v>996</v>
      </c>
      <c r="W124" s="406">
        <v>46173</v>
      </c>
    </row>
    <row r="125" spans="1:38" customHeight="1" ht="33.75">
      <c r="A125" s="722" t="s">
        <v>1101</v>
      </c>
      <c r="B125" s="722" t="s">
        <v>1102</v>
      </c>
      <c r="D125" s="722" t="s">
        <v>1103</v>
      </c>
      <c r="E125" s="722" t="s">
        <v>1104</v>
      </c>
      <c r="F125" s="722" t="s">
        <v>277</v>
      </c>
      <c r="G125" s="722" t="s">
        <v>293</v>
      </c>
      <c r="H125" s="308" t="str">
        <f>IF(ISBLANK(B125),"-",IF(ISERROR(FIND("вич",B125,1)),"ж","м"))</f>
        <v>м</v>
      </c>
      <c r="I125" s="308" t="e">
        <v>#REF!</v>
      </c>
      <c r="J125" s="308" t="e">
        <v>#REF!</v>
      </c>
      <c r="K125" s="29" t="s">
        <v>176</v>
      </c>
      <c r="L125" s="308"/>
      <c r="M125" s="308"/>
      <c r="N125" s="308"/>
      <c r="O125" s="733">
        <v>1</v>
      </c>
      <c r="P125" s="731" t="s">
        <v>618</v>
      </c>
      <c r="Q125" s="308" t="str">
        <f>IF(R125="","включаем","не включаем")</f>
        <v>включаем</v>
      </c>
      <c r="R125" s="732"/>
      <c r="S125" s="308"/>
      <c r="T125" s="308" t="s">
        <v>566</v>
      </c>
      <c r="V125" s="731" t="s">
        <v>996</v>
      </c>
      <c r="W125" s="406">
        <v>46173</v>
      </c>
    </row>
    <row r="126" spans="1:38" customHeight="1" ht="33.75">
      <c r="A126" s="722" t="s">
        <v>1105</v>
      </c>
      <c r="B126" s="722" t="s">
        <v>1106</v>
      </c>
      <c r="D126" s="722" t="s">
        <v>1023</v>
      </c>
      <c r="E126" s="722" t="s">
        <v>1107</v>
      </c>
      <c r="F126" s="722" t="s">
        <v>277</v>
      </c>
      <c r="G126" s="722" t="s">
        <v>255</v>
      </c>
      <c r="H126" s="308" t="str">
        <f>IF(ISBLANK(B126),"-",IF(ISERROR(FIND("вич",B126,1)),"ж","м"))</f>
        <v>ж</v>
      </c>
      <c r="I126" s="308" t="e">
        <v>#REF!</v>
      </c>
      <c r="J126" s="308" t="e">
        <v>#REF!</v>
      </c>
      <c r="K126" s="29" t="s">
        <v>176</v>
      </c>
      <c r="L126" s="308"/>
      <c r="M126" s="308"/>
      <c r="N126" s="308"/>
      <c r="O126" s="733">
        <v>1</v>
      </c>
      <c r="P126" s="731" t="s">
        <v>618</v>
      </c>
      <c r="Q126" s="308" t="str">
        <f>IF(R126="","включаем","не включаем")</f>
        <v>включаем</v>
      </c>
      <c r="R126" s="732"/>
      <c r="S126" s="308"/>
      <c r="T126" s="308" t="s">
        <v>566</v>
      </c>
      <c r="V126" s="731" t="s">
        <v>996</v>
      </c>
      <c r="W126" s="406">
        <v>46173</v>
      </c>
    </row>
    <row r="127" spans="1:38" customHeight="1" ht="33.75">
      <c r="A127" s="722" t="s">
        <v>652</v>
      </c>
      <c r="B127" s="722" t="s">
        <v>1108</v>
      </c>
      <c r="D127" s="722" t="s">
        <v>1109</v>
      </c>
      <c r="E127" s="722" t="s">
        <v>1110</v>
      </c>
      <c r="F127" s="722" t="s">
        <v>277</v>
      </c>
      <c r="G127" s="722" t="s">
        <v>255</v>
      </c>
      <c r="H127" s="308" t="str">
        <f>IF(ISBLANK(B127),"-",IF(ISERROR(FIND("вич",B127,1)),"ж","м"))</f>
        <v>ж</v>
      </c>
      <c r="I127" s="308" t="e">
        <v>#REF!</v>
      </c>
      <c r="J127" s="308" t="e">
        <v>#REF!</v>
      </c>
      <c r="K127" s="29" t="s">
        <v>176</v>
      </c>
      <c r="L127" s="308"/>
      <c r="M127" s="308"/>
      <c r="N127" s="308"/>
      <c r="O127" s="733">
        <v>1</v>
      </c>
      <c r="P127" s="731" t="s">
        <v>618</v>
      </c>
      <c r="Q127" s="308" t="str">
        <f>IF(R127="","включаем","не включаем")</f>
        <v>включаем</v>
      </c>
      <c r="R127" s="732"/>
      <c r="S127" s="308"/>
      <c r="T127" s="308" t="s">
        <v>566</v>
      </c>
      <c r="V127" s="731" t="s">
        <v>996</v>
      </c>
      <c r="W127" s="406">
        <v>46173</v>
      </c>
    </row>
    <row r="128" spans="1:38" customHeight="1" ht="22.5">
      <c r="A128" s="722" t="s">
        <v>1111</v>
      </c>
      <c r="B128" s="722" t="s">
        <v>1112</v>
      </c>
      <c r="D128" s="722" t="s">
        <v>1113</v>
      </c>
      <c r="E128" s="722" t="s">
        <v>1114</v>
      </c>
      <c r="F128" s="722" t="s">
        <v>277</v>
      </c>
      <c r="G128" s="722" t="s">
        <v>254</v>
      </c>
      <c r="H128" s="308" t="str">
        <f>IF(ISBLANK(B128),"-",IF(ISERROR(FIND("вич",B128,1)),"ж","м"))</f>
        <v>м</v>
      </c>
      <c r="I128" s="308" t="e">
        <v>#REF!</v>
      </c>
      <c r="J128" s="308" t="e">
        <v>#REF!</v>
      </c>
      <c r="K128" s="29" t="s">
        <v>176</v>
      </c>
      <c r="L128" s="308"/>
      <c r="M128" s="308"/>
      <c r="N128" s="308"/>
      <c r="O128" s="733">
        <v>1</v>
      </c>
      <c r="P128" s="731" t="s">
        <v>618</v>
      </c>
      <c r="Q128" s="308" t="str">
        <f>IF(R128="","включаем","не включаем")</f>
        <v>включаем</v>
      </c>
      <c r="R128" s="732"/>
      <c r="S128" s="308"/>
      <c r="T128" s="308" t="s">
        <v>566</v>
      </c>
      <c r="V128" s="731" t="s">
        <v>996</v>
      </c>
      <c r="W128" s="406">
        <v>46173</v>
      </c>
    </row>
    <row r="129" spans="1:38" customHeight="1" ht="22.5">
      <c r="A129" s="722" t="s">
        <v>1115</v>
      </c>
      <c r="B129" s="722" t="s">
        <v>1116</v>
      </c>
      <c r="D129" s="722" t="s">
        <v>1117</v>
      </c>
      <c r="E129" s="722" t="s">
        <v>1118</v>
      </c>
      <c r="F129" s="722" t="s">
        <v>277</v>
      </c>
      <c r="G129" s="722" t="s">
        <v>254</v>
      </c>
      <c r="H129" s="308" t="str">
        <f>IF(ISBLANK(B129),"-",IF(ISERROR(FIND("вич",B129,1)),"ж","м"))</f>
        <v>ж</v>
      </c>
      <c r="I129" s="308" t="e">
        <v>#REF!</v>
      </c>
      <c r="J129" s="308" t="e">
        <v>#REF!</v>
      </c>
      <c r="K129" s="29" t="s">
        <v>176</v>
      </c>
      <c r="L129" s="308"/>
      <c r="M129" s="308"/>
      <c r="N129" s="308"/>
      <c r="O129" s="733">
        <v>1</v>
      </c>
      <c r="P129" s="731" t="s">
        <v>618</v>
      </c>
      <c r="Q129" s="308" t="str">
        <f>IF(R129="","включаем","не включаем")</f>
        <v>включаем</v>
      </c>
      <c r="R129" s="732"/>
      <c r="S129" s="308"/>
      <c r="T129" s="308" t="s">
        <v>566</v>
      </c>
      <c r="V129" s="731" t="s">
        <v>996</v>
      </c>
      <c r="W129" s="406">
        <v>46173</v>
      </c>
    </row>
    <row r="130" spans="1:38" customHeight="1" ht="33.75">
      <c r="A130" s="722" t="s">
        <v>1119</v>
      </c>
      <c r="B130" s="722" t="s">
        <v>1120</v>
      </c>
      <c r="D130" s="722" t="s">
        <v>993</v>
      </c>
      <c r="E130" s="722" t="s">
        <v>1121</v>
      </c>
      <c r="F130" s="722" t="s">
        <v>251</v>
      </c>
      <c r="G130" s="722" t="s">
        <v>293</v>
      </c>
      <c r="H130" s="308" t="str">
        <f>IF(ISBLANK(B130),"-",IF(ISERROR(FIND("вич",B130,1)),"ж","м"))</f>
        <v>ж</v>
      </c>
      <c r="I130" s="308" t="e">
        <v>#REF!</v>
      </c>
      <c r="J130" s="308" t="e">
        <v>#REF!</v>
      </c>
      <c r="K130" s="29" t="s">
        <v>176</v>
      </c>
      <c r="L130" s="308"/>
      <c r="M130" s="308"/>
      <c r="N130" s="308"/>
      <c r="O130" s="733">
        <v>1</v>
      </c>
      <c r="P130" s="731" t="s">
        <v>618</v>
      </c>
      <c r="Q130" s="308" t="str">
        <f>IF(R130="","включаем","не включаем")</f>
        <v>включаем</v>
      </c>
      <c r="R130" s="732"/>
      <c r="S130" s="308"/>
      <c r="T130" s="308" t="s">
        <v>566</v>
      </c>
      <c r="V130" s="731" t="s">
        <v>996</v>
      </c>
      <c r="W130" s="406">
        <v>46173</v>
      </c>
    </row>
    <row r="131" spans="1:38" customHeight="1" ht="33.75">
      <c r="A131" s="722" t="s">
        <v>1122</v>
      </c>
      <c r="B131" s="722" t="s">
        <v>1123</v>
      </c>
      <c r="D131" s="722" t="s">
        <v>1124</v>
      </c>
      <c r="E131" s="722" t="s">
        <v>1125</v>
      </c>
      <c r="F131" s="722" t="s">
        <v>251</v>
      </c>
      <c r="G131" s="722" t="s">
        <v>255</v>
      </c>
      <c r="H131" s="308" t="str">
        <f>IF(ISBLANK(B131),"-",IF(ISERROR(FIND("вич",B131,1)),"ж","м"))</f>
        <v>ж</v>
      </c>
      <c r="I131" s="308" t="e">
        <v>#REF!</v>
      </c>
      <c r="J131" s="308" t="e">
        <v>#REF!</v>
      </c>
      <c r="K131" s="29" t="s">
        <v>176</v>
      </c>
      <c r="L131" s="308"/>
      <c r="M131" s="308"/>
      <c r="N131" s="308"/>
      <c r="O131" s="733">
        <v>1</v>
      </c>
      <c r="P131" s="731" t="s">
        <v>618</v>
      </c>
      <c r="Q131" s="308" t="str">
        <f>IF(R131="","включаем","не включаем")</f>
        <v>включаем</v>
      </c>
      <c r="R131" s="732"/>
      <c r="S131" s="308"/>
      <c r="T131" s="308" t="s">
        <v>566</v>
      </c>
      <c r="V131" s="731" t="s">
        <v>996</v>
      </c>
      <c r="W131" s="406">
        <v>46173</v>
      </c>
    </row>
    <row r="132" spans="1:38" customHeight="1" ht="33.75">
      <c r="A132" s="722" t="s">
        <v>1126</v>
      </c>
      <c r="B132" s="722" t="s">
        <v>1127</v>
      </c>
      <c r="D132" s="722" t="s">
        <v>1128</v>
      </c>
      <c r="E132" s="722" t="s">
        <v>1129</v>
      </c>
      <c r="F132" s="722" t="s">
        <v>251</v>
      </c>
      <c r="G132" s="722" t="s">
        <v>254</v>
      </c>
      <c r="H132" s="308" t="str">
        <f>IF(ISBLANK(B132),"-",IF(ISERROR(FIND("вич",B132,1)),"ж","м"))</f>
        <v>м</v>
      </c>
      <c r="I132" s="308" t="e">
        <v>#REF!</v>
      </c>
      <c r="J132" s="308" t="e">
        <v>#REF!</v>
      </c>
      <c r="K132" s="29" t="s">
        <v>176</v>
      </c>
      <c r="L132" s="308"/>
      <c r="M132" s="308"/>
      <c r="N132" s="308"/>
      <c r="O132" s="733">
        <v>1</v>
      </c>
      <c r="P132" s="731" t="s">
        <v>618</v>
      </c>
      <c r="Q132" s="308" t="str">
        <f>IF(R132="","включаем","не включаем")</f>
        <v>включаем</v>
      </c>
      <c r="R132" s="732"/>
      <c r="S132" s="308"/>
      <c r="T132" s="308" t="s">
        <v>566</v>
      </c>
      <c r="V132" s="731" t="s">
        <v>996</v>
      </c>
      <c r="W132" s="406">
        <v>46173</v>
      </c>
    </row>
    <row r="133" spans="1:38" customHeight="1" ht="33.75">
      <c r="A133" s="722" t="s">
        <v>1130</v>
      </c>
      <c r="B133" s="722" t="s">
        <v>1131</v>
      </c>
      <c r="D133" s="722" t="s">
        <v>1132</v>
      </c>
      <c r="E133" s="722" t="s">
        <v>1133</v>
      </c>
      <c r="F133" s="722" t="s">
        <v>251</v>
      </c>
      <c r="G133" s="722" t="s">
        <v>256</v>
      </c>
      <c r="H133" s="308" t="str">
        <f>IF(ISBLANK(B133),"-",IF(ISERROR(FIND("вич",B133,1)),"ж","м"))</f>
        <v>ж</v>
      </c>
      <c r="I133" s="308" t="e">
        <v>#REF!</v>
      </c>
      <c r="J133" s="308" t="e">
        <v>#REF!</v>
      </c>
      <c r="K133" s="29" t="s">
        <v>176</v>
      </c>
      <c r="L133" s="308"/>
      <c r="M133" s="308"/>
      <c r="N133" s="308"/>
      <c r="O133" s="733">
        <v>1</v>
      </c>
      <c r="P133" s="731" t="s">
        <v>618</v>
      </c>
      <c r="Q133" s="308" t="str">
        <f>IF(R133="","включаем","не включаем")</f>
        <v>включаем</v>
      </c>
      <c r="R133" s="732"/>
      <c r="S133" s="308"/>
      <c r="T133" s="308" t="s">
        <v>566</v>
      </c>
      <c r="V133" s="731" t="s">
        <v>996</v>
      </c>
      <c r="W133" s="406">
        <v>46173</v>
      </c>
    </row>
    <row r="134" spans="1:38" customHeight="1" ht="33.75">
      <c r="A134" s="722" t="s">
        <v>1134</v>
      </c>
      <c r="B134" s="722" t="s">
        <v>1135</v>
      </c>
      <c r="D134" s="722" t="s">
        <v>1136</v>
      </c>
      <c r="E134" s="723" t="s">
        <v>1137</v>
      </c>
      <c r="F134" s="722" t="s">
        <v>1138</v>
      </c>
      <c r="G134" s="722" t="s">
        <v>293</v>
      </c>
      <c r="H134" s="308" t="str">
        <f>IF(ISBLANK(B134),"-",IF(ISERROR(FIND("вич",B134,1)),"ж","м"))</f>
        <v>м</v>
      </c>
      <c r="I134" s="308" t="e">
        <v>#REF!</v>
      </c>
      <c r="J134" s="308" t="e">
        <v>#REF!</v>
      </c>
      <c r="K134" s="29" t="s">
        <v>176</v>
      </c>
      <c r="L134" s="308"/>
      <c r="M134" s="308"/>
      <c r="N134" s="308"/>
      <c r="O134" s="733">
        <v>1</v>
      </c>
      <c r="P134" s="731" t="s">
        <v>618</v>
      </c>
      <c r="Q134" s="308" t="str">
        <f>IF(R134="","включаем","не включаем")</f>
        <v>включаем</v>
      </c>
      <c r="R134" s="732"/>
      <c r="S134" s="308"/>
      <c r="T134" s="308" t="s">
        <v>566</v>
      </c>
      <c r="V134" s="731" t="s">
        <v>996</v>
      </c>
      <c r="W134" s="406">
        <v>46173</v>
      </c>
    </row>
    <row r="135" spans="1:38" customHeight="1" ht="33.75">
      <c r="A135" s="722" t="s">
        <v>1139</v>
      </c>
      <c r="B135" s="722" t="s">
        <v>1140</v>
      </c>
      <c r="D135" s="722" t="s">
        <v>1141</v>
      </c>
      <c r="E135" s="722" t="s">
        <v>1142</v>
      </c>
      <c r="F135" s="722" t="s">
        <v>1138</v>
      </c>
      <c r="G135" s="722" t="s">
        <v>255</v>
      </c>
      <c r="H135" s="308" t="str">
        <f>IF(ISBLANK(B135),"-",IF(ISERROR(FIND("вич",B135,1)),"ж","м"))</f>
        <v>ж</v>
      </c>
      <c r="I135" s="308" t="e">
        <v>#REF!</v>
      </c>
      <c r="J135" s="308" t="e">
        <v>#REF!</v>
      </c>
      <c r="K135" s="29" t="s">
        <v>176</v>
      </c>
      <c r="L135" s="308"/>
      <c r="M135" s="308"/>
      <c r="N135" s="308"/>
      <c r="O135" s="733">
        <v>1</v>
      </c>
      <c r="P135" s="731" t="s">
        <v>618</v>
      </c>
      <c r="Q135" s="308" t="str">
        <f>IF(R135="","включаем","не включаем")</f>
        <v>включаем</v>
      </c>
      <c r="R135" s="732"/>
      <c r="S135" s="308"/>
      <c r="T135" s="308" t="s">
        <v>566</v>
      </c>
      <c r="V135" s="731" t="s">
        <v>996</v>
      </c>
      <c r="W135" s="406">
        <v>46173</v>
      </c>
    </row>
    <row r="136" spans="1:38" customHeight="1" ht="33.75">
      <c r="A136" s="722" t="s">
        <v>1143</v>
      </c>
      <c r="B136" s="722" t="s">
        <v>1144</v>
      </c>
      <c r="D136" s="722" t="s">
        <v>1145</v>
      </c>
      <c r="E136" s="723" t="s">
        <v>1146</v>
      </c>
      <c r="F136" s="722" t="s">
        <v>1138</v>
      </c>
      <c r="G136" s="722" t="s">
        <v>255</v>
      </c>
      <c r="H136" s="308" t="str">
        <f>IF(ISBLANK(B136),"-",IF(ISERROR(FIND("вич",B136,1)),"ж","м"))</f>
        <v>ж</v>
      </c>
      <c r="I136" s="308" t="e">
        <v>#REF!</v>
      </c>
      <c r="J136" s="308" t="e">
        <v>#REF!</v>
      </c>
      <c r="K136" s="29" t="s">
        <v>176</v>
      </c>
      <c r="L136" s="308"/>
      <c r="M136" s="308"/>
      <c r="N136" s="308"/>
      <c r="O136" s="733">
        <v>1</v>
      </c>
      <c r="P136" s="731" t="s">
        <v>618</v>
      </c>
      <c r="Q136" s="308" t="str">
        <f>IF(R136="","включаем","не включаем")</f>
        <v>включаем</v>
      </c>
      <c r="R136" s="732"/>
      <c r="S136" s="308"/>
      <c r="T136" s="308" t="s">
        <v>566</v>
      </c>
      <c r="V136" s="731" t="s">
        <v>996</v>
      </c>
      <c r="W136" s="406">
        <v>46173</v>
      </c>
    </row>
    <row r="137" spans="1:38" customHeight="1" ht="33.75">
      <c r="A137" s="722" t="s">
        <v>1147</v>
      </c>
      <c r="B137" s="722" t="s">
        <v>1148</v>
      </c>
      <c r="D137" s="722" t="s">
        <v>1149</v>
      </c>
      <c r="E137" s="722" t="s">
        <v>1150</v>
      </c>
      <c r="F137" s="722" t="s">
        <v>1138</v>
      </c>
      <c r="G137" s="722" t="s">
        <v>255</v>
      </c>
      <c r="H137" s="308" t="str">
        <f>IF(ISBLANK(B137),"-",IF(ISERROR(FIND("вич",B137,1)),"ж","м"))</f>
        <v>ж</v>
      </c>
      <c r="I137" s="308" t="e">
        <v>#REF!</v>
      </c>
      <c r="J137" s="308" t="e">
        <v>#REF!</v>
      </c>
      <c r="K137" s="29" t="s">
        <v>176</v>
      </c>
      <c r="L137" s="308"/>
      <c r="M137" s="308"/>
      <c r="N137" s="308"/>
      <c r="O137" s="733">
        <v>1</v>
      </c>
      <c r="P137" s="731" t="s">
        <v>618</v>
      </c>
      <c r="Q137" s="308" t="str">
        <f>IF(R137="","включаем","не включаем")</f>
        <v>включаем</v>
      </c>
      <c r="R137" s="732"/>
      <c r="S137" s="308"/>
      <c r="T137" s="308" t="s">
        <v>566</v>
      </c>
      <c r="V137" s="731" t="s">
        <v>996</v>
      </c>
      <c r="W137" s="406">
        <v>46173</v>
      </c>
    </row>
    <row r="138" spans="1:38" customHeight="1" ht="33.75">
      <c r="A138" s="722" t="s">
        <v>1151</v>
      </c>
      <c r="B138" s="722" t="s">
        <v>1152</v>
      </c>
      <c r="D138" s="722" t="s">
        <v>1153</v>
      </c>
      <c r="E138" s="722" t="s">
        <v>1154</v>
      </c>
      <c r="F138" s="722" t="s">
        <v>1138</v>
      </c>
      <c r="G138" s="722" t="s">
        <v>255</v>
      </c>
      <c r="H138" s="308" t="str">
        <f>IF(ISBLANK(B138),"-",IF(ISERROR(FIND("вич",B138,1)),"ж","м"))</f>
        <v>ж</v>
      </c>
      <c r="I138" s="308" t="e">
        <v>#REF!</v>
      </c>
      <c r="J138" s="308" t="e">
        <v>#REF!</v>
      </c>
      <c r="K138" s="29" t="s">
        <v>176</v>
      </c>
      <c r="L138" s="308"/>
      <c r="M138" s="308"/>
      <c r="N138" s="308"/>
      <c r="O138" s="733">
        <v>1</v>
      </c>
      <c r="P138" s="731" t="s">
        <v>618</v>
      </c>
      <c r="Q138" s="308" t="str">
        <f>IF(R138="","включаем","не включаем")</f>
        <v>включаем</v>
      </c>
      <c r="R138" s="732"/>
      <c r="S138" s="308"/>
      <c r="T138" s="308" t="s">
        <v>566</v>
      </c>
      <c r="V138" s="731" t="s">
        <v>996</v>
      </c>
      <c r="W138" s="406">
        <v>46173</v>
      </c>
    </row>
    <row r="139" spans="1:38" customHeight="1" ht="22.5">
      <c r="A139" s="722" t="s">
        <v>1155</v>
      </c>
      <c r="B139" s="722" t="s">
        <v>1156</v>
      </c>
      <c r="D139" s="722" t="s">
        <v>1157</v>
      </c>
      <c r="E139" s="722" t="s">
        <v>1158</v>
      </c>
      <c r="F139" s="722" t="s">
        <v>1138</v>
      </c>
      <c r="G139" s="722" t="s">
        <v>254</v>
      </c>
      <c r="H139" s="308" t="str">
        <f>IF(ISBLANK(B139),"-",IF(ISERROR(FIND("вич",B139,1)),"ж","м"))</f>
        <v>ж</v>
      </c>
      <c r="I139" s="308" t="e">
        <v>#REF!</v>
      </c>
      <c r="J139" s="308" t="e">
        <v>#REF!</v>
      </c>
      <c r="K139" s="29" t="s">
        <v>176</v>
      </c>
      <c r="L139" s="308"/>
      <c r="M139" s="308"/>
      <c r="N139" s="308"/>
      <c r="O139" s="733">
        <v>1</v>
      </c>
      <c r="P139" s="731" t="s">
        <v>618</v>
      </c>
      <c r="Q139" s="308" t="str">
        <f>IF(R139="","включаем","не включаем")</f>
        <v>включаем</v>
      </c>
      <c r="R139" s="732"/>
      <c r="S139" s="308"/>
      <c r="T139" s="308" t="s">
        <v>566</v>
      </c>
      <c r="V139" s="731" t="s">
        <v>996</v>
      </c>
      <c r="W139" s="406">
        <v>46173</v>
      </c>
    </row>
    <row r="140" spans="1:38" customHeight="1" ht="22.5">
      <c r="A140" s="722" t="s">
        <v>1159</v>
      </c>
      <c r="B140" s="722" t="s">
        <v>1160</v>
      </c>
      <c r="D140" s="722" t="s">
        <v>1161</v>
      </c>
      <c r="E140" s="722" t="s">
        <v>1162</v>
      </c>
      <c r="F140" s="722" t="s">
        <v>1138</v>
      </c>
      <c r="G140" s="722" t="s">
        <v>254</v>
      </c>
      <c r="H140" s="308" t="str">
        <f>IF(ISBLANK(B140),"-",IF(ISERROR(FIND("вич",B140,1)),"ж","м"))</f>
        <v>ж</v>
      </c>
      <c r="I140" s="308" t="e">
        <v>#REF!</v>
      </c>
      <c r="J140" s="308" t="e">
        <v>#REF!</v>
      </c>
      <c r="K140" s="29" t="s">
        <v>176</v>
      </c>
      <c r="L140" s="308"/>
      <c r="M140" s="308"/>
      <c r="N140" s="308"/>
      <c r="O140" s="733">
        <v>1</v>
      </c>
      <c r="P140" s="731" t="s">
        <v>618</v>
      </c>
      <c r="Q140" s="308" t="str">
        <f>IF(R140="","включаем","не включаем")</f>
        <v>включаем</v>
      </c>
      <c r="R140" s="732"/>
      <c r="S140" s="308"/>
      <c r="T140" s="308" t="s">
        <v>566</v>
      </c>
      <c r="V140" s="731" t="s">
        <v>996</v>
      </c>
      <c r="W140" s="406">
        <v>46173</v>
      </c>
    </row>
    <row r="141" spans="1:38" customHeight="1" ht="22.5">
      <c r="A141" s="722" t="s">
        <v>1163</v>
      </c>
      <c r="B141" s="722" t="s">
        <v>1164</v>
      </c>
      <c r="D141" s="722" t="s">
        <v>609</v>
      </c>
      <c r="E141" s="722" t="s">
        <v>1165</v>
      </c>
      <c r="F141" s="722" t="s">
        <v>1138</v>
      </c>
      <c r="G141" s="722" t="s">
        <v>254</v>
      </c>
      <c r="H141" s="308" t="str">
        <f>IF(ISBLANK(B141),"-",IF(ISERROR(FIND("вич",B141,1)),"ж","м"))</f>
        <v>м</v>
      </c>
      <c r="I141" s="308" t="e">
        <v>#REF!</v>
      </c>
      <c r="J141" s="308" t="e">
        <v>#REF!</v>
      </c>
      <c r="K141" s="29" t="s">
        <v>176</v>
      </c>
      <c r="L141" s="308"/>
      <c r="M141" s="308"/>
      <c r="N141" s="308"/>
      <c r="O141" s="733">
        <v>1</v>
      </c>
      <c r="P141" s="731" t="s">
        <v>618</v>
      </c>
      <c r="Q141" s="308" t="str">
        <f>IF(R141="","включаем","не включаем")</f>
        <v>включаем</v>
      </c>
      <c r="R141" s="732"/>
      <c r="S141" s="308"/>
      <c r="T141" s="308" t="s">
        <v>566</v>
      </c>
      <c r="V141" s="731" t="s">
        <v>996</v>
      </c>
      <c r="W141" s="406">
        <v>46173</v>
      </c>
    </row>
    <row r="142" spans="1:38" customHeight="1" ht="45">
      <c r="A142" s="722" t="s">
        <v>1166</v>
      </c>
      <c r="B142" s="722" t="s">
        <v>1167</v>
      </c>
      <c r="D142" s="722" t="s">
        <v>993</v>
      </c>
      <c r="E142" s="722" t="s">
        <v>1168</v>
      </c>
      <c r="F142" s="722" t="s">
        <v>1138</v>
      </c>
      <c r="G142" s="722" t="s">
        <v>1169</v>
      </c>
      <c r="H142" s="308" t="str">
        <f>IF(ISBLANK(B142),"-",IF(ISERROR(FIND("вич",B142,1)),"ж","м"))</f>
        <v>ж</v>
      </c>
      <c r="I142" s="308" t="e">
        <v>#REF!</v>
      </c>
      <c r="J142" s="308" t="e">
        <v>#REF!</v>
      </c>
      <c r="K142" s="29" t="s">
        <v>176</v>
      </c>
      <c r="L142" s="308"/>
      <c r="M142" s="308"/>
      <c r="N142" s="308"/>
      <c r="O142" s="733">
        <v>1</v>
      </c>
      <c r="P142" s="731" t="s">
        <v>618</v>
      </c>
      <c r="Q142" s="308" t="str">
        <f>IF(R142="","включаем","не включаем")</f>
        <v>включаем</v>
      </c>
      <c r="R142" s="732"/>
      <c r="S142" s="308"/>
      <c r="T142" s="308" t="s">
        <v>566</v>
      </c>
      <c r="V142" s="731" t="s">
        <v>996</v>
      </c>
      <c r="W142" s="406">
        <v>46173</v>
      </c>
    </row>
    <row r="143" spans="1:38" customHeight="1" ht="33.75">
      <c r="A143" s="722" t="s">
        <v>1170</v>
      </c>
      <c r="B143" s="722" t="s">
        <v>1171</v>
      </c>
      <c r="D143" s="722" t="s">
        <v>1172</v>
      </c>
      <c r="E143" s="722" t="s">
        <v>1173</v>
      </c>
      <c r="F143" s="722" t="s">
        <v>1174</v>
      </c>
      <c r="G143" s="722" t="s">
        <v>255</v>
      </c>
      <c r="H143" s="308" t="str">
        <f>IF(ISBLANK(B143),"-",IF(ISERROR(FIND("вич",B143,1)),"ж","м"))</f>
        <v>ж</v>
      </c>
      <c r="I143" s="308" t="e">
        <v>#REF!</v>
      </c>
      <c r="J143" s="308" t="e">
        <v>#REF!</v>
      </c>
      <c r="K143" s="29" t="s">
        <v>176</v>
      </c>
      <c r="L143" s="308"/>
      <c r="M143" s="308"/>
      <c r="N143" s="308"/>
      <c r="O143" s="733">
        <v>1</v>
      </c>
      <c r="P143" s="731" t="s">
        <v>618</v>
      </c>
      <c r="Q143" s="308" t="str">
        <f>IF(R143="","включаем","не включаем")</f>
        <v>включаем</v>
      </c>
      <c r="R143" s="732"/>
      <c r="S143" s="308"/>
      <c r="T143" s="308" t="s">
        <v>566</v>
      </c>
      <c r="V143" s="731" t="s">
        <v>996</v>
      </c>
      <c r="W143" s="406">
        <v>46173</v>
      </c>
    </row>
    <row r="144" spans="1:38" customHeight="1" ht="33.75">
      <c r="A144" s="722" t="s">
        <v>1175</v>
      </c>
      <c r="B144" s="722" t="s">
        <v>1176</v>
      </c>
      <c r="D144" s="722" t="s">
        <v>1177</v>
      </c>
      <c r="E144" s="722" t="s">
        <v>1178</v>
      </c>
      <c r="F144" s="722" t="s">
        <v>1174</v>
      </c>
      <c r="G144" s="722" t="s">
        <v>255</v>
      </c>
      <c r="H144" s="308" t="str">
        <f>IF(ISBLANK(B144),"-",IF(ISERROR(FIND("вич",B144,1)),"ж","м"))</f>
        <v>ж</v>
      </c>
      <c r="I144" s="308" t="e">
        <v>#REF!</v>
      </c>
      <c r="J144" s="308" t="e">
        <v>#REF!</v>
      </c>
      <c r="K144" s="29" t="s">
        <v>176</v>
      </c>
      <c r="L144" s="308"/>
      <c r="M144" s="308"/>
      <c r="N144" s="308"/>
      <c r="O144" s="733">
        <v>1</v>
      </c>
      <c r="P144" s="731" t="s">
        <v>618</v>
      </c>
      <c r="Q144" s="308" t="str">
        <f>IF(R144="","включаем","не включаем")</f>
        <v>включаем</v>
      </c>
      <c r="R144" s="732"/>
      <c r="S144" s="308"/>
      <c r="T144" s="308" t="s">
        <v>566</v>
      </c>
      <c r="V144" s="731" t="s">
        <v>996</v>
      </c>
      <c r="W144" s="406">
        <v>46173</v>
      </c>
    </row>
    <row r="145" spans="1:38" customHeight="1" ht="22.5">
      <c r="A145" s="722" t="s">
        <v>1179</v>
      </c>
      <c r="B145" s="722" t="s">
        <v>1180</v>
      </c>
      <c r="D145" s="722" t="s">
        <v>1181</v>
      </c>
      <c r="E145" s="722" t="s">
        <v>1182</v>
      </c>
      <c r="F145" s="722" t="s">
        <v>1174</v>
      </c>
      <c r="G145" s="722" t="s">
        <v>256</v>
      </c>
      <c r="H145" s="308" t="str">
        <f>IF(ISBLANK(B145),"-",IF(ISERROR(FIND("вич",B145,1)),"ж","м"))</f>
        <v>м</v>
      </c>
      <c r="I145" s="308" t="e">
        <v>#REF!</v>
      </c>
      <c r="J145" s="308" t="e">
        <v>#REF!</v>
      </c>
      <c r="K145" s="29" t="s">
        <v>176</v>
      </c>
      <c r="L145" s="308"/>
      <c r="M145" s="308"/>
      <c r="N145" s="308"/>
      <c r="O145" s="733">
        <v>1</v>
      </c>
      <c r="P145" s="731" t="s">
        <v>618</v>
      </c>
      <c r="Q145" s="308" t="str">
        <f>IF(R145="","включаем","не включаем")</f>
        <v>включаем</v>
      </c>
      <c r="R145" s="732"/>
      <c r="S145" s="308"/>
      <c r="T145" s="308" t="s">
        <v>566</v>
      </c>
      <c r="V145" s="731" t="s">
        <v>996</v>
      </c>
      <c r="W145" s="406">
        <v>46173</v>
      </c>
    </row>
    <row r="146" spans="1:38" customHeight="1" ht="56.25">
      <c r="A146" s="722" t="s">
        <v>1183</v>
      </c>
      <c r="B146" s="722" t="s">
        <v>1184</v>
      </c>
      <c r="D146" s="722" t="s">
        <v>1185</v>
      </c>
      <c r="E146" s="722" t="s">
        <v>1186</v>
      </c>
      <c r="F146" s="722" t="s">
        <v>1174</v>
      </c>
      <c r="G146" s="722" t="s">
        <v>1187</v>
      </c>
      <c r="H146" s="308" t="str">
        <f>IF(ISBLANK(B146),"-",IF(ISERROR(FIND("вич",B146,1)),"ж","м"))</f>
        <v>м</v>
      </c>
      <c r="I146" s="308" t="e">
        <v>#REF!</v>
      </c>
      <c r="J146" s="308" t="e">
        <v>#REF!</v>
      </c>
      <c r="K146" s="29" t="s">
        <v>176</v>
      </c>
      <c r="L146" s="308"/>
      <c r="M146" s="308"/>
      <c r="N146" s="308"/>
      <c r="O146" s="733">
        <v>1</v>
      </c>
      <c r="P146" s="731" t="s">
        <v>618</v>
      </c>
      <c r="Q146" s="308" t="str">
        <f>IF(R146="","включаем","не включаем")</f>
        <v>включаем</v>
      </c>
      <c r="R146" s="732"/>
      <c r="S146" s="308"/>
      <c r="T146" s="308" t="s">
        <v>566</v>
      </c>
      <c r="V146" s="731" t="s">
        <v>996</v>
      </c>
      <c r="W146" s="406">
        <v>46173</v>
      </c>
    </row>
    <row r="147" spans="1:38" customHeight="1" ht="33.75">
      <c r="A147" s="722" t="s">
        <v>1188</v>
      </c>
      <c r="B147" s="722" t="s">
        <v>1189</v>
      </c>
      <c r="D147" s="722" t="s">
        <v>1190</v>
      </c>
      <c r="E147" s="722" t="s">
        <v>1191</v>
      </c>
      <c r="F147" s="722" t="s">
        <v>1192</v>
      </c>
      <c r="G147" s="722" t="s">
        <v>255</v>
      </c>
      <c r="H147" s="308" t="str">
        <f>IF(ISBLANK(B147),"-",IF(ISERROR(FIND("вич",B147,1)),"ж","м"))</f>
        <v>ж</v>
      </c>
      <c r="I147" s="308" t="e">
        <v>#REF!</v>
      </c>
      <c r="J147" s="308" t="e">
        <v>#REF!</v>
      </c>
      <c r="K147" s="29" t="s">
        <v>176</v>
      </c>
      <c r="L147" s="308"/>
      <c r="M147" s="308"/>
      <c r="N147" s="308"/>
      <c r="O147" s="733">
        <v>1</v>
      </c>
      <c r="P147" s="731" t="s">
        <v>618</v>
      </c>
      <c r="Q147" s="308" t="str">
        <f>IF(R147="","включаем","не включаем")</f>
        <v>включаем</v>
      </c>
      <c r="R147" s="732"/>
      <c r="S147" s="308"/>
      <c r="T147" s="308" t="s">
        <v>566</v>
      </c>
      <c r="V147" s="731" t="s">
        <v>996</v>
      </c>
      <c r="W147" s="406">
        <v>46173</v>
      </c>
    </row>
    <row r="148" spans="1:38" customHeight="1" ht="22.5">
      <c r="A148" s="722" t="s">
        <v>1193</v>
      </c>
      <c r="B148" s="722" t="s">
        <v>1194</v>
      </c>
      <c r="D148" s="722" t="s">
        <v>993</v>
      </c>
      <c r="E148" s="722" t="s">
        <v>1195</v>
      </c>
      <c r="F148" s="722" t="s">
        <v>1192</v>
      </c>
      <c r="G148" s="722" t="s">
        <v>256</v>
      </c>
      <c r="H148" s="308" t="str">
        <f>IF(ISBLANK(B148),"-",IF(ISERROR(FIND("вич",B148,1)),"ж","м"))</f>
        <v>ж</v>
      </c>
      <c r="I148" s="308" t="e">
        <v>#REF!</v>
      </c>
      <c r="J148" s="308" t="e">
        <v>#REF!</v>
      </c>
      <c r="K148" s="29" t="s">
        <v>176</v>
      </c>
      <c r="L148" s="308"/>
      <c r="M148" s="308"/>
      <c r="N148" s="308"/>
      <c r="O148" s="733">
        <v>1</v>
      </c>
      <c r="P148" s="731" t="s">
        <v>618</v>
      </c>
      <c r="Q148" s="308" t="str">
        <f>IF(R148="","включаем","не включаем")</f>
        <v>включаем</v>
      </c>
      <c r="R148" s="732"/>
      <c r="S148" s="308"/>
      <c r="T148" s="308" t="s">
        <v>566</v>
      </c>
      <c r="V148" s="731" t="s">
        <v>996</v>
      </c>
      <c r="W148" s="406">
        <v>46173</v>
      </c>
    </row>
    <row r="149" spans="1:38" customHeight="1" ht="22.5">
      <c r="A149" s="722" t="s">
        <v>1196</v>
      </c>
      <c r="B149" s="722" t="s">
        <v>1197</v>
      </c>
      <c r="D149" s="722" t="s">
        <v>1198</v>
      </c>
      <c r="E149" s="723" t="s">
        <v>1199</v>
      </c>
      <c r="F149" s="722" t="s">
        <v>1192</v>
      </c>
      <c r="G149" s="722" t="s">
        <v>254</v>
      </c>
      <c r="H149" s="308" t="str">
        <f>IF(ISBLANK(B149),"-",IF(ISERROR(FIND("вич",B149,1)),"ж","м"))</f>
        <v>м</v>
      </c>
      <c r="I149" s="308" t="e">
        <v>#REF!</v>
      </c>
      <c r="J149" s="308" t="e">
        <v>#REF!</v>
      </c>
      <c r="K149" s="29" t="s">
        <v>176</v>
      </c>
      <c r="L149" s="308"/>
      <c r="M149" s="308"/>
      <c r="N149" s="308"/>
      <c r="O149" s="733">
        <v>1</v>
      </c>
      <c r="P149" s="731" t="s">
        <v>618</v>
      </c>
      <c r="Q149" s="308" t="str">
        <f>IF(R149="","включаем","не включаем")</f>
        <v>включаем</v>
      </c>
      <c r="R149" s="732"/>
      <c r="S149" s="308"/>
      <c r="T149" s="308" t="s">
        <v>566</v>
      </c>
      <c r="V149" s="731" t="s">
        <v>996</v>
      </c>
      <c r="W149" s="406">
        <v>46173</v>
      </c>
    </row>
    <row r="150" spans="1:38" customHeight="1" ht="33.75">
      <c r="A150" s="722" t="s">
        <v>1200</v>
      </c>
      <c r="B150" s="722" t="s">
        <v>1201</v>
      </c>
      <c r="D150" s="722" t="s">
        <v>993</v>
      </c>
      <c r="E150" s="722" t="s">
        <v>1202</v>
      </c>
      <c r="F150" s="722" t="s">
        <v>1203</v>
      </c>
      <c r="G150" s="722" t="s">
        <v>293</v>
      </c>
      <c r="H150" s="308" t="str">
        <f>IF(ISBLANK(B150),"-",IF(ISERROR(FIND("вич",B150,1)),"ж","м"))</f>
        <v>ж</v>
      </c>
      <c r="I150" s="308" t="e">
        <v>#REF!</v>
      </c>
      <c r="J150" s="308" t="e">
        <v>#REF!</v>
      </c>
      <c r="K150" s="29" t="s">
        <v>176</v>
      </c>
      <c r="L150" s="308"/>
      <c r="M150" s="308"/>
      <c r="N150" s="308"/>
      <c r="O150" s="733">
        <v>1</v>
      </c>
      <c r="P150" s="731" t="s">
        <v>618</v>
      </c>
      <c r="Q150" s="308" t="str">
        <f>IF(R150="","включаем","не включаем")</f>
        <v>включаем</v>
      </c>
      <c r="R150" s="732"/>
      <c r="S150" s="308"/>
      <c r="T150" s="308" t="s">
        <v>566</v>
      </c>
      <c r="V150" s="731" t="s">
        <v>996</v>
      </c>
      <c r="W150" s="406">
        <v>46173</v>
      </c>
    </row>
    <row r="151" spans="1:38" customHeight="1" ht="33.75">
      <c r="A151" s="722" t="s">
        <v>1204</v>
      </c>
      <c r="B151" s="722" t="s">
        <v>1205</v>
      </c>
      <c r="D151" s="722" t="s">
        <v>750</v>
      </c>
      <c r="E151" s="722" t="s">
        <v>1206</v>
      </c>
      <c r="F151" s="722" t="s">
        <v>1203</v>
      </c>
      <c r="G151" s="722" t="s">
        <v>255</v>
      </c>
      <c r="H151" s="308" t="str">
        <f>IF(ISBLANK(B151),"-",IF(ISERROR(FIND("вич",B151,1)),"ж","м"))</f>
        <v>ж</v>
      </c>
      <c r="I151" s="308" t="e">
        <v>#REF!</v>
      </c>
      <c r="J151" s="308" t="e">
        <v>#REF!</v>
      </c>
      <c r="K151" s="29" t="s">
        <v>176</v>
      </c>
      <c r="L151" s="308"/>
      <c r="M151" s="308"/>
      <c r="N151" s="308"/>
      <c r="O151" s="733">
        <v>1</v>
      </c>
      <c r="P151" s="731" t="s">
        <v>618</v>
      </c>
      <c r="Q151" s="308" t="str">
        <f>IF(R151="","включаем","не включаем")</f>
        <v>включаем</v>
      </c>
      <c r="R151" s="732"/>
      <c r="S151" s="308"/>
      <c r="T151" s="308" t="s">
        <v>566</v>
      </c>
      <c r="V151" s="731" t="s">
        <v>996</v>
      </c>
      <c r="W151" s="406">
        <v>46173</v>
      </c>
    </row>
    <row r="152" spans="1:38" customHeight="1" ht="33.75">
      <c r="A152" s="722" t="s">
        <v>1207</v>
      </c>
      <c r="B152" s="722" t="s">
        <v>1208</v>
      </c>
      <c r="D152" s="722" t="s">
        <v>662</v>
      </c>
      <c r="E152" s="722" t="s">
        <v>1209</v>
      </c>
      <c r="F152" s="722" t="s">
        <v>1203</v>
      </c>
      <c r="G152" s="722" t="s">
        <v>255</v>
      </c>
      <c r="H152" s="308" t="str">
        <f>IF(ISBLANK(B152),"-",IF(ISERROR(FIND("вич",B152,1)),"ж","м"))</f>
        <v>ж</v>
      </c>
      <c r="I152" s="308" t="e">
        <v>#REF!</v>
      </c>
      <c r="J152" s="308" t="e">
        <v>#REF!</v>
      </c>
      <c r="K152" s="29" t="s">
        <v>176</v>
      </c>
      <c r="L152" s="308"/>
      <c r="M152" s="308"/>
      <c r="N152" s="308"/>
      <c r="O152" s="733">
        <v>1</v>
      </c>
      <c r="P152" s="731" t="s">
        <v>618</v>
      </c>
      <c r="Q152" s="308" t="str">
        <f>IF(R152="","включаем","не включаем")</f>
        <v>включаем</v>
      </c>
      <c r="R152" s="732"/>
      <c r="S152" s="308"/>
      <c r="T152" s="308" t="s">
        <v>566</v>
      </c>
      <c r="V152" s="731" t="s">
        <v>996</v>
      </c>
      <c r="W152" s="406">
        <v>46173</v>
      </c>
    </row>
    <row r="153" spans="1:38" customHeight="1" ht="33.75">
      <c r="A153" s="722" t="s">
        <v>1210</v>
      </c>
      <c r="B153" s="722" t="s">
        <v>1211</v>
      </c>
      <c r="D153" s="722" t="s">
        <v>1212</v>
      </c>
      <c r="E153" s="722" t="s">
        <v>1213</v>
      </c>
      <c r="F153" s="722" t="s">
        <v>1203</v>
      </c>
      <c r="G153" s="722" t="s">
        <v>255</v>
      </c>
      <c r="H153" s="308" t="str">
        <f>IF(ISBLANK(B153),"-",IF(ISERROR(FIND("вич",B153,1)),"ж","м"))</f>
        <v>ж</v>
      </c>
      <c r="I153" s="308" t="e">
        <v>#REF!</v>
      </c>
      <c r="J153" s="308" t="e">
        <v>#REF!</v>
      </c>
      <c r="K153" s="29" t="s">
        <v>176</v>
      </c>
      <c r="L153" s="308"/>
      <c r="M153" s="308"/>
      <c r="N153" s="308"/>
      <c r="O153" s="733">
        <v>1</v>
      </c>
      <c r="P153" s="731" t="s">
        <v>618</v>
      </c>
      <c r="Q153" s="308" t="str">
        <f>IF(R153="","включаем","не включаем")</f>
        <v>не включаем</v>
      </c>
      <c r="R153" s="732" t="s">
        <v>531</v>
      </c>
      <c r="S153" s="308"/>
      <c r="T153" s="308" t="s">
        <v>566</v>
      </c>
      <c r="V153" s="731" t="s">
        <v>996</v>
      </c>
      <c r="W153" s="406">
        <v>46173</v>
      </c>
    </row>
    <row r="154" spans="1:38" customHeight="1" ht="33.75">
      <c r="A154" s="722" t="s">
        <v>1214</v>
      </c>
      <c r="B154" s="722" t="s">
        <v>1215</v>
      </c>
      <c r="D154" s="722" t="s">
        <v>1212</v>
      </c>
      <c r="E154" s="723" t="s">
        <v>1216</v>
      </c>
      <c r="F154" s="722" t="s">
        <v>1203</v>
      </c>
      <c r="G154" s="722" t="s">
        <v>255</v>
      </c>
      <c r="H154" s="308" t="str">
        <f>IF(ISBLANK(B154),"-",IF(ISERROR(FIND("вич",B154,1)),"ж","м"))</f>
        <v>ж</v>
      </c>
      <c r="I154" s="308" t="e">
        <v>#REF!</v>
      </c>
      <c r="J154" s="308" t="e">
        <v>#REF!</v>
      </c>
      <c r="K154" s="29" t="s">
        <v>176</v>
      </c>
      <c r="L154" s="308"/>
      <c r="M154" s="308"/>
      <c r="N154" s="308"/>
      <c r="O154" s="733">
        <v>1</v>
      </c>
      <c r="P154" s="731" t="s">
        <v>618</v>
      </c>
      <c r="Q154" s="308" t="str">
        <f>IF(R154="","включаем","не включаем")</f>
        <v>не включаем</v>
      </c>
      <c r="R154" s="732" t="s">
        <v>531</v>
      </c>
      <c r="S154" s="308"/>
      <c r="T154" s="308" t="s">
        <v>566</v>
      </c>
      <c r="V154" s="731" t="s">
        <v>996</v>
      </c>
      <c r="W154" s="406">
        <v>46173</v>
      </c>
    </row>
    <row r="155" spans="1:38" customHeight="1" ht="33.75">
      <c r="A155" s="722" t="s">
        <v>1217</v>
      </c>
      <c r="B155" s="722" t="s">
        <v>1218</v>
      </c>
      <c r="D155" s="722" t="s">
        <v>1219</v>
      </c>
      <c r="E155" s="722" t="s">
        <v>1220</v>
      </c>
      <c r="F155" s="722" t="s">
        <v>1203</v>
      </c>
      <c r="G155" s="722" t="s">
        <v>256</v>
      </c>
      <c r="H155" s="308" t="str">
        <f>IF(ISBLANK(B155),"-",IF(ISERROR(FIND("вич",B155,1)),"ж","м"))</f>
        <v>ж</v>
      </c>
      <c r="I155" s="308" t="e">
        <v>#REF!</v>
      </c>
      <c r="J155" s="308" t="e">
        <v>#REF!</v>
      </c>
      <c r="K155" s="29" t="s">
        <v>176</v>
      </c>
      <c r="L155" s="308"/>
      <c r="M155" s="308"/>
      <c r="N155" s="308"/>
      <c r="O155" s="733">
        <v>1</v>
      </c>
      <c r="P155" s="731" t="s">
        <v>618</v>
      </c>
      <c r="Q155" s="308" t="str">
        <f>IF(R155="","включаем","не включаем")</f>
        <v>включаем</v>
      </c>
      <c r="R155" s="732"/>
      <c r="S155" s="308"/>
      <c r="T155" s="308" t="s">
        <v>566</v>
      </c>
      <c r="V155" s="731" t="s">
        <v>996</v>
      </c>
      <c r="W155" s="406">
        <v>46173</v>
      </c>
    </row>
    <row r="156" spans="1:38" customHeight="1" ht="33.75">
      <c r="A156" s="722" t="s">
        <v>1221</v>
      </c>
      <c r="B156" s="722" t="s">
        <v>1222</v>
      </c>
      <c r="D156" s="722" t="s">
        <v>1223</v>
      </c>
      <c r="E156" s="722" t="s">
        <v>1224</v>
      </c>
      <c r="F156" s="722" t="s">
        <v>1203</v>
      </c>
      <c r="G156" s="722" t="s">
        <v>254</v>
      </c>
      <c r="H156" s="308" t="str">
        <f>IF(ISBLANK(B156),"-",IF(ISERROR(FIND("вич",B156,1)),"ж","м"))</f>
        <v>ж</v>
      </c>
      <c r="I156" s="308" t="e">
        <v>#REF!</v>
      </c>
      <c r="J156" s="308" t="e">
        <v>#REF!</v>
      </c>
      <c r="K156" s="29" t="s">
        <v>176</v>
      </c>
      <c r="L156" s="308"/>
      <c r="M156" s="308"/>
      <c r="N156" s="308"/>
      <c r="O156" s="733">
        <v>1</v>
      </c>
      <c r="P156" s="731" t="s">
        <v>618</v>
      </c>
      <c r="Q156" s="308" t="str">
        <f>IF(R156="","включаем","не включаем")</f>
        <v>включаем</v>
      </c>
      <c r="R156" s="732"/>
      <c r="S156" s="308"/>
      <c r="T156" s="308" t="s">
        <v>566</v>
      </c>
      <c r="V156" s="731" t="s">
        <v>996</v>
      </c>
      <c r="W156" s="406">
        <v>46173</v>
      </c>
    </row>
    <row r="157" spans="1:38" customHeight="1" ht="22.5">
      <c r="A157" s="722" t="s">
        <v>752</v>
      </c>
      <c r="B157" s="722" t="s">
        <v>1225</v>
      </c>
      <c r="D157" s="722" t="s">
        <v>1226</v>
      </c>
      <c r="E157" s="722" t="s">
        <v>1227</v>
      </c>
      <c r="F157" s="722" t="s">
        <v>1228</v>
      </c>
      <c r="G157" s="722" t="s">
        <v>256</v>
      </c>
      <c r="H157" s="308" t="str">
        <f>IF(ISBLANK(B157),"-",IF(ISERROR(FIND("вич",B157,1)),"ж","м"))</f>
        <v>ж</v>
      </c>
      <c r="I157" s="308" t="e">
        <v>#REF!</v>
      </c>
      <c r="J157" s="308" t="e">
        <v>#REF!</v>
      </c>
      <c r="K157" s="29" t="s">
        <v>176</v>
      </c>
      <c r="L157" s="308"/>
      <c r="M157" s="308"/>
      <c r="N157" s="308"/>
      <c r="O157" s="733">
        <v>1</v>
      </c>
      <c r="P157" s="731" t="s">
        <v>618</v>
      </c>
      <c r="Q157" s="308" t="str">
        <f>IF(R157="","включаем","не включаем")</f>
        <v>не включаем</v>
      </c>
      <c r="R157" s="732" t="s">
        <v>544</v>
      </c>
      <c r="S157" s="308"/>
      <c r="T157" s="308" t="s">
        <v>566</v>
      </c>
      <c r="V157" s="731" t="s">
        <v>996</v>
      </c>
      <c r="W157" s="406">
        <v>46173</v>
      </c>
    </row>
    <row r="158" spans="1:38" customHeight="1" ht="22.5">
      <c r="A158" s="722" t="s">
        <v>1229</v>
      </c>
      <c r="B158" s="722" t="s">
        <v>1230</v>
      </c>
      <c r="D158" s="722" t="s">
        <v>1231</v>
      </c>
      <c r="E158" s="722" t="s">
        <v>1232</v>
      </c>
      <c r="F158" s="722" t="s">
        <v>1233</v>
      </c>
      <c r="G158" s="722" t="s">
        <v>1234</v>
      </c>
      <c r="H158" s="308" t="str">
        <f>IF(ISBLANK(B158),"-",IF(ISERROR(FIND("вич",B158,1)),"ж","м"))</f>
        <v>м</v>
      </c>
      <c r="I158" s="308" t="e">
        <v>#REF!</v>
      </c>
      <c r="J158" s="308" t="e">
        <v>#REF!</v>
      </c>
      <c r="K158" s="29" t="s">
        <v>176</v>
      </c>
      <c r="L158" s="308"/>
      <c r="M158" s="308"/>
      <c r="N158" s="308"/>
      <c r="O158" s="733">
        <v>1</v>
      </c>
      <c r="P158" s="731" t="s">
        <v>618</v>
      </c>
      <c r="Q158" s="308" t="str">
        <f>IF(R158="","включаем","не включаем")</f>
        <v>включаем</v>
      </c>
      <c r="R158" s="732"/>
      <c r="S158" s="308"/>
      <c r="T158" s="308" t="s">
        <v>566</v>
      </c>
      <c r="V158" s="731" t="s">
        <v>996</v>
      </c>
      <c r="W158" s="406">
        <v>46173</v>
      </c>
    </row>
    <row r="159" spans="1:38" customHeight="1" ht="22.5">
      <c r="A159" s="722" t="s">
        <v>1235</v>
      </c>
      <c r="B159" s="722" t="s">
        <v>1236</v>
      </c>
      <c r="D159" s="722" t="s">
        <v>1237</v>
      </c>
      <c r="E159" s="722" t="s">
        <v>1238</v>
      </c>
      <c r="F159" s="722" t="s">
        <v>1233</v>
      </c>
      <c r="G159" s="722" t="s">
        <v>1239</v>
      </c>
      <c r="H159" s="308" t="str">
        <f>IF(ISBLANK(B159),"-",IF(ISERROR(FIND("вич",B159,1)),"ж","м"))</f>
        <v>ж</v>
      </c>
      <c r="I159" s="308" t="e">
        <v>#REF!</v>
      </c>
      <c r="J159" s="308" t="e">
        <v>#REF!</v>
      </c>
      <c r="K159" s="29" t="s">
        <v>176</v>
      </c>
      <c r="L159" s="308"/>
      <c r="M159" s="308"/>
      <c r="N159" s="308"/>
      <c r="O159" s="733">
        <v>1</v>
      </c>
      <c r="P159" s="731" t="s">
        <v>618</v>
      </c>
      <c r="Q159" s="308" t="str">
        <f>IF(R159="","включаем","не включаем")</f>
        <v>включаем</v>
      </c>
      <c r="R159" s="732"/>
      <c r="S159" s="308"/>
      <c r="T159" s="308" t="s">
        <v>566</v>
      </c>
      <c r="V159" s="731" t="s">
        <v>996</v>
      </c>
      <c r="W159" s="406">
        <v>46173</v>
      </c>
    </row>
    <row r="160" spans="1:38" customHeight="1" ht="22.5">
      <c r="A160" s="722" t="s">
        <v>1240</v>
      </c>
      <c r="B160" s="722" t="s">
        <v>1241</v>
      </c>
      <c r="D160" s="722" t="s">
        <v>1242</v>
      </c>
      <c r="E160" s="722" t="s">
        <v>1243</v>
      </c>
      <c r="F160" s="722" t="s">
        <v>1244</v>
      </c>
      <c r="G160" s="722" t="s">
        <v>256</v>
      </c>
      <c r="H160" s="308" t="str">
        <f>IF(ISBLANK(B160),"-",IF(ISERROR(FIND("вич",B160,1)),"ж","м"))</f>
        <v>ж</v>
      </c>
      <c r="I160" s="308" t="e">
        <v>#REF!</v>
      </c>
      <c r="J160" s="308" t="e">
        <v>#REF!</v>
      </c>
      <c r="K160" s="29" t="s">
        <v>176</v>
      </c>
      <c r="L160" s="308"/>
      <c r="M160" s="308"/>
      <c r="N160" s="308"/>
      <c r="O160" s="733">
        <v>1</v>
      </c>
      <c r="P160" s="731" t="s">
        <v>618</v>
      </c>
      <c r="Q160" s="308" t="str">
        <f>IF(R160="","включаем","не включаем")</f>
        <v>включаем</v>
      </c>
      <c r="R160" s="732"/>
      <c r="S160" s="308"/>
      <c r="T160" s="308" t="s">
        <v>566</v>
      </c>
      <c r="V160" s="731" t="s">
        <v>996</v>
      </c>
      <c r="W160" s="406">
        <v>46173</v>
      </c>
    </row>
    <row r="161" spans="1:38" customHeight="1" ht="33.75">
      <c r="A161" s="722" t="s">
        <v>1245</v>
      </c>
      <c r="B161" s="722" t="s">
        <v>1246</v>
      </c>
      <c r="D161" s="722" t="s">
        <v>1247</v>
      </c>
      <c r="E161" s="722" t="s">
        <v>1248</v>
      </c>
      <c r="F161" s="722" t="s">
        <v>1244</v>
      </c>
      <c r="G161" s="722" t="s">
        <v>475</v>
      </c>
      <c r="H161" s="308" t="str">
        <f>IF(ISBLANK(B161),"-",IF(ISERROR(FIND("вич",B161,1)),"ж","м"))</f>
        <v>ж</v>
      </c>
      <c r="I161" s="308" t="e">
        <v>#REF!</v>
      </c>
      <c r="J161" s="308" t="e">
        <v>#REF!</v>
      </c>
      <c r="K161" s="29" t="s">
        <v>176</v>
      </c>
      <c r="L161" s="308"/>
      <c r="M161" s="308"/>
      <c r="N161" s="308"/>
      <c r="O161" s="733">
        <v>1</v>
      </c>
      <c r="P161" s="731" t="s">
        <v>618</v>
      </c>
      <c r="Q161" s="308" t="str">
        <f>IF(R161="","включаем","не включаем")</f>
        <v>включаем</v>
      </c>
      <c r="R161" s="732"/>
      <c r="S161" s="308"/>
      <c r="T161" s="308" t="s">
        <v>566</v>
      </c>
      <c r="V161" s="731" t="s">
        <v>996</v>
      </c>
      <c r="W161" s="406">
        <v>46173</v>
      </c>
    </row>
    <row r="162" spans="1:38" customHeight="1" ht="22.5">
      <c r="A162" s="722" t="s">
        <v>1249</v>
      </c>
      <c r="B162" s="722" t="s">
        <v>1250</v>
      </c>
      <c r="D162" s="722" t="s">
        <v>1251</v>
      </c>
      <c r="E162" s="722" t="s">
        <v>1252</v>
      </c>
      <c r="F162" s="722" t="s">
        <v>1244</v>
      </c>
      <c r="G162" s="722" t="s">
        <v>1253</v>
      </c>
      <c r="H162" s="308" t="str">
        <f>IF(ISBLANK(B162),"-",IF(ISERROR(FIND("вич",B162,1)),"ж","м"))</f>
        <v>ж</v>
      </c>
      <c r="I162" s="308" t="e">
        <v>#REF!</v>
      </c>
      <c r="J162" s="308" t="e">
        <v>#REF!</v>
      </c>
      <c r="K162" s="29" t="s">
        <v>176</v>
      </c>
      <c r="L162" s="308"/>
      <c r="M162" s="308"/>
      <c r="N162" s="308"/>
      <c r="O162" s="733">
        <v>1</v>
      </c>
      <c r="P162" s="731" t="s">
        <v>618</v>
      </c>
      <c r="Q162" s="308" t="str">
        <f>IF(R162="","включаем","не включаем")</f>
        <v>включаем</v>
      </c>
      <c r="R162" s="732"/>
      <c r="S162" s="308"/>
      <c r="T162" s="308" t="s">
        <v>566</v>
      </c>
      <c r="V162" s="731" t="s">
        <v>996</v>
      </c>
      <c r="W162" s="406">
        <v>46173</v>
      </c>
    </row>
    <row r="163" spans="1:38" customHeight="1" ht="22.5">
      <c r="A163" s="722" t="s">
        <v>1254</v>
      </c>
      <c r="B163" s="722" t="s">
        <v>1255</v>
      </c>
      <c r="D163" s="722" t="s">
        <v>677</v>
      </c>
      <c r="E163" s="722" t="s">
        <v>1256</v>
      </c>
      <c r="F163" s="722" t="s">
        <v>1244</v>
      </c>
      <c r="G163" s="722" t="s">
        <v>1257</v>
      </c>
      <c r="H163" s="308" t="str">
        <f>IF(ISBLANK(B163),"-",IF(ISERROR(FIND("вич",B163,1)),"ж","м"))</f>
        <v>ж</v>
      </c>
      <c r="I163" s="308" t="e">
        <v>#REF!</v>
      </c>
      <c r="J163" s="308" t="e">
        <v>#REF!</v>
      </c>
      <c r="K163" s="29" t="s">
        <v>176</v>
      </c>
      <c r="L163" s="308"/>
      <c r="M163" s="308"/>
      <c r="N163" s="308"/>
      <c r="O163" s="733">
        <v>1</v>
      </c>
      <c r="P163" s="731" t="s">
        <v>618</v>
      </c>
      <c r="Q163" s="308" t="str">
        <f>IF(R163="","включаем","не включаем")</f>
        <v>включаем</v>
      </c>
      <c r="R163" s="732"/>
      <c r="S163" s="308"/>
      <c r="T163" s="308" t="s">
        <v>566</v>
      </c>
      <c r="V163" s="731" t="s">
        <v>996</v>
      </c>
      <c r="W163" s="406">
        <v>46173</v>
      </c>
    </row>
    <row r="164" spans="1:38" customHeight="1" ht="22.5">
      <c r="A164" s="722" t="s">
        <v>1258</v>
      </c>
      <c r="B164" s="722" t="s">
        <v>1259</v>
      </c>
      <c r="D164" s="722" t="s">
        <v>914</v>
      </c>
      <c r="E164" s="722" t="s">
        <v>1260</v>
      </c>
      <c r="F164" s="722" t="s">
        <v>501</v>
      </c>
      <c r="G164" s="722" t="s">
        <v>502</v>
      </c>
      <c r="H164" s="308" t="str">
        <f>IF(ISBLANK(B164),"-",IF(ISERROR(FIND("вич",B164,1)),"ж","м"))</f>
        <v>м</v>
      </c>
      <c r="I164" s="308" t="e">
        <v>#REF!</v>
      </c>
      <c r="J164" s="308" t="e">
        <v>#REF!</v>
      </c>
      <c r="K164" s="29" t="s">
        <v>592</v>
      </c>
      <c r="L164" s="308"/>
      <c r="M164" s="308"/>
      <c r="N164" s="308"/>
      <c r="O164" s="733">
        <v>1</v>
      </c>
      <c r="P164" s="731" t="s">
        <v>618</v>
      </c>
      <c r="Q164" s="308" t="str">
        <f>IF(R164="","включаем","не включаем")</f>
        <v>включаем</v>
      </c>
      <c r="R164" s="732"/>
      <c r="S164" s="308"/>
      <c r="T164" s="308" t="s">
        <v>566</v>
      </c>
      <c r="V164" s="731" t="s">
        <v>996</v>
      </c>
      <c r="W164" s="406">
        <v>46173</v>
      </c>
    </row>
    <row r="165" spans="1:38" customHeight="1" ht="22.5">
      <c r="A165" s="722" t="s">
        <v>1261</v>
      </c>
      <c r="B165" s="722" t="s">
        <v>1262</v>
      </c>
      <c r="D165" s="722" t="s">
        <v>1263</v>
      </c>
      <c r="E165" s="722" t="s">
        <v>1264</v>
      </c>
      <c r="F165" s="722" t="s">
        <v>501</v>
      </c>
      <c r="G165" s="722" t="s">
        <v>247</v>
      </c>
      <c r="H165" s="308" t="str">
        <f>IF(ISBLANK(B165),"-",IF(ISERROR(FIND("вич",B165,1)),"ж","м"))</f>
        <v>ж</v>
      </c>
      <c r="I165" s="308" t="e">
        <v>#REF!</v>
      </c>
      <c r="J165" s="308" t="e">
        <v>#REF!</v>
      </c>
      <c r="K165" s="29" t="s">
        <v>592</v>
      </c>
      <c r="L165" s="308"/>
      <c r="M165" s="308"/>
      <c r="N165" s="308"/>
      <c r="O165" s="733">
        <v>1</v>
      </c>
      <c r="P165" s="731" t="s">
        <v>618</v>
      </c>
      <c r="Q165" s="308" t="str">
        <f>IF(R165="","включаем","не включаем")</f>
        <v>включаем</v>
      </c>
      <c r="R165" s="732"/>
      <c r="S165" s="308"/>
      <c r="T165" s="308" t="s">
        <v>566</v>
      </c>
      <c r="V165" s="731" t="s">
        <v>996</v>
      </c>
      <c r="W165" s="406">
        <v>46173</v>
      </c>
    </row>
    <row r="166" spans="1:38" customHeight="1" ht="33.75">
      <c r="A166" s="722" t="s">
        <v>1265</v>
      </c>
      <c r="B166" s="722" t="s">
        <v>1266</v>
      </c>
      <c r="D166" s="722" t="s">
        <v>1267</v>
      </c>
      <c r="E166" s="722" t="s">
        <v>1268</v>
      </c>
      <c r="F166" s="722" t="s">
        <v>1269</v>
      </c>
      <c r="G166" s="722" t="s">
        <v>1270</v>
      </c>
      <c r="H166" s="308" t="str">
        <f>IF(ISBLANK(B166),"-",IF(ISERROR(FIND("вич",B166,1)),"ж","м"))</f>
        <v>м</v>
      </c>
      <c r="I166" s="308" t="e">
        <v>#REF!</v>
      </c>
      <c r="J166" s="308" t="e">
        <v>#REF!</v>
      </c>
      <c r="K166" s="29" t="s">
        <v>592</v>
      </c>
      <c r="L166" s="308"/>
      <c r="M166" s="308"/>
      <c r="N166" s="308"/>
      <c r="O166" s="733">
        <v>1</v>
      </c>
      <c r="P166" s="731" t="s">
        <v>618</v>
      </c>
      <c r="Q166" s="308" t="str">
        <f>IF(R166="","включаем","не включаем")</f>
        <v>включаем</v>
      </c>
      <c r="R166" s="732"/>
      <c r="S166" s="308"/>
      <c r="T166" s="308" t="s">
        <v>566</v>
      </c>
      <c r="V166" s="731" t="s">
        <v>996</v>
      </c>
      <c r="W166" s="406">
        <v>46173</v>
      </c>
    </row>
    <row r="167" spans="1:38" customHeight="1" ht="33.75">
      <c r="A167" s="722" t="s">
        <v>1271</v>
      </c>
      <c r="B167" s="722" t="s">
        <v>1272</v>
      </c>
      <c r="D167" s="722" t="s">
        <v>1273</v>
      </c>
      <c r="E167" s="722" t="s">
        <v>1274</v>
      </c>
      <c r="F167" s="722" t="s">
        <v>1269</v>
      </c>
      <c r="G167" s="722" t="s">
        <v>1275</v>
      </c>
      <c r="H167" s="308" t="str">
        <f>IF(ISBLANK(B167),"-",IF(ISERROR(FIND("вич",B167,1)),"ж","м"))</f>
        <v>м</v>
      </c>
      <c r="I167" s="308" t="e">
        <v>#REF!</v>
      </c>
      <c r="J167" s="308" t="e">
        <v>#REF!</v>
      </c>
      <c r="K167" s="29" t="s">
        <v>592</v>
      </c>
      <c r="L167" s="308"/>
      <c r="M167" s="308"/>
      <c r="N167" s="308"/>
      <c r="O167" s="733">
        <v>1</v>
      </c>
      <c r="P167" s="731" t="s">
        <v>618</v>
      </c>
      <c r="Q167" s="308" t="str">
        <f>IF(R167="","включаем","не включаем")</f>
        <v>включаем</v>
      </c>
      <c r="R167" s="732"/>
      <c r="S167" s="308"/>
      <c r="T167" s="308" t="s">
        <v>566</v>
      </c>
      <c r="V167" s="731" t="s">
        <v>996</v>
      </c>
      <c r="W167" s="406">
        <v>46173</v>
      </c>
    </row>
    <row r="168" spans="1:38" customHeight="1" ht="33.75">
      <c r="A168" s="722" t="s">
        <v>1276</v>
      </c>
      <c r="B168" s="722" t="s">
        <v>1277</v>
      </c>
      <c r="D168" s="722" t="s">
        <v>1278</v>
      </c>
      <c r="E168" s="722" t="s">
        <v>1279</v>
      </c>
      <c r="F168" s="722" t="s">
        <v>1280</v>
      </c>
      <c r="G168" s="722" t="s">
        <v>195</v>
      </c>
      <c r="H168" s="308" t="str">
        <f>IF(ISBLANK(B168),"-",IF(ISERROR(FIND("вич",B168,1)),"ж","м"))</f>
        <v>м</v>
      </c>
      <c r="I168" s="308" t="e">
        <v>#REF!</v>
      </c>
      <c r="J168" s="308" t="e">
        <v>#REF!</v>
      </c>
      <c r="K168" s="29" t="s">
        <v>592</v>
      </c>
      <c r="L168" s="308"/>
      <c r="M168" s="308"/>
      <c r="N168" s="308"/>
      <c r="O168" s="733">
        <v>1</v>
      </c>
      <c r="P168" s="731" t="s">
        <v>618</v>
      </c>
      <c r="Q168" s="308" t="str">
        <f>IF(R168="","включаем","не включаем")</f>
        <v>включаем</v>
      </c>
      <c r="R168" s="732"/>
      <c r="S168" s="308"/>
      <c r="T168" s="308" t="s">
        <v>566</v>
      </c>
      <c r="V168" s="731" t="s">
        <v>996</v>
      </c>
      <c r="W168" s="406">
        <v>46173</v>
      </c>
    </row>
    <row r="169" spans="1:38" customHeight="1" ht="45">
      <c r="A169" s="722" t="s">
        <v>1281</v>
      </c>
      <c r="B169" s="722" t="s">
        <v>1282</v>
      </c>
      <c r="D169" s="722" t="s">
        <v>1283</v>
      </c>
      <c r="E169" s="722" t="s">
        <v>1284</v>
      </c>
      <c r="F169" s="722" t="s">
        <v>1280</v>
      </c>
      <c r="G169" s="722" t="s">
        <v>1285</v>
      </c>
      <c r="H169" s="308" t="str">
        <f>IF(ISBLANK(B169),"-",IF(ISERROR(FIND("вич",B169,1)),"ж","м"))</f>
        <v>м</v>
      </c>
      <c r="I169" s="308" t="e">
        <v>#REF!</v>
      </c>
      <c r="J169" s="308" t="e">
        <v>#REF!</v>
      </c>
      <c r="K169" s="29" t="s">
        <v>592</v>
      </c>
      <c r="L169" s="308"/>
      <c r="M169" s="308"/>
      <c r="N169" s="308"/>
      <c r="O169" s="733">
        <v>1</v>
      </c>
      <c r="P169" s="731" t="s">
        <v>618</v>
      </c>
      <c r="Q169" s="308" t="str">
        <f>IF(R169="","включаем","не включаем")</f>
        <v>включаем</v>
      </c>
      <c r="R169" s="732"/>
      <c r="S169" s="308"/>
      <c r="T169" s="308" t="s">
        <v>566</v>
      </c>
      <c r="V169" s="731" t="s">
        <v>996</v>
      </c>
      <c r="W169" s="406">
        <v>46173</v>
      </c>
    </row>
    <row r="170" spans="1:38" customHeight="1" ht="45">
      <c r="A170" s="722" t="s">
        <v>1286</v>
      </c>
      <c r="B170" s="722" t="s">
        <v>1287</v>
      </c>
      <c r="D170" s="722" t="s">
        <v>1288</v>
      </c>
      <c r="E170" s="722" t="s">
        <v>1289</v>
      </c>
      <c r="F170" s="722" t="s">
        <v>1280</v>
      </c>
      <c r="G170" s="722" t="s">
        <v>1290</v>
      </c>
      <c r="H170" s="308" t="str">
        <f>IF(ISBLANK(B170),"-",IF(ISERROR(FIND("вич",B170,1)),"ж","м"))</f>
        <v>м</v>
      </c>
      <c r="I170" s="308" t="e">
        <v>#REF!</v>
      </c>
      <c r="J170" s="308" t="e">
        <v>#REF!</v>
      </c>
      <c r="K170" s="29" t="s">
        <v>592</v>
      </c>
      <c r="L170" s="308"/>
      <c r="M170" s="308"/>
      <c r="N170" s="308"/>
      <c r="O170" s="733">
        <v>1</v>
      </c>
      <c r="P170" s="731" t="s">
        <v>618</v>
      </c>
      <c r="Q170" s="308" t="str">
        <f>IF(R170="","включаем","не включаем")</f>
        <v>включаем</v>
      </c>
      <c r="R170" s="732"/>
      <c r="S170" s="308"/>
      <c r="T170" s="308" t="s">
        <v>566</v>
      </c>
      <c r="V170" s="731" t="s">
        <v>996</v>
      </c>
      <c r="W170" s="406">
        <v>46173</v>
      </c>
    </row>
    <row r="171" spans="1:38" customHeight="1" ht="45">
      <c r="A171" s="722" t="s">
        <v>1291</v>
      </c>
      <c r="B171" s="722" t="s">
        <v>1292</v>
      </c>
      <c r="D171" s="722" t="s">
        <v>1293</v>
      </c>
      <c r="E171" s="722" t="s">
        <v>1294</v>
      </c>
      <c r="F171" s="722" t="s">
        <v>1280</v>
      </c>
      <c r="G171" s="722" t="s">
        <v>1295</v>
      </c>
      <c r="H171" s="308" t="str">
        <f>IF(ISBLANK(B171),"-",IF(ISERROR(FIND("вич",B171,1)),"ж","м"))</f>
        <v>м</v>
      </c>
      <c r="I171" s="308" t="e">
        <v>#REF!</v>
      </c>
      <c r="J171" s="308" t="e">
        <v>#REF!</v>
      </c>
      <c r="K171" s="29" t="s">
        <v>592</v>
      </c>
      <c r="L171" s="308"/>
      <c r="M171" s="308"/>
      <c r="N171" s="308"/>
      <c r="O171" s="733">
        <v>1</v>
      </c>
      <c r="P171" s="731" t="s">
        <v>618</v>
      </c>
      <c r="Q171" s="308" t="str">
        <f>IF(R171="","включаем","не включаем")</f>
        <v>включаем</v>
      </c>
      <c r="R171" s="732"/>
      <c r="S171" s="308"/>
      <c r="T171" s="308" t="s">
        <v>566</v>
      </c>
      <c r="V171" s="731" t="s">
        <v>996</v>
      </c>
      <c r="W171" s="406">
        <v>46173</v>
      </c>
    </row>
    <row r="172" spans="1:38" customHeight="1" ht="45">
      <c r="A172" s="722" t="s">
        <v>1296</v>
      </c>
      <c r="B172" s="722" t="s">
        <v>1297</v>
      </c>
      <c r="D172" s="722" t="s">
        <v>968</v>
      </c>
      <c r="E172" s="722" t="s">
        <v>1298</v>
      </c>
      <c r="F172" s="722" t="s">
        <v>1280</v>
      </c>
      <c r="G172" s="722" t="s">
        <v>1299</v>
      </c>
      <c r="H172" s="308" t="str">
        <f>IF(ISBLANK(B172),"-",IF(ISERROR(FIND("вич",B172,1)),"ж","м"))</f>
        <v>ж</v>
      </c>
      <c r="I172" s="308" t="e">
        <v>#REF!</v>
      </c>
      <c r="J172" s="308" t="e">
        <v>#REF!</v>
      </c>
      <c r="K172" s="29" t="s">
        <v>592</v>
      </c>
      <c r="L172" s="308"/>
      <c r="M172" s="308"/>
      <c r="N172" s="308"/>
      <c r="O172" s="733">
        <v>1</v>
      </c>
      <c r="P172" s="731" t="s">
        <v>618</v>
      </c>
      <c r="Q172" s="308" t="str">
        <f>IF(R172="","включаем","не включаем")</f>
        <v>включаем</v>
      </c>
      <c r="R172" s="732"/>
      <c r="S172" s="308"/>
      <c r="T172" s="308" t="s">
        <v>566</v>
      </c>
      <c r="V172" s="731" t="s">
        <v>996</v>
      </c>
      <c r="W172" s="406">
        <v>46173</v>
      </c>
    </row>
    <row r="173" spans="1:38" customHeight="1" ht="67.5">
      <c r="A173" s="722" t="s">
        <v>1300</v>
      </c>
      <c r="B173" s="722" t="s">
        <v>1301</v>
      </c>
      <c r="D173" s="722" t="s">
        <v>937</v>
      </c>
      <c r="E173" s="723" t="s">
        <v>1302</v>
      </c>
      <c r="F173" s="722" t="s">
        <v>1303</v>
      </c>
      <c r="G173" s="722" t="s">
        <v>1304</v>
      </c>
      <c r="H173" s="308" t="str">
        <f>IF(ISBLANK(B173),"-",IF(ISERROR(FIND("вич",B173,1)),"ж","м"))</f>
        <v>ж</v>
      </c>
      <c r="I173" s="308" t="e">
        <v>#REF!</v>
      </c>
      <c r="J173" s="308" t="e">
        <v>#REF!</v>
      </c>
      <c r="K173" s="29" t="s">
        <v>592</v>
      </c>
      <c r="L173" s="308"/>
      <c r="M173" s="308"/>
      <c r="N173" s="308"/>
      <c r="O173" s="733">
        <v>1</v>
      </c>
      <c r="P173" s="731" t="s">
        <v>618</v>
      </c>
      <c r="Q173" s="308" t="str">
        <f>IF(R173="","включаем","не включаем")</f>
        <v>включаем</v>
      </c>
      <c r="R173" s="732"/>
      <c r="S173" s="308"/>
      <c r="T173" s="308" t="s">
        <v>566</v>
      </c>
      <c r="V173" s="731" t="s">
        <v>996</v>
      </c>
      <c r="W173" s="406">
        <v>46173</v>
      </c>
    </row>
    <row r="174" spans="1:38" customHeight="1" ht="22.5">
      <c r="A174" s="722" t="s">
        <v>1305</v>
      </c>
      <c r="B174" s="722" t="s">
        <v>1306</v>
      </c>
      <c r="D174" s="722" t="s">
        <v>1307</v>
      </c>
      <c r="E174" s="722" t="s">
        <v>1308</v>
      </c>
      <c r="F174" s="722" t="s">
        <v>1303</v>
      </c>
      <c r="G174" s="722" t="s">
        <v>1309</v>
      </c>
      <c r="H174" s="308" t="str">
        <f>IF(ISBLANK(B174),"-",IF(ISERROR(FIND("вич",B174,1)),"ж","м"))</f>
        <v>м</v>
      </c>
      <c r="I174" s="308" t="e">
        <v>#REF!</v>
      </c>
      <c r="J174" s="308" t="e">
        <v>#REF!</v>
      </c>
      <c r="K174" s="29" t="s">
        <v>592</v>
      </c>
      <c r="L174" s="308"/>
      <c r="M174" s="308"/>
      <c r="N174" s="308"/>
      <c r="O174" s="733">
        <v>1</v>
      </c>
      <c r="P174" s="731" t="s">
        <v>618</v>
      </c>
      <c r="Q174" s="308" t="str">
        <f>IF(R174="","включаем","не включаем")</f>
        <v>включаем</v>
      </c>
      <c r="R174" s="732"/>
      <c r="S174" s="308"/>
      <c r="T174" s="308" t="s">
        <v>566</v>
      </c>
      <c r="V174" s="731" t="s">
        <v>996</v>
      </c>
      <c r="W174" s="406">
        <v>46173</v>
      </c>
    </row>
    <row r="175" spans="1:38" customHeight="1" ht="45">
      <c r="A175" s="722" t="s">
        <v>1310</v>
      </c>
      <c r="B175" s="722" t="s">
        <v>1311</v>
      </c>
      <c r="D175" s="722" t="s">
        <v>1312</v>
      </c>
      <c r="E175" s="722" t="s">
        <v>1313</v>
      </c>
      <c r="F175" s="722" t="s">
        <v>1303</v>
      </c>
      <c r="G175" s="722" t="s">
        <v>1299</v>
      </c>
      <c r="H175" s="308" t="str">
        <f>IF(ISBLANK(B175),"-",IF(ISERROR(FIND("вич",B175,1)),"ж","м"))</f>
        <v>м</v>
      </c>
      <c r="I175" s="308" t="e">
        <v>#REF!</v>
      </c>
      <c r="J175" s="308" t="e">
        <v>#REF!</v>
      </c>
      <c r="K175" s="29" t="s">
        <v>592</v>
      </c>
      <c r="L175" s="308"/>
      <c r="M175" s="308"/>
      <c r="N175" s="308"/>
      <c r="O175" s="733">
        <v>1</v>
      </c>
      <c r="P175" s="731" t="s">
        <v>618</v>
      </c>
      <c r="Q175" s="308" t="str">
        <f>IF(R175="","включаем","не включаем")</f>
        <v>включаем</v>
      </c>
      <c r="R175" s="732"/>
      <c r="S175" s="308"/>
      <c r="T175" s="308" t="s">
        <v>566</v>
      </c>
      <c r="V175" s="731" t="s">
        <v>996</v>
      </c>
      <c r="W175" s="406">
        <v>46173</v>
      </c>
    </row>
    <row r="176" spans="1:38" customHeight="1" ht="22.5">
      <c r="A176" s="722" t="s">
        <v>1314</v>
      </c>
      <c r="B176" s="722" t="s">
        <v>1315</v>
      </c>
      <c r="D176" s="722" t="s">
        <v>1316</v>
      </c>
      <c r="E176" s="722" t="s">
        <v>1317</v>
      </c>
      <c r="F176" s="722" t="s">
        <v>123</v>
      </c>
      <c r="G176" s="722" t="s">
        <v>124</v>
      </c>
      <c r="H176" s="308" t="str">
        <f>IF(ISBLANK(B176),"-",IF(ISERROR(FIND("вич",B176,1)),"ж","м"))</f>
        <v>ж</v>
      </c>
      <c r="I176" s="308" t="e">
        <v>#REF!</v>
      </c>
      <c r="J176" s="308" t="e">
        <v>#REF!</v>
      </c>
      <c r="K176" s="29" t="s">
        <v>592</v>
      </c>
      <c r="L176" s="308"/>
      <c r="M176" s="308"/>
      <c r="N176" s="308"/>
      <c r="O176" s="733">
        <v>1</v>
      </c>
      <c r="P176" s="731" t="s">
        <v>618</v>
      </c>
      <c r="Q176" s="308" t="str">
        <f>IF(R176="","включаем","не включаем")</f>
        <v>включаем</v>
      </c>
      <c r="R176" s="732"/>
      <c r="S176" s="308"/>
      <c r="T176" s="308" t="s">
        <v>566</v>
      </c>
      <c r="V176" s="731" t="s">
        <v>996</v>
      </c>
      <c r="W176" s="406">
        <v>46173</v>
      </c>
    </row>
    <row r="177" spans="1:38" customHeight="1" ht="22.5">
      <c r="A177" s="722" t="s">
        <v>1318</v>
      </c>
      <c r="B177" s="722" t="s">
        <v>1319</v>
      </c>
      <c r="D177" s="722" t="s">
        <v>1320</v>
      </c>
      <c r="E177" s="722" t="s">
        <v>1321</v>
      </c>
      <c r="F177" s="722" t="s">
        <v>123</v>
      </c>
      <c r="G177" s="722" t="s">
        <v>124</v>
      </c>
      <c r="H177" s="308" t="str">
        <f>IF(ISBLANK(B177),"-",IF(ISERROR(FIND("вич",B177,1)),"ж","м"))</f>
        <v>ж</v>
      </c>
      <c r="I177" s="308" t="e">
        <v>#REF!</v>
      </c>
      <c r="J177" s="308" t="e">
        <v>#REF!</v>
      </c>
      <c r="K177" s="29" t="s">
        <v>592</v>
      </c>
      <c r="L177" s="308"/>
      <c r="M177" s="308"/>
      <c r="N177" s="308"/>
      <c r="O177" s="733">
        <v>1</v>
      </c>
      <c r="P177" s="731" t="s">
        <v>618</v>
      </c>
      <c r="Q177" s="308" t="str">
        <f>IF(R177="","включаем","не включаем")</f>
        <v>включаем</v>
      </c>
      <c r="R177" s="732"/>
      <c r="S177" s="308"/>
      <c r="T177" s="308" t="s">
        <v>566</v>
      </c>
      <c r="V177" s="731" t="s">
        <v>996</v>
      </c>
      <c r="W177" s="406">
        <v>46173</v>
      </c>
    </row>
    <row r="178" spans="1:38" customHeight="1" ht="22.5">
      <c r="A178" s="722" t="s">
        <v>1322</v>
      </c>
      <c r="B178" s="722" t="s">
        <v>1323</v>
      </c>
      <c r="D178" s="722" t="s">
        <v>1324</v>
      </c>
      <c r="E178" s="723" t="s">
        <v>1325</v>
      </c>
      <c r="F178" s="722" t="s">
        <v>123</v>
      </c>
      <c r="G178" s="722" t="s">
        <v>124</v>
      </c>
      <c r="H178" s="308" t="str">
        <f>IF(ISBLANK(B178),"-",IF(ISERROR(FIND("вич",B178,1)),"ж","м"))</f>
        <v>ж</v>
      </c>
      <c r="I178" s="308" t="e">
        <v>#REF!</v>
      </c>
      <c r="J178" s="308" t="e">
        <v>#REF!</v>
      </c>
      <c r="K178" s="29" t="s">
        <v>592</v>
      </c>
      <c r="L178" s="308"/>
      <c r="M178" s="308"/>
      <c r="N178" s="308"/>
      <c r="O178" s="733">
        <v>1</v>
      </c>
      <c r="P178" s="731" t="s">
        <v>618</v>
      </c>
      <c r="Q178" s="308" t="str">
        <f>IF(R178="","включаем","не включаем")</f>
        <v>включаем</v>
      </c>
      <c r="R178" s="732"/>
      <c r="S178" s="308"/>
      <c r="T178" s="308" t="s">
        <v>566</v>
      </c>
      <c r="V178" s="731" t="s">
        <v>996</v>
      </c>
      <c r="W178" s="406">
        <v>46173</v>
      </c>
    </row>
    <row r="179" spans="1:38" customHeight="1" ht="22.5">
      <c r="A179" s="722" t="s">
        <v>1326</v>
      </c>
      <c r="B179" s="722" t="s">
        <v>1327</v>
      </c>
      <c r="D179" s="722" t="s">
        <v>1328</v>
      </c>
      <c r="E179" s="722" t="s">
        <v>1329</v>
      </c>
      <c r="F179" s="722" t="s">
        <v>123</v>
      </c>
      <c r="G179" s="722" t="s">
        <v>124</v>
      </c>
      <c r="H179" s="308" t="str">
        <f>IF(ISBLANK(B179),"-",IF(ISERROR(FIND("вич",B179,1)),"ж","м"))</f>
        <v>ж</v>
      </c>
      <c r="I179" s="308" t="e">
        <v>#REF!</v>
      </c>
      <c r="J179" s="308" t="e">
        <v>#REF!</v>
      </c>
      <c r="K179" s="29" t="s">
        <v>592</v>
      </c>
      <c r="L179" s="308"/>
      <c r="M179" s="308"/>
      <c r="N179" s="308"/>
      <c r="O179" s="733">
        <v>1</v>
      </c>
      <c r="P179" s="731" t="s">
        <v>618</v>
      </c>
      <c r="Q179" s="308" t="str">
        <f>IF(R179="","включаем","не включаем")</f>
        <v>включаем</v>
      </c>
      <c r="R179" s="732"/>
      <c r="S179" s="308"/>
      <c r="T179" s="308" t="s">
        <v>566</v>
      </c>
      <c r="V179" s="731" t="s">
        <v>996</v>
      </c>
      <c r="W179" s="406">
        <v>46173</v>
      </c>
    </row>
    <row r="180" spans="1:38" customHeight="1" ht="22.5">
      <c r="A180" s="722" t="s">
        <v>1330</v>
      </c>
      <c r="B180" s="722" t="s">
        <v>1331</v>
      </c>
      <c r="D180" s="722" t="s">
        <v>1332</v>
      </c>
      <c r="E180" s="722" t="s">
        <v>1333</v>
      </c>
      <c r="F180" s="722" t="s">
        <v>123</v>
      </c>
      <c r="G180" s="722" t="s">
        <v>124</v>
      </c>
      <c r="H180" s="308" t="str">
        <f>IF(ISBLANK(B180),"-",IF(ISERROR(FIND("вич",B180,1)),"ж","м"))</f>
        <v>ж</v>
      </c>
      <c r="I180" s="308" t="e">
        <v>#REF!</v>
      </c>
      <c r="J180" s="308" t="e">
        <v>#REF!</v>
      </c>
      <c r="K180" s="29" t="s">
        <v>592</v>
      </c>
      <c r="L180" s="308"/>
      <c r="M180" s="308"/>
      <c r="N180" s="308"/>
      <c r="O180" s="733">
        <v>1</v>
      </c>
      <c r="P180" s="731" t="s">
        <v>618</v>
      </c>
      <c r="Q180" s="308" t="str">
        <f>IF(R180="","включаем","не включаем")</f>
        <v>включаем</v>
      </c>
      <c r="R180" s="732"/>
      <c r="S180" s="308"/>
      <c r="T180" s="308" t="s">
        <v>566</v>
      </c>
      <c r="V180" s="731" t="s">
        <v>996</v>
      </c>
      <c r="W180" s="406">
        <v>46173</v>
      </c>
    </row>
    <row r="181" spans="1:38" customHeight="1" ht="22.5">
      <c r="A181" s="722" t="s">
        <v>1334</v>
      </c>
      <c r="B181" s="722" t="s">
        <v>1335</v>
      </c>
      <c r="D181" s="722" t="s">
        <v>1336</v>
      </c>
      <c r="E181" s="722" t="s">
        <v>1337</v>
      </c>
      <c r="F181" s="722" t="s">
        <v>123</v>
      </c>
      <c r="G181" s="722" t="s">
        <v>124</v>
      </c>
      <c r="H181" s="308" t="str">
        <f>IF(ISBLANK(B181),"-",IF(ISERROR(FIND("вич",B181,1)),"ж","м"))</f>
        <v>ж</v>
      </c>
      <c r="I181" s="308" t="e">
        <v>#REF!</v>
      </c>
      <c r="J181" s="308" t="e">
        <v>#REF!</v>
      </c>
      <c r="K181" s="29" t="s">
        <v>592</v>
      </c>
      <c r="L181" s="308"/>
      <c r="M181" s="308"/>
      <c r="N181" s="308"/>
      <c r="O181" s="733">
        <v>1</v>
      </c>
      <c r="P181" s="731" t="s">
        <v>618</v>
      </c>
      <c r="Q181" s="308" t="str">
        <f>IF(R181="","включаем","не включаем")</f>
        <v>включаем</v>
      </c>
      <c r="R181" s="732"/>
      <c r="S181" s="308"/>
      <c r="T181" s="308" t="s">
        <v>566</v>
      </c>
      <c r="V181" s="731" t="s">
        <v>996</v>
      </c>
      <c r="W181" s="406">
        <v>46173</v>
      </c>
    </row>
    <row r="182" spans="1:38" customHeight="1" ht="22.5">
      <c r="A182" s="722" t="s">
        <v>1338</v>
      </c>
      <c r="B182" s="722" t="s">
        <v>1339</v>
      </c>
      <c r="D182" s="722" t="s">
        <v>1340</v>
      </c>
      <c r="E182" s="722" t="s">
        <v>1341</v>
      </c>
      <c r="F182" s="722" t="s">
        <v>123</v>
      </c>
      <c r="G182" s="722" t="s">
        <v>124</v>
      </c>
      <c r="H182" s="308" t="str">
        <f>IF(ISBLANK(B182),"-",IF(ISERROR(FIND("вич",B182,1)),"ж","м"))</f>
        <v>ж</v>
      </c>
      <c r="I182" s="308" t="e">
        <v>#REF!</v>
      </c>
      <c r="J182" s="308" t="e">
        <v>#REF!</v>
      </c>
      <c r="K182" s="29" t="s">
        <v>592</v>
      </c>
      <c r="L182" s="308"/>
      <c r="M182" s="308"/>
      <c r="N182" s="308"/>
      <c r="O182" s="733">
        <v>1</v>
      </c>
      <c r="P182" s="731" t="s">
        <v>618</v>
      </c>
      <c r="Q182" s="308" t="str">
        <f>IF(R182="","включаем","не включаем")</f>
        <v>включаем</v>
      </c>
      <c r="R182" s="732"/>
      <c r="S182" s="308"/>
      <c r="T182" s="308" t="s">
        <v>566</v>
      </c>
      <c r="V182" s="731" t="s">
        <v>996</v>
      </c>
      <c r="W182" s="406">
        <v>46173</v>
      </c>
    </row>
    <row r="183" spans="1:38" customHeight="1" ht="22.5">
      <c r="A183" s="722" t="s">
        <v>1342</v>
      </c>
      <c r="B183" s="722" t="s">
        <v>1343</v>
      </c>
      <c r="D183" s="722" t="s">
        <v>1344</v>
      </c>
      <c r="E183" s="722" t="s">
        <v>1345</v>
      </c>
      <c r="F183" s="722" t="s">
        <v>490</v>
      </c>
      <c r="G183" s="722" t="s">
        <v>491</v>
      </c>
      <c r="H183" s="308" t="str">
        <f>IF(ISBLANK(B183),"-",IF(ISERROR(FIND("вич",B183,1)),"ж","м"))</f>
        <v>м</v>
      </c>
      <c r="I183" s="308" t="e">
        <v>#REF!</v>
      </c>
      <c r="J183" s="308" t="e">
        <v>#REF!</v>
      </c>
      <c r="K183" s="29" t="s">
        <v>592</v>
      </c>
      <c r="L183" s="308"/>
      <c r="M183" s="308"/>
      <c r="N183" s="308"/>
      <c r="O183" s="733">
        <v>1</v>
      </c>
      <c r="P183" s="731" t="s">
        <v>618</v>
      </c>
      <c r="Q183" s="308" t="str">
        <f>IF(R183="","включаем","не включаем")</f>
        <v>включаем</v>
      </c>
      <c r="R183" s="732"/>
      <c r="S183" s="308"/>
      <c r="T183" s="308" t="s">
        <v>566</v>
      </c>
      <c r="V183" s="731" t="s">
        <v>996</v>
      </c>
      <c r="W183" s="406">
        <v>46173</v>
      </c>
    </row>
    <row r="184" spans="1:38" customHeight="1" ht="22.5">
      <c r="A184" s="722" t="s">
        <v>1346</v>
      </c>
      <c r="B184" s="722" t="s">
        <v>1347</v>
      </c>
      <c r="D184" s="722" t="s">
        <v>1348</v>
      </c>
      <c r="E184" s="722" t="s">
        <v>1349</v>
      </c>
      <c r="F184" s="722" t="s">
        <v>490</v>
      </c>
      <c r="G184" s="722" t="s">
        <v>497</v>
      </c>
      <c r="H184" s="308" t="str">
        <f>IF(ISBLANK(B184),"-",IF(ISERROR(FIND("вич",B184,1)),"ж","м"))</f>
        <v>м</v>
      </c>
      <c r="I184" s="308" t="e">
        <v>#REF!</v>
      </c>
      <c r="J184" s="308" t="e">
        <v>#REF!</v>
      </c>
      <c r="K184" s="29" t="s">
        <v>592</v>
      </c>
      <c r="L184" s="308"/>
      <c r="M184" s="308"/>
      <c r="N184" s="308"/>
      <c r="O184" s="733">
        <v>1</v>
      </c>
      <c r="P184" s="731" t="s">
        <v>618</v>
      </c>
      <c r="Q184" s="308" t="str">
        <f>IF(R184="","включаем","не включаем")</f>
        <v>включаем</v>
      </c>
      <c r="R184" s="732"/>
      <c r="S184" s="308"/>
      <c r="T184" s="308" t="s">
        <v>566</v>
      </c>
      <c r="V184" s="731" t="s">
        <v>996</v>
      </c>
      <c r="W184" s="406">
        <v>46173</v>
      </c>
    </row>
    <row r="185" spans="1:38" customHeight="1" ht="56.25">
      <c r="A185" s="722" t="s">
        <v>1350</v>
      </c>
      <c r="B185" s="722" t="s">
        <v>1351</v>
      </c>
      <c r="D185" s="722" t="s">
        <v>1352</v>
      </c>
      <c r="E185" s="722" t="s">
        <v>1353</v>
      </c>
      <c r="F185" s="722" t="s">
        <v>490</v>
      </c>
      <c r="G185" s="722" t="s">
        <v>1354</v>
      </c>
      <c r="H185" s="308" t="str">
        <f>IF(ISBLANK(B185),"-",IF(ISERROR(FIND("вич",B185,1)),"ж","м"))</f>
        <v>м</v>
      </c>
      <c r="I185" s="308" t="e">
        <v>#REF!</v>
      </c>
      <c r="J185" s="308" t="e">
        <v>#REF!</v>
      </c>
      <c r="K185" s="29" t="s">
        <v>592</v>
      </c>
      <c r="L185" s="308"/>
      <c r="M185" s="308"/>
      <c r="N185" s="308"/>
      <c r="O185" s="733">
        <v>1</v>
      </c>
      <c r="P185" s="731" t="s">
        <v>618</v>
      </c>
      <c r="Q185" s="308" t="str">
        <f>IF(R185="","включаем","не включаем")</f>
        <v>включаем</v>
      </c>
      <c r="R185" s="732"/>
      <c r="S185" s="308"/>
      <c r="T185" s="308" t="s">
        <v>566</v>
      </c>
      <c r="V185" s="731" t="s">
        <v>996</v>
      </c>
      <c r="W185" s="406">
        <v>46173</v>
      </c>
    </row>
    <row r="186" spans="1:38" customHeight="1" ht="22.5">
      <c r="A186" s="722" t="s">
        <v>1355</v>
      </c>
      <c r="B186" s="722" t="s">
        <v>992</v>
      </c>
      <c r="D186" s="722" t="s">
        <v>1356</v>
      </c>
      <c r="E186" s="722" t="s">
        <v>994</v>
      </c>
      <c r="F186" s="722" t="s">
        <v>1357</v>
      </c>
      <c r="G186" s="722" t="s">
        <v>352</v>
      </c>
      <c r="H186" s="308" t="str">
        <f>IF(ISBLANK(B186),"-",IF(ISERROR(FIND("вич",B186,1)),"ж","м"))</f>
        <v>ж</v>
      </c>
      <c r="I186" s="308" t="e">
        <v>#REF!</v>
      </c>
      <c r="J186" s="308" t="e">
        <v>#REF!</v>
      </c>
      <c r="K186" s="29" t="s">
        <v>349</v>
      </c>
      <c r="L186" s="308"/>
      <c r="M186" s="308"/>
      <c r="N186" s="308"/>
      <c r="O186" s="730" t="s">
        <v>953</v>
      </c>
      <c r="P186" s="731" t="s">
        <v>618</v>
      </c>
      <c r="Q186" s="308" t="str">
        <f>IF(R186="","включаем","не включаем")</f>
        <v>включаем</v>
      </c>
      <c r="R186" s="732"/>
      <c r="S186" s="308"/>
      <c r="T186" s="308" t="s">
        <v>566</v>
      </c>
      <c r="V186" s="731" t="s">
        <v>996</v>
      </c>
      <c r="W186" s="406">
        <v>46173</v>
      </c>
    </row>
    <row r="187" spans="1:38" customHeight="1" ht="22.5">
      <c r="A187" s="722" t="s">
        <v>1358</v>
      </c>
      <c r="B187" s="722" t="s">
        <v>1359</v>
      </c>
      <c r="D187" s="722" t="s">
        <v>914</v>
      </c>
      <c r="E187" s="722" t="s">
        <v>879</v>
      </c>
      <c r="F187" s="722" t="s">
        <v>1357</v>
      </c>
      <c r="G187" s="722" t="s">
        <v>360</v>
      </c>
      <c r="H187" s="308" t="str">
        <f>IF(ISBLANK(B187),"-",IF(ISERROR(FIND("вич",B187,1)),"ж","м"))</f>
        <v>ж</v>
      </c>
      <c r="I187" s="308" t="e">
        <v>#REF!</v>
      </c>
      <c r="J187" s="308" t="e">
        <v>#REF!</v>
      </c>
      <c r="K187" s="29" t="s">
        <v>349</v>
      </c>
      <c r="L187" s="308"/>
      <c r="M187" s="308"/>
      <c r="N187" s="308"/>
      <c r="O187" s="733">
        <v>1</v>
      </c>
      <c r="P187" s="731" t="s">
        <v>618</v>
      </c>
      <c r="Q187" s="308" t="str">
        <f>IF(R187="","включаем","не включаем")</f>
        <v>включаем</v>
      </c>
      <c r="R187" s="732"/>
      <c r="S187" s="308"/>
      <c r="T187" s="308" t="s">
        <v>566</v>
      </c>
      <c r="V187" s="731" t="s">
        <v>996</v>
      </c>
      <c r="W187" s="406">
        <v>46173</v>
      </c>
    </row>
    <row r="188" spans="1:38" customHeight="1" ht="22.5">
      <c r="A188" s="722" t="s">
        <v>1360</v>
      </c>
      <c r="B188" s="722" t="s">
        <v>1361</v>
      </c>
      <c r="D188" s="722" t="s">
        <v>1362</v>
      </c>
      <c r="E188" s="722" t="s">
        <v>1363</v>
      </c>
      <c r="F188" s="722" t="s">
        <v>152</v>
      </c>
      <c r="G188" s="722" t="s">
        <v>163</v>
      </c>
      <c r="H188" s="308" t="str">
        <f>IF(ISBLANK(B188),"-",IF(ISERROR(FIND("вич",B188,1)),"ж","м"))</f>
        <v>ж</v>
      </c>
      <c r="I188" s="308" t="e">
        <v>#REF!</v>
      </c>
      <c r="J188" s="308" t="e">
        <v>#REF!</v>
      </c>
      <c r="K188" s="29" t="s">
        <v>560</v>
      </c>
      <c r="L188" s="308"/>
      <c r="M188" s="308"/>
      <c r="N188" s="308"/>
      <c r="O188" s="733">
        <v>1</v>
      </c>
      <c r="P188" s="731" t="s">
        <v>618</v>
      </c>
      <c r="Q188" s="308" t="str">
        <f>IF(R188="","включаем","не включаем")</f>
        <v>включаем</v>
      </c>
      <c r="R188" s="732"/>
      <c r="S188" s="308"/>
      <c r="T188" s="308" t="s">
        <v>566</v>
      </c>
      <c r="V188" s="731" t="s">
        <v>996</v>
      </c>
      <c r="W188" s="406">
        <v>46173</v>
      </c>
    </row>
    <row r="189" spans="1:38" customHeight="1" ht="22.5">
      <c r="A189" s="722" t="s">
        <v>1364</v>
      </c>
      <c r="B189" s="722" t="s">
        <v>1365</v>
      </c>
      <c r="D189" s="722" t="s">
        <v>1366</v>
      </c>
      <c r="E189" s="722" t="s">
        <v>1367</v>
      </c>
      <c r="F189" s="722" t="s">
        <v>152</v>
      </c>
      <c r="G189" s="722" t="s">
        <v>161</v>
      </c>
      <c r="H189" s="308" t="str">
        <f>IF(ISBLANK(B189),"-",IF(ISERROR(FIND("вич",B189,1)),"ж","м"))</f>
        <v>ж</v>
      </c>
      <c r="I189" s="308" t="e">
        <v>#REF!</v>
      </c>
      <c r="J189" s="308" t="e">
        <v>#REF!</v>
      </c>
      <c r="K189" s="29" t="s">
        <v>560</v>
      </c>
      <c r="L189" s="308"/>
      <c r="M189" s="308"/>
      <c r="N189" s="308"/>
      <c r="O189" s="733">
        <v>1</v>
      </c>
      <c r="P189" s="731" t="s">
        <v>618</v>
      </c>
      <c r="Q189" s="308" t="str">
        <f>IF(R189="","включаем","не включаем")</f>
        <v>включаем</v>
      </c>
      <c r="R189" s="732"/>
      <c r="S189" s="308"/>
      <c r="T189" s="308" t="s">
        <v>566</v>
      </c>
      <c r="V189" s="731" t="s">
        <v>996</v>
      </c>
      <c r="W189" s="406">
        <v>46173</v>
      </c>
    </row>
    <row r="190" spans="1:38" customHeight="1" ht="33.75">
      <c r="A190" s="722" t="s">
        <v>1368</v>
      </c>
      <c r="B190" s="722" t="s">
        <v>1369</v>
      </c>
      <c r="D190" s="722" t="s">
        <v>1370</v>
      </c>
      <c r="E190" s="722" t="s">
        <v>1371</v>
      </c>
      <c r="F190" s="722" t="s">
        <v>152</v>
      </c>
      <c r="G190" s="722" t="s">
        <v>157</v>
      </c>
      <c r="H190" s="308" t="str">
        <f>IF(ISBLANK(B190),"-",IF(ISERROR(FIND("вич",B190,1)),"ж","м"))</f>
        <v>ж</v>
      </c>
      <c r="I190" s="308" t="e">
        <v>#REF!</v>
      </c>
      <c r="J190" s="308" t="e">
        <v>#REF!</v>
      </c>
      <c r="K190" s="29" t="s">
        <v>560</v>
      </c>
      <c r="L190" s="308"/>
      <c r="M190" s="308"/>
      <c r="N190" s="308"/>
      <c r="O190" s="733">
        <v>1</v>
      </c>
      <c r="P190" s="731" t="s">
        <v>618</v>
      </c>
      <c r="Q190" s="308" t="str">
        <f>IF(R190="","включаем","не включаем")</f>
        <v>включаем</v>
      </c>
      <c r="R190" s="732"/>
      <c r="S190" s="308"/>
      <c r="T190" s="308" t="s">
        <v>566</v>
      </c>
      <c r="V190" s="731" t="s">
        <v>996</v>
      </c>
      <c r="W190" s="406">
        <v>46173</v>
      </c>
    </row>
    <row r="191" spans="1:38" customHeight="1" ht="22.5">
      <c r="A191" s="722" t="s">
        <v>1372</v>
      </c>
      <c r="B191" s="722" t="s">
        <v>1373</v>
      </c>
      <c r="D191" s="722" t="s">
        <v>1374</v>
      </c>
      <c r="E191" s="722" t="s">
        <v>1375</v>
      </c>
      <c r="F191" s="722" t="s">
        <v>152</v>
      </c>
      <c r="G191" s="722" t="s">
        <v>1376</v>
      </c>
      <c r="H191" s="308" t="str">
        <f>IF(ISBLANK(B191),"-",IF(ISERROR(FIND("вич",B191,1)),"ж","м"))</f>
        <v>ж</v>
      </c>
      <c r="I191" s="308" t="e">
        <v>#REF!</v>
      </c>
      <c r="J191" s="308" t="e">
        <v>#REF!</v>
      </c>
      <c r="K191" s="29" t="s">
        <v>560</v>
      </c>
      <c r="L191" s="308"/>
      <c r="M191" s="308"/>
      <c r="N191" s="308"/>
      <c r="O191" s="733">
        <v>1</v>
      </c>
      <c r="P191" s="731" t="s">
        <v>618</v>
      </c>
      <c r="Q191" s="308" t="str">
        <f>IF(R191="","включаем","не включаем")</f>
        <v>включаем</v>
      </c>
      <c r="R191" s="732"/>
      <c r="S191" s="308"/>
      <c r="T191" s="308" t="s">
        <v>566</v>
      </c>
      <c r="V191" s="731" t="s">
        <v>996</v>
      </c>
      <c r="W191" s="406">
        <v>46173</v>
      </c>
    </row>
    <row r="192" spans="1:38" customHeight="1" ht="45">
      <c r="A192" s="722" t="s">
        <v>1377</v>
      </c>
      <c r="B192" s="722" t="s">
        <v>1378</v>
      </c>
      <c r="D192" s="722" t="s">
        <v>1379</v>
      </c>
      <c r="E192" s="723" t="s">
        <v>1380</v>
      </c>
      <c r="F192" s="722" t="s">
        <v>152</v>
      </c>
      <c r="G192" s="722" t="s">
        <v>1381</v>
      </c>
      <c r="H192" s="308" t="str">
        <f>IF(ISBLANK(B192),"-",IF(ISERROR(FIND("вич",B192,1)),"ж","м"))</f>
        <v>ж</v>
      </c>
      <c r="I192" s="308" t="e">
        <v>#REF!</v>
      </c>
      <c r="J192" s="308" t="e">
        <v>#REF!</v>
      </c>
      <c r="K192" s="29" t="s">
        <v>560</v>
      </c>
      <c r="L192" s="308"/>
      <c r="M192" s="308"/>
      <c r="N192" s="308"/>
      <c r="O192" s="733">
        <v>1</v>
      </c>
      <c r="P192" s="731" t="s">
        <v>618</v>
      </c>
      <c r="Q192" s="308" t="str">
        <f>IF(R192="","включаем","не включаем")</f>
        <v>включаем</v>
      </c>
      <c r="R192" s="732"/>
      <c r="S192" s="308"/>
      <c r="T192" s="308" t="s">
        <v>566</v>
      </c>
      <c r="V192" s="731" t="s">
        <v>996</v>
      </c>
      <c r="W192" s="406">
        <v>46173</v>
      </c>
    </row>
    <row r="193" spans="1:38" customHeight="1" ht="45">
      <c r="A193" s="722" t="s">
        <v>1382</v>
      </c>
      <c r="B193" s="722" t="s">
        <v>1383</v>
      </c>
      <c r="D193" s="722" t="s">
        <v>1384</v>
      </c>
      <c r="E193" s="722" t="s">
        <v>1385</v>
      </c>
      <c r="F193" s="722" t="s">
        <v>1386</v>
      </c>
      <c r="G193" s="722" t="s">
        <v>293</v>
      </c>
      <c r="H193" s="308" t="str">
        <f>IF(ISBLANK(B193),"-",IF(ISERROR(FIND("вич",B193,1)),"ж","м"))</f>
        <v>ж</v>
      </c>
      <c r="I193" s="308" t="e">
        <v>#REF!</v>
      </c>
      <c r="J193" s="308" t="e">
        <v>#REF!</v>
      </c>
      <c r="K193" s="29" t="s">
        <v>560</v>
      </c>
      <c r="L193" s="308"/>
      <c r="M193" s="308"/>
      <c r="N193" s="308"/>
      <c r="O193" s="733">
        <v>1</v>
      </c>
      <c r="P193" s="731" t="s">
        <v>618</v>
      </c>
      <c r="Q193" s="308" t="str">
        <f>IF(R193="","включаем","не включаем")</f>
        <v>включаем</v>
      </c>
      <c r="R193" s="732"/>
      <c r="S193" s="308"/>
      <c r="T193" s="308" t="s">
        <v>566</v>
      </c>
      <c r="V193" s="731" t="s">
        <v>996</v>
      </c>
      <c r="W193" s="406">
        <v>46173</v>
      </c>
    </row>
    <row r="194" spans="1:38" customHeight="1" ht="45">
      <c r="A194" s="722" t="s">
        <v>1387</v>
      </c>
      <c r="B194" s="722" t="s">
        <v>1388</v>
      </c>
      <c r="D194" s="722" t="s">
        <v>1389</v>
      </c>
      <c r="E194" s="722" t="s">
        <v>1390</v>
      </c>
      <c r="F194" s="722" t="s">
        <v>1386</v>
      </c>
      <c r="G194" s="722" t="s">
        <v>455</v>
      </c>
      <c r="H194" s="308" t="str">
        <f>IF(ISBLANK(B194),"-",IF(ISERROR(FIND("вич",B194,1)),"ж","м"))</f>
        <v>ж</v>
      </c>
      <c r="I194" s="308" t="e">
        <v>#REF!</v>
      </c>
      <c r="J194" s="308" t="e">
        <v>#REF!</v>
      </c>
      <c r="K194" s="29" t="s">
        <v>560</v>
      </c>
      <c r="L194" s="308"/>
      <c r="M194" s="308"/>
      <c r="N194" s="308"/>
      <c r="O194" s="733">
        <v>1</v>
      </c>
      <c r="P194" s="731" t="s">
        <v>618</v>
      </c>
      <c r="Q194" s="308" t="str">
        <f>IF(R194="","включаем","не включаем")</f>
        <v>включаем</v>
      </c>
      <c r="R194" s="732"/>
      <c r="S194" s="308"/>
      <c r="T194" s="308" t="s">
        <v>566</v>
      </c>
      <c r="V194" s="731" t="s">
        <v>996</v>
      </c>
      <c r="W194" s="406">
        <v>46173</v>
      </c>
    </row>
    <row r="195" spans="1:38" customHeight="1" ht="45">
      <c r="A195" s="722" t="s">
        <v>1391</v>
      </c>
      <c r="B195" s="722" t="s">
        <v>1392</v>
      </c>
      <c r="D195" s="722" t="s">
        <v>1393</v>
      </c>
      <c r="E195" s="722" t="s">
        <v>1394</v>
      </c>
      <c r="F195" s="722" t="s">
        <v>1386</v>
      </c>
      <c r="G195" s="722" t="s">
        <v>1395</v>
      </c>
      <c r="H195" s="308" t="str">
        <f>IF(ISBLANK(B195),"-",IF(ISERROR(FIND("вич",B195,1)),"ж","м"))</f>
        <v>ж</v>
      </c>
      <c r="I195" s="308" t="e">
        <v>#REF!</v>
      </c>
      <c r="J195" s="308" t="e">
        <v>#REF!</v>
      </c>
      <c r="K195" s="29" t="s">
        <v>560</v>
      </c>
      <c r="L195" s="308"/>
      <c r="M195" s="308"/>
      <c r="N195" s="308"/>
      <c r="O195" s="733">
        <v>1</v>
      </c>
      <c r="P195" s="731" t="s">
        <v>618</v>
      </c>
      <c r="Q195" s="308" t="str">
        <f>IF(R195="","включаем","не включаем")</f>
        <v>включаем</v>
      </c>
      <c r="R195" s="732"/>
      <c r="S195" s="308"/>
      <c r="T195" s="308" t="s">
        <v>566</v>
      </c>
      <c r="V195" s="731" t="s">
        <v>996</v>
      </c>
      <c r="W195" s="406">
        <v>46173</v>
      </c>
    </row>
    <row r="196" spans="1:38" customHeight="1" ht="45">
      <c r="A196" s="722" t="s">
        <v>1396</v>
      </c>
      <c r="B196" s="722" t="s">
        <v>1397</v>
      </c>
      <c r="D196" s="722" t="s">
        <v>1398</v>
      </c>
      <c r="E196" s="722" t="s">
        <v>1399</v>
      </c>
      <c r="F196" s="722" t="s">
        <v>1386</v>
      </c>
      <c r="G196" s="722" t="s">
        <v>1395</v>
      </c>
      <c r="H196" s="308" t="str">
        <f>IF(ISBLANK(B196),"-",IF(ISERROR(FIND("вич",B196,1)),"ж","м"))</f>
        <v>ж</v>
      </c>
      <c r="I196" s="308" t="e">
        <v>#REF!</v>
      </c>
      <c r="J196" s="308" t="e">
        <v>#REF!</v>
      </c>
      <c r="K196" s="29" t="s">
        <v>560</v>
      </c>
      <c r="L196" s="308"/>
      <c r="M196" s="308"/>
      <c r="N196" s="308"/>
      <c r="O196" s="733">
        <v>1</v>
      </c>
      <c r="P196" s="731" t="s">
        <v>618</v>
      </c>
      <c r="Q196" s="308" t="str">
        <f>IF(R196="","включаем","не включаем")</f>
        <v>включаем</v>
      </c>
      <c r="R196" s="732"/>
      <c r="S196" s="308"/>
      <c r="T196" s="308" t="s">
        <v>566</v>
      </c>
      <c r="V196" s="731" t="s">
        <v>996</v>
      </c>
      <c r="W196" s="406">
        <v>46173</v>
      </c>
    </row>
    <row r="197" spans="1:38" customHeight="1" ht="67.5">
      <c r="A197" s="722" t="s">
        <v>1400</v>
      </c>
      <c r="B197" s="722" t="s">
        <v>1401</v>
      </c>
      <c r="D197" s="722" t="s">
        <v>1100</v>
      </c>
      <c r="E197" s="722" t="s">
        <v>1402</v>
      </c>
      <c r="F197" s="722" t="s">
        <v>180</v>
      </c>
      <c r="G197" s="722" t="s">
        <v>203</v>
      </c>
      <c r="H197" s="308" t="str">
        <f>IF(ISBLANK(B197),"-",IF(ISERROR(FIND("вич",B197,1)),"ж","м"))</f>
        <v>м</v>
      </c>
      <c r="I197" s="308" t="e">
        <v>#REF!</v>
      </c>
      <c r="J197" s="308" t="e">
        <v>#REF!</v>
      </c>
      <c r="K197" s="29" t="s">
        <v>182</v>
      </c>
      <c r="L197" s="308"/>
      <c r="M197" s="308"/>
      <c r="N197" s="308"/>
      <c r="O197" s="733">
        <v>1</v>
      </c>
      <c r="P197" s="731" t="s">
        <v>618</v>
      </c>
      <c r="Q197" s="308" t="str">
        <f>IF(R197="","включаем","не включаем")</f>
        <v>включаем</v>
      </c>
      <c r="R197" s="732"/>
      <c r="S197" s="308"/>
      <c r="T197" s="308" t="s">
        <v>566</v>
      </c>
      <c r="V197" s="731" t="s">
        <v>996</v>
      </c>
      <c r="W197" s="406">
        <v>46173</v>
      </c>
    </row>
    <row r="198" spans="1:38" customHeight="1" ht="22.5">
      <c r="A198" s="722" t="s">
        <v>1403</v>
      </c>
      <c r="B198" s="722" t="s">
        <v>1404</v>
      </c>
      <c r="D198" s="722" t="s">
        <v>1405</v>
      </c>
      <c r="E198" s="722" t="s">
        <v>1406</v>
      </c>
      <c r="F198" s="722" t="s">
        <v>180</v>
      </c>
      <c r="G198" s="722" t="s">
        <v>500</v>
      </c>
      <c r="H198" s="308" t="str">
        <f>IF(ISBLANK(B198),"-",IF(ISERROR(FIND("вич",B198,1)),"ж","м"))</f>
        <v>м</v>
      </c>
      <c r="I198" s="308" t="e">
        <v>#REF!</v>
      </c>
      <c r="J198" s="308" t="e">
        <v>#REF!</v>
      </c>
      <c r="K198" s="29" t="s">
        <v>182</v>
      </c>
      <c r="L198" s="308"/>
      <c r="M198" s="308"/>
      <c r="N198" s="308"/>
      <c r="O198" s="733">
        <v>1</v>
      </c>
      <c r="P198" s="731" t="s">
        <v>618</v>
      </c>
      <c r="Q198" s="308" t="str">
        <f>IF(R198="","включаем","не включаем")</f>
        <v>включаем</v>
      </c>
      <c r="R198" s="732"/>
      <c r="S198" s="308"/>
      <c r="T198" s="308" t="s">
        <v>566</v>
      </c>
      <c r="V198" s="731" t="s">
        <v>996</v>
      </c>
      <c r="W198" s="406">
        <v>46173</v>
      </c>
    </row>
    <row r="199" spans="1:38" customHeight="1" ht="67.5">
      <c r="A199" s="722" t="s">
        <v>1407</v>
      </c>
      <c r="B199" s="722" t="s">
        <v>1408</v>
      </c>
      <c r="D199" s="722" t="s">
        <v>1100</v>
      </c>
      <c r="E199" s="722" t="s">
        <v>1409</v>
      </c>
      <c r="F199" s="722" t="s">
        <v>180</v>
      </c>
      <c r="G199" s="722" t="s">
        <v>187</v>
      </c>
      <c r="H199" s="308" t="str">
        <f>IF(ISBLANK(B199),"-",IF(ISERROR(FIND("вич",B199,1)),"ж","м"))</f>
        <v>м</v>
      </c>
      <c r="I199" s="308" t="e">
        <v>#REF!</v>
      </c>
      <c r="J199" s="308" t="e">
        <v>#REF!</v>
      </c>
      <c r="K199" s="29" t="s">
        <v>182</v>
      </c>
      <c r="L199" s="308"/>
      <c r="M199" s="308"/>
      <c r="N199" s="308"/>
      <c r="O199" s="733">
        <v>1</v>
      </c>
      <c r="P199" s="731" t="s">
        <v>618</v>
      </c>
      <c r="Q199" s="308" t="str">
        <f>IF(R199="","включаем","не включаем")</f>
        <v>включаем</v>
      </c>
      <c r="R199" s="732"/>
      <c r="S199" s="308"/>
      <c r="T199" s="308" t="s">
        <v>566</v>
      </c>
      <c r="V199" s="731" t="s">
        <v>996</v>
      </c>
      <c r="W199" s="406">
        <v>46173</v>
      </c>
    </row>
    <row r="200" spans="1:38" customHeight="1" ht="67.5">
      <c r="A200" s="722" t="s">
        <v>1410</v>
      </c>
      <c r="B200" s="722" t="s">
        <v>1411</v>
      </c>
      <c r="D200" s="722" t="s">
        <v>1412</v>
      </c>
      <c r="E200" s="723" t="s">
        <v>1413</v>
      </c>
      <c r="F200" s="722" t="s">
        <v>180</v>
      </c>
      <c r="G200" s="722" t="s">
        <v>204</v>
      </c>
      <c r="H200" s="308" t="str">
        <f>IF(ISBLANK(B200),"-",IF(ISERROR(FIND("вич",B200,1)),"ж","м"))</f>
        <v>м</v>
      </c>
      <c r="I200" s="308" t="e">
        <v>#REF!</v>
      </c>
      <c r="J200" s="308" t="e">
        <v>#REF!</v>
      </c>
      <c r="K200" s="29" t="s">
        <v>182</v>
      </c>
      <c r="L200" s="308"/>
      <c r="M200" s="308"/>
      <c r="N200" s="308"/>
      <c r="O200" s="733">
        <v>1</v>
      </c>
      <c r="P200" s="731" t="s">
        <v>618</v>
      </c>
      <c r="Q200" s="308" t="str">
        <f>IF(R200="","включаем","не включаем")</f>
        <v>включаем</v>
      </c>
      <c r="R200" s="732"/>
      <c r="S200" s="308"/>
      <c r="T200" s="308" t="s">
        <v>566</v>
      </c>
      <c r="V200" s="731" t="s">
        <v>996</v>
      </c>
      <c r="W200" s="406">
        <v>46173</v>
      </c>
    </row>
    <row r="201" spans="1:38" customHeight="1" ht="56.25">
      <c r="A201" s="722" t="s">
        <v>1414</v>
      </c>
      <c r="B201" s="722" t="s">
        <v>1415</v>
      </c>
      <c r="D201" s="722" t="s">
        <v>1100</v>
      </c>
      <c r="E201" s="722" t="s">
        <v>1416</v>
      </c>
      <c r="F201" s="722" t="s">
        <v>180</v>
      </c>
      <c r="G201" s="722" t="s">
        <v>1417</v>
      </c>
      <c r="H201" s="308" t="str">
        <f>IF(ISBLANK(B201),"-",IF(ISERROR(FIND("вич",B201,1)),"ж","м"))</f>
        <v>ж</v>
      </c>
      <c r="I201" s="308" t="e">
        <v>#REF!</v>
      </c>
      <c r="J201" s="308" t="e">
        <v>#REF!</v>
      </c>
      <c r="K201" s="29" t="s">
        <v>182</v>
      </c>
      <c r="L201" s="308"/>
      <c r="M201" s="308"/>
      <c r="N201" s="308"/>
      <c r="O201" s="733">
        <v>1</v>
      </c>
      <c r="P201" s="731" t="s">
        <v>618</v>
      </c>
      <c r="Q201" s="308" t="str">
        <f>IF(R201="","включаем","не включаем")</f>
        <v>не включаем</v>
      </c>
      <c r="R201" s="732" t="s">
        <v>544</v>
      </c>
      <c r="S201" s="308"/>
      <c r="T201" s="308" t="s">
        <v>566</v>
      </c>
      <c r="V201" s="731" t="s">
        <v>996</v>
      </c>
      <c r="W201" s="406">
        <v>46173</v>
      </c>
    </row>
    <row r="202" spans="1:38" customHeight="1" ht="45">
      <c r="A202" s="722" t="s">
        <v>1418</v>
      </c>
      <c r="B202" s="722" t="s">
        <v>1419</v>
      </c>
      <c r="D202" s="722" t="s">
        <v>1100</v>
      </c>
      <c r="E202" s="722" t="s">
        <v>1420</v>
      </c>
      <c r="F202" s="722" t="s">
        <v>180</v>
      </c>
      <c r="G202" s="722" t="s">
        <v>1421</v>
      </c>
      <c r="H202" s="308" t="str">
        <f>IF(ISBLANK(B202),"-",IF(ISERROR(FIND("вич",B202,1)),"ж","м"))</f>
        <v>м</v>
      </c>
      <c r="I202" s="308" t="e">
        <v>#REF!</v>
      </c>
      <c r="J202" s="308" t="e">
        <v>#REF!</v>
      </c>
      <c r="K202" s="29" t="s">
        <v>182</v>
      </c>
      <c r="L202" s="308"/>
      <c r="M202" s="308"/>
      <c r="N202" s="308"/>
      <c r="O202" s="733">
        <v>1</v>
      </c>
      <c r="P202" s="731" t="s">
        <v>618</v>
      </c>
      <c r="Q202" s="308" t="str">
        <f>IF(R202="","включаем","не включаем")</f>
        <v>включаем</v>
      </c>
      <c r="R202" s="732"/>
      <c r="S202" s="308"/>
      <c r="T202" s="308" t="s">
        <v>566</v>
      </c>
      <c r="V202" s="731" t="s">
        <v>996</v>
      </c>
      <c r="W202" s="406">
        <v>46173</v>
      </c>
    </row>
    <row r="203" spans="1:38" customHeight="1" ht="45">
      <c r="A203" s="722" t="s">
        <v>1422</v>
      </c>
      <c r="B203" s="722" t="s">
        <v>1423</v>
      </c>
      <c r="D203" s="722" t="s">
        <v>1100</v>
      </c>
      <c r="E203" s="722" t="s">
        <v>1424</v>
      </c>
      <c r="F203" s="722" t="s">
        <v>180</v>
      </c>
      <c r="G203" s="722" t="s">
        <v>1425</v>
      </c>
      <c r="H203" s="308" t="str">
        <f>IF(ISBLANK(B203),"-",IF(ISERROR(FIND("вич",B203,1)),"ж","м"))</f>
        <v>м</v>
      </c>
      <c r="I203" s="308" t="e">
        <v>#REF!</v>
      </c>
      <c r="J203" s="308" t="e">
        <v>#REF!</v>
      </c>
      <c r="K203" s="29" t="s">
        <v>182</v>
      </c>
      <c r="L203" s="308"/>
      <c r="M203" s="308"/>
      <c r="N203" s="308"/>
      <c r="O203" s="733">
        <v>1</v>
      </c>
      <c r="P203" s="731" t="s">
        <v>618</v>
      </c>
      <c r="Q203" s="308" t="str">
        <f>IF(R203="","включаем","не включаем")</f>
        <v>включаем</v>
      </c>
      <c r="R203" s="732"/>
      <c r="S203" s="308"/>
      <c r="T203" s="308" t="s">
        <v>566</v>
      </c>
      <c r="V203" s="731" t="s">
        <v>996</v>
      </c>
      <c r="W203" s="406">
        <v>46173</v>
      </c>
    </row>
    <row r="204" spans="1:38" customHeight="1" ht="45">
      <c r="A204" s="722" t="s">
        <v>1426</v>
      </c>
      <c r="B204" s="722" t="s">
        <v>1427</v>
      </c>
      <c r="D204" s="722" t="s">
        <v>1100</v>
      </c>
      <c r="E204" s="722" t="s">
        <v>1428</v>
      </c>
      <c r="F204" s="722" t="s">
        <v>180</v>
      </c>
      <c r="G204" s="722" t="s">
        <v>1425</v>
      </c>
      <c r="H204" s="308" t="str">
        <f>IF(ISBLANK(B204),"-",IF(ISERROR(FIND("вич",B204,1)),"ж","м"))</f>
        <v>м</v>
      </c>
      <c r="I204" s="308" t="e">
        <v>#REF!</v>
      </c>
      <c r="J204" s="308" t="e">
        <v>#REF!</v>
      </c>
      <c r="K204" s="29" t="s">
        <v>182</v>
      </c>
      <c r="L204" s="308"/>
      <c r="M204" s="308"/>
      <c r="N204" s="308"/>
      <c r="O204" s="733">
        <v>1</v>
      </c>
      <c r="P204" s="731" t="s">
        <v>618</v>
      </c>
      <c r="Q204" s="308" t="str">
        <f>IF(R204="","включаем","не включаем")</f>
        <v>включаем</v>
      </c>
      <c r="R204" s="732"/>
      <c r="S204" s="308"/>
      <c r="T204" s="308" t="s">
        <v>566</v>
      </c>
      <c r="V204" s="731" t="s">
        <v>996</v>
      </c>
      <c r="W204" s="406">
        <v>46173</v>
      </c>
    </row>
    <row r="205" spans="1:38" customHeight="1" ht="45">
      <c r="A205" s="722" t="s">
        <v>1429</v>
      </c>
      <c r="B205" s="722" t="s">
        <v>1430</v>
      </c>
      <c r="D205" s="722" t="s">
        <v>1431</v>
      </c>
      <c r="E205" s="722" t="s">
        <v>1432</v>
      </c>
      <c r="F205" s="722" t="s">
        <v>180</v>
      </c>
      <c r="G205" s="722" t="s">
        <v>1433</v>
      </c>
      <c r="H205" s="308" t="str">
        <f>IF(ISBLANK(B205),"-",IF(ISERROR(FIND("вич",B205,1)),"ж","м"))</f>
        <v>ж</v>
      </c>
      <c r="I205" s="308" t="e">
        <v>#REF!</v>
      </c>
      <c r="J205" s="308" t="e">
        <v>#REF!</v>
      </c>
      <c r="K205" s="29" t="s">
        <v>182</v>
      </c>
      <c r="L205" s="308"/>
      <c r="M205" s="308"/>
      <c r="N205" s="308"/>
      <c r="O205" s="733">
        <v>1</v>
      </c>
      <c r="P205" s="731" t="s">
        <v>618</v>
      </c>
      <c r="Q205" s="308" t="str">
        <f>IF(R205="","включаем","не включаем")</f>
        <v>включаем</v>
      </c>
      <c r="R205" s="732"/>
      <c r="S205" s="308"/>
      <c r="T205" s="308" t="s">
        <v>566</v>
      </c>
      <c r="V205" s="731" t="s">
        <v>996</v>
      </c>
      <c r="W205" s="406">
        <v>46173</v>
      </c>
    </row>
    <row r="206" spans="1:38" customHeight="1" ht="45">
      <c r="A206" s="722" t="s">
        <v>1434</v>
      </c>
      <c r="B206" s="722" t="s">
        <v>1435</v>
      </c>
      <c r="D206" s="722" t="s">
        <v>1436</v>
      </c>
      <c r="E206" s="722" t="s">
        <v>1437</v>
      </c>
      <c r="F206" s="722" t="s">
        <v>180</v>
      </c>
      <c r="G206" s="722" t="s">
        <v>1433</v>
      </c>
      <c r="H206" s="308" t="str">
        <f>IF(ISBLANK(B206),"-",IF(ISERROR(FIND("вич",B206,1)),"ж","м"))</f>
        <v>ж</v>
      </c>
      <c r="I206" s="308" t="e">
        <v>#REF!</v>
      </c>
      <c r="J206" s="308" t="e">
        <v>#REF!</v>
      </c>
      <c r="K206" s="29" t="s">
        <v>182</v>
      </c>
      <c r="L206" s="308"/>
      <c r="M206" s="308"/>
      <c r="N206" s="308"/>
      <c r="O206" s="733">
        <v>1</v>
      </c>
      <c r="P206" s="731" t="s">
        <v>618</v>
      </c>
      <c r="Q206" s="308" t="str">
        <f>IF(R206="","включаем","не включаем")</f>
        <v>включаем</v>
      </c>
      <c r="R206" s="732"/>
      <c r="S206" s="308"/>
      <c r="T206" s="308" t="s">
        <v>566</v>
      </c>
      <c r="V206" s="731" t="s">
        <v>996</v>
      </c>
      <c r="W206" s="406">
        <v>46173</v>
      </c>
    </row>
    <row r="207" spans="1:38" customHeight="1" ht="56.25">
      <c r="A207" s="722" t="s">
        <v>1438</v>
      </c>
      <c r="B207" s="722" t="s">
        <v>1439</v>
      </c>
      <c r="D207" s="722" t="s">
        <v>1100</v>
      </c>
      <c r="E207" s="722" t="s">
        <v>1440</v>
      </c>
      <c r="F207" s="722" t="s">
        <v>180</v>
      </c>
      <c r="G207" s="722" t="s">
        <v>1441</v>
      </c>
      <c r="H207" s="308" t="str">
        <f>IF(ISBLANK(B207),"-",IF(ISERROR(FIND("вич",B207,1)),"ж","м"))</f>
        <v>м</v>
      </c>
      <c r="I207" s="308" t="e">
        <v>#REF!</v>
      </c>
      <c r="J207" s="308" t="e">
        <v>#REF!</v>
      </c>
      <c r="K207" s="29" t="s">
        <v>182</v>
      </c>
      <c r="L207" s="308"/>
      <c r="M207" s="308"/>
      <c r="N207" s="308"/>
      <c r="O207" s="733">
        <v>1</v>
      </c>
      <c r="P207" s="731" t="s">
        <v>618</v>
      </c>
      <c r="Q207" s="308" t="str">
        <f>IF(R207="","включаем","не включаем")</f>
        <v>включаем</v>
      </c>
      <c r="R207" s="732"/>
      <c r="S207" s="308"/>
      <c r="T207" s="308" t="s">
        <v>566</v>
      </c>
      <c r="V207" s="731" t="s">
        <v>996</v>
      </c>
      <c r="W207" s="406">
        <v>46173</v>
      </c>
    </row>
    <row r="208" spans="1:38" customHeight="1" ht="45">
      <c r="A208" s="722" t="s">
        <v>1442</v>
      </c>
      <c r="B208" s="722" t="s">
        <v>1443</v>
      </c>
      <c r="D208" s="722" t="s">
        <v>1444</v>
      </c>
      <c r="E208" s="723" t="s">
        <v>1445</v>
      </c>
      <c r="F208" s="722" t="s">
        <v>212</v>
      </c>
      <c r="G208" s="722" t="s">
        <v>458</v>
      </c>
      <c r="H208" s="308" t="str">
        <f>IF(ISBLANK(B208),"-",IF(ISERROR(FIND("вич",B208,1)),"ж","м"))</f>
        <v>ж</v>
      </c>
      <c r="I208" s="308" t="e">
        <v>#REF!</v>
      </c>
      <c r="J208" s="308" t="e">
        <v>#REF!</v>
      </c>
      <c r="K208" s="29" t="s">
        <v>182</v>
      </c>
      <c r="L208" s="308"/>
      <c r="M208" s="308"/>
      <c r="N208" s="308"/>
      <c r="O208" s="733">
        <v>1</v>
      </c>
      <c r="P208" s="731" t="s">
        <v>618</v>
      </c>
      <c r="Q208" s="308" t="str">
        <f>IF(R208="","включаем","не включаем")</f>
        <v>не включаем</v>
      </c>
      <c r="R208" s="732" t="s">
        <v>544</v>
      </c>
      <c r="S208" s="308"/>
      <c r="T208" s="308" t="s">
        <v>566</v>
      </c>
      <c r="V208" s="731" t="s">
        <v>996</v>
      </c>
      <c r="W208" s="406">
        <v>46173</v>
      </c>
    </row>
    <row r="209" spans="1:38" customHeight="1" ht="67.5">
      <c r="A209" s="722" t="s">
        <v>1446</v>
      </c>
      <c r="B209" s="722" t="s">
        <v>1447</v>
      </c>
      <c r="D209" s="722" t="s">
        <v>1100</v>
      </c>
      <c r="E209" s="722" t="s">
        <v>1448</v>
      </c>
      <c r="F209" s="722" t="s">
        <v>212</v>
      </c>
      <c r="G209" s="722" t="s">
        <v>485</v>
      </c>
      <c r="H209" s="308" t="str">
        <f>IF(ISBLANK(B209),"-",IF(ISERROR(FIND("вич",B209,1)),"ж","м"))</f>
        <v>ж</v>
      </c>
      <c r="I209" s="308" t="e">
        <v>#REF!</v>
      </c>
      <c r="J209" s="308" t="e">
        <v>#REF!</v>
      </c>
      <c r="K209" s="29" t="s">
        <v>182</v>
      </c>
      <c r="L209" s="308"/>
      <c r="M209" s="308"/>
      <c r="N209" s="308"/>
      <c r="O209" s="733">
        <v>1</v>
      </c>
      <c r="P209" s="731" t="s">
        <v>618</v>
      </c>
      <c r="Q209" s="308" t="str">
        <f>IF(R209="","включаем","не включаем")</f>
        <v>включаем</v>
      </c>
      <c r="R209" s="732"/>
      <c r="S209" s="308"/>
      <c r="T209" s="308" t="s">
        <v>566</v>
      </c>
      <c r="V209" s="731" t="s">
        <v>996</v>
      </c>
      <c r="W209" s="406">
        <v>46173</v>
      </c>
    </row>
    <row r="210" spans="1:38" customHeight="1" ht="33.75">
      <c r="A210" s="722" t="s">
        <v>1449</v>
      </c>
      <c r="B210" s="722" t="s">
        <v>1450</v>
      </c>
      <c r="D210" s="722" t="s">
        <v>1451</v>
      </c>
      <c r="E210" s="722" t="s">
        <v>1452</v>
      </c>
      <c r="F210" s="722" t="s">
        <v>212</v>
      </c>
      <c r="G210" s="722" t="s">
        <v>215</v>
      </c>
      <c r="H210" s="308" t="str">
        <f>IF(ISBLANK(B210),"-",IF(ISERROR(FIND("вич",B210,1)),"ж","м"))</f>
        <v>м</v>
      </c>
      <c r="I210" s="308" t="e">
        <v>#REF!</v>
      </c>
      <c r="J210" s="308" t="e">
        <v>#REF!</v>
      </c>
      <c r="K210" s="29" t="s">
        <v>182</v>
      </c>
      <c r="L210" s="308"/>
      <c r="M210" s="308"/>
      <c r="N210" s="308"/>
      <c r="O210" s="733">
        <v>1</v>
      </c>
      <c r="P210" s="731" t="s">
        <v>618</v>
      </c>
      <c r="Q210" s="308" t="str">
        <f>IF(R210="","включаем","не включаем")</f>
        <v>включаем</v>
      </c>
      <c r="R210" s="732"/>
      <c r="S210" s="308"/>
      <c r="T210" s="308" t="s">
        <v>566</v>
      </c>
      <c r="V210" s="731" t="s">
        <v>996</v>
      </c>
      <c r="W210" s="406">
        <v>46173</v>
      </c>
    </row>
    <row r="211" spans="1:38" customHeight="1" ht="123.75">
      <c r="A211" s="722" t="s">
        <v>1453</v>
      </c>
      <c r="B211" s="722" t="s">
        <v>1454</v>
      </c>
      <c r="D211" s="722" t="s">
        <v>1100</v>
      </c>
      <c r="E211" s="722" t="s">
        <v>1455</v>
      </c>
      <c r="F211" s="722" t="s">
        <v>212</v>
      </c>
      <c r="G211" s="722" t="s">
        <v>1456</v>
      </c>
      <c r="H211" s="308" t="str">
        <f>IF(ISBLANK(B211),"-",IF(ISERROR(FIND("вич",B211,1)),"ж","м"))</f>
        <v>м</v>
      </c>
      <c r="I211" s="308" t="e">
        <v>#REF!</v>
      </c>
      <c r="J211" s="308" t="e">
        <v>#REF!</v>
      </c>
      <c r="K211" s="29" t="s">
        <v>182</v>
      </c>
      <c r="L211" s="308"/>
      <c r="M211" s="308"/>
      <c r="N211" s="308"/>
      <c r="O211" s="733">
        <v>1</v>
      </c>
      <c r="P211" s="731" t="s">
        <v>618</v>
      </c>
      <c r="Q211" s="308" t="str">
        <f>IF(R211="","включаем","не включаем")</f>
        <v>включаем</v>
      </c>
      <c r="R211" s="732"/>
      <c r="S211" s="308"/>
      <c r="T211" s="308" t="s">
        <v>566</v>
      </c>
      <c r="V211" s="731" t="s">
        <v>996</v>
      </c>
      <c r="W211" s="406">
        <v>46173</v>
      </c>
    </row>
    <row r="212" spans="1:38" customHeight="1" ht="22.5">
      <c r="A212" s="722" t="s">
        <v>1457</v>
      </c>
      <c r="B212" s="722" t="s">
        <v>1458</v>
      </c>
      <c r="D212" s="722" t="s">
        <v>1459</v>
      </c>
      <c r="E212" s="722" t="s">
        <v>1460</v>
      </c>
      <c r="F212" s="722" t="s">
        <v>472</v>
      </c>
      <c r="G212" s="722" t="s">
        <v>256</v>
      </c>
      <c r="H212" s="308" t="str">
        <f>IF(ISBLANK(B212),"-",IF(ISERROR(FIND("вич",B212,1)),"ж","м"))</f>
        <v>ж</v>
      </c>
      <c r="I212" s="308" t="e">
        <v>#REF!</v>
      </c>
      <c r="J212" s="308" t="e">
        <v>#REF!</v>
      </c>
      <c r="K212" s="29" t="s">
        <v>219</v>
      </c>
      <c r="L212" s="308"/>
      <c r="M212" s="308"/>
      <c r="N212" s="308"/>
      <c r="O212" s="733">
        <v>1</v>
      </c>
      <c r="P212" s="731" t="s">
        <v>618</v>
      </c>
      <c r="Q212" s="308" t="str">
        <f>IF(R212="","включаем","не включаем")</f>
        <v>включаем</v>
      </c>
      <c r="R212" s="732"/>
      <c r="S212" s="308"/>
      <c r="T212" s="308" t="s">
        <v>566</v>
      </c>
      <c r="V212" s="731" t="s">
        <v>996</v>
      </c>
      <c r="W212" s="406">
        <v>46173</v>
      </c>
    </row>
    <row r="213" spans="1:38" customHeight="1" ht="33.75">
      <c r="A213" s="722" t="s">
        <v>1461</v>
      </c>
      <c r="B213" s="722" t="s">
        <v>1462</v>
      </c>
      <c r="D213" s="722" t="s">
        <v>1463</v>
      </c>
      <c r="E213" s="722" t="s">
        <v>1464</v>
      </c>
      <c r="F213" s="722" t="s">
        <v>472</v>
      </c>
      <c r="G213" s="722" t="s">
        <v>183</v>
      </c>
      <c r="H213" s="308" t="str">
        <f>IF(ISBLANK(B213),"-",IF(ISERROR(FIND("вич",B213,1)),"ж","м"))</f>
        <v>м</v>
      </c>
      <c r="I213" s="308" t="e">
        <v>#REF!</v>
      </c>
      <c r="J213" s="308" t="e">
        <v>#REF!</v>
      </c>
      <c r="K213" s="29" t="s">
        <v>219</v>
      </c>
      <c r="L213" s="308"/>
      <c r="M213" s="308"/>
      <c r="N213" s="308"/>
      <c r="O213" s="733">
        <v>1</v>
      </c>
      <c r="P213" s="731" t="s">
        <v>618</v>
      </c>
      <c r="Q213" s="308" t="str">
        <f>IF(R213="","включаем","не включаем")</f>
        <v>включаем</v>
      </c>
      <c r="R213" s="732"/>
      <c r="S213" s="308"/>
      <c r="T213" s="308" t="s">
        <v>566</v>
      </c>
      <c r="V213" s="731" t="s">
        <v>996</v>
      </c>
      <c r="W213" s="406">
        <v>46173</v>
      </c>
    </row>
    <row r="214" spans="1:38" customHeight="1" ht="33.75">
      <c r="A214" s="722" t="s">
        <v>1465</v>
      </c>
      <c r="B214" s="722" t="s">
        <v>1466</v>
      </c>
      <c r="D214" s="722" t="s">
        <v>1467</v>
      </c>
      <c r="E214" s="722" t="s">
        <v>1468</v>
      </c>
      <c r="F214" s="722" t="s">
        <v>472</v>
      </c>
      <c r="G214" s="722" t="s">
        <v>1469</v>
      </c>
      <c r="H214" s="308" t="str">
        <f>IF(ISBLANK(B214),"-",IF(ISERROR(FIND("вич",B214,1)),"ж","м"))</f>
        <v>м</v>
      </c>
      <c r="I214" s="308" t="e">
        <v>#REF!</v>
      </c>
      <c r="J214" s="308" t="e">
        <v>#REF!</v>
      </c>
      <c r="K214" s="29" t="s">
        <v>219</v>
      </c>
      <c r="L214" s="308"/>
      <c r="M214" s="308"/>
      <c r="N214" s="308"/>
      <c r="O214" s="733">
        <v>1</v>
      </c>
      <c r="P214" s="731" t="s">
        <v>618</v>
      </c>
      <c r="Q214" s="308" t="str">
        <f>IF(R214="","включаем","не включаем")</f>
        <v>включаем</v>
      </c>
      <c r="R214" s="732"/>
      <c r="S214" s="308"/>
      <c r="T214" s="308" t="s">
        <v>566</v>
      </c>
      <c r="V214" s="731" t="s">
        <v>996</v>
      </c>
      <c r="W214" s="406">
        <v>46173</v>
      </c>
    </row>
    <row r="215" spans="1:38" customHeight="1" ht="56.25">
      <c r="A215" s="722" t="s">
        <v>1470</v>
      </c>
      <c r="B215" s="722" t="s">
        <v>1471</v>
      </c>
      <c r="D215" s="722" t="s">
        <v>1472</v>
      </c>
      <c r="E215" s="722" t="s">
        <v>1473</v>
      </c>
      <c r="F215" s="722" t="s">
        <v>472</v>
      </c>
      <c r="G215" s="722" t="s">
        <v>1417</v>
      </c>
      <c r="H215" s="308" t="str">
        <f>IF(ISBLANK(B215),"-",IF(ISERROR(FIND("вич",B215,1)),"ж","м"))</f>
        <v>ж</v>
      </c>
      <c r="I215" s="308" t="e">
        <v>#REF!</v>
      </c>
      <c r="J215" s="308" t="e">
        <v>#REF!</v>
      </c>
      <c r="K215" s="29" t="s">
        <v>219</v>
      </c>
      <c r="L215" s="308"/>
      <c r="M215" s="308"/>
      <c r="N215" s="308"/>
      <c r="O215" s="733">
        <v>1</v>
      </c>
      <c r="P215" s="731" t="s">
        <v>618</v>
      </c>
      <c r="Q215" s="308" t="str">
        <f>IF(R215="","включаем","не включаем")</f>
        <v>включаем</v>
      </c>
      <c r="R215" s="732"/>
      <c r="S215" s="308"/>
      <c r="T215" s="308" t="s">
        <v>566</v>
      </c>
      <c r="V215" s="731" t="s">
        <v>996</v>
      </c>
      <c r="W215" s="406">
        <v>46173</v>
      </c>
    </row>
    <row r="216" spans="1:38" customHeight="1" ht="56.25">
      <c r="A216" s="722" t="s">
        <v>1474</v>
      </c>
      <c r="B216" s="722" t="s">
        <v>1475</v>
      </c>
      <c r="D216" s="722" t="s">
        <v>1476</v>
      </c>
      <c r="E216" s="723" t="s">
        <v>1477</v>
      </c>
      <c r="F216" s="722" t="s">
        <v>472</v>
      </c>
      <c r="G216" s="722" t="s">
        <v>1417</v>
      </c>
      <c r="H216" s="308" t="str">
        <f>IF(ISBLANK(B216),"-",IF(ISERROR(FIND("вич",B216,1)),"ж","м"))</f>
        <v>ж</v>
      </c>
      <c r="I216" s="308" t="e">
        <v>#REF!</v>
      </c>
      <c r="J216" s="308" t="e">
        <v>#REF!</v>
      </c>
      <c r="K216" s="29" t="s">
        <v>219</v>
      </c>
      <c r="L216" s="308"/>
      <c r="M216" s="308"/>
      <c r="N216" s="308"/>
      <c r="O216" s="733">
        <v>1</v>
      </c>
      <c r="P216" s="731" t="s">
        <v>618</v>
      </c>
      <c r="Q216" s="308" t="str">
        <f>IF(R216="","включаем","не включаем")</f>
        <v>включаем</v>
      </c>
      <c r="R216" s="732"/>
      <c r="S216" s="308"/>
      <c r="T216" s="308" t="s">
        <v>566</v>
      </c>
      <c r="V216" s="731" t="s">
        <v>996</v>
      </c>
      <c r="W216" s="406">
        <v>46173</v>
      </c>
    </row>
    <row r="217" spans="1:38" customHeight="1" ht="56.25">
      <c r="A217" s="722" t="s">
        <v>1478</v>
      </c>
      <c r="B217" s="722" t="s">
        <v>1479</v>
      </c>
      <c r="D217" s="722" t="s">
        <v>792</v>
      </c>
      <c r="E217" s="722" t="s">
        <v>1480</v>
      </c>
      <c r="F217" s="722" t="s">
        <v>472</v>
      </c>
      <c r="G217" s="722" t="s">
        <v>1417</v>
      </c>
      <c r="H217" s="308" t="str">
        <f>IF(ISBLANK(B217),"-",IF(ISERROR(FIND("вич",B217,1)),"ж","м"))</f>
        <v>ж</v>
      </c>
      <c r="I217" s="308" t="e">
        <v>#REF!</v>
      </c>
      <c r="J217" s="308" t="e">
        <v>#REF!</v>
      </c>
      <c r="K217" s="29" t="s">
        <v>219</v>
      </c>
      <c r="L217" s="308"/>
      <c r="M217" s="308"/>
      <c r="N217" s="308"/>
      <c r="O217" s="733">
        <v>1</v>
      </c>
      <c r="P217" s="731" t="s">
        <v>618</v>
      </c>
      <c r="Q217" s="308" t="str">
        <f>IF(R217="","включаем","не включаем")</f>
        <v>не включаем</v>
      </c>
      <c r="R217" s="732" t="s">
        <v>544</v>
      </c>
      <c r="S217" s="308"/>
      <c r="T217" s="308" t="s">
        <v>566</v>
      </c>
      <c r="V217" s="731" t="s">
        <v>996</v>
      </c>
      <c r="W217" s="406">
        <v>46173</v>
      </c>
    </row>
    <row r="218" spans="1:38" customHeight="1" ht="22.5">
      <c r="A218" s="722" t="s">
        <v>1481</v>
      </c>
      <c r="B218" s="722" t="s">
        <v>1482</v>
      </c>
      <c r="D218" s="722" t="s">
        <v>1483</v>
      </c>
      <c r="E218" s="723" t="s">
        <v>1484</v>
      </c>
      <c r="F218" s="722" t="s">
        <v>1485</v>
      </c>
      <c r="G218" s="722" t="s">
        <v>256</v>
      </c>
      <c r="H218" s="308" t="str">
        <f>IF(ISBLANK(B218),"-",IF(ISERROR(FIND("вич",B218,1)),"ж","м"))</f>
        <v>м</v>
      </c>
      <c r="I218" s="308" t="e">
        <v>#REF!</v>
      </c>
      <c r="J218" s="308" t="e">
        <v>#REF!</v>
      </c>
      <c r="K218" s="29" t="s">
        <v>182</v>
      </c>
      <c r="L218" s="308"/>
      <c r="M218" s="308"/>
      <c r="N218" s="308"/>
      <c r="O218" s="733">
        <v>1</v>
      </c>
      <c r="P218" s="731" t="s">
        <v>618</v>
      </c>
      <c r="Q218" s="308" t="str">
        <f>IF(R218="","включаем","не включаем")</f>
        <v>включаем</v>
      </c>
      <c r="R218" s="732"/>
      <c r="S218" s="308"/>
      <c r="T218" s="308" t="s">
        <v>566</v>
      </c>
      <c r="V218" s="731" t="s">
        <v>996</v>
      </c>
      <c r="W218" s="406">
        <v>46173</v>
      </c>
    </row>
    <row r="219" spans="1:38" customHeight="1" ht="33.75">
      <c r="A219" s="722" t="s">
        <v>1486</v>
      </c>
      <c r="B219" s="722" t="s">
        <v>1487</v>
      </c>
      <c r="D219" s="722" t="s">
        <v>1488</v>
      </c>
      <c r="E219" s="723" t="s">
        <v>1489</v>
      </c>
      <c r="F219" s="722" t="s">
        <v>1485</v>
      </c>
      <c r="G219" s="722" t="s">
        <v>185</v>
      </c>
      <c r="H219" s="308" t="str">
        <f>IF(ISBLANK(B219),"-",IF(ISERROR(FIND("вич",B219,1)),"ж","м"))</f>
        <v>м</v>
      </c>
      <c r="I219" s="308" t="e">
        <v>#REF!</v>
      </c>
      <c r="J219" s="308" t="e">
        <v>#REF!</v>
      </c>
      <c r="K219" s="29" t="s">
        <v>182</v>
      </c>
      <c r="L219" s="308"/>
      <c r="M219" s="308"/>
      <c r="N219" s="308"/>
      <c r="O219" s="733">
        <v>1</v>
      </c>
      <c r="P219" s="731" t="s">
        <v>618</v>
      </c>
      <c r="Q219" s="308" t="str">
        <f>IF(R219="","включаем","не включаем")</f>
        <v>включаем</v>
      </c>
      <c r="R219" s="732"/>
      <c r="S219" s="308"/>
      <c r="T219" s="308" t="s">
        <v>566</v>
      </c>
      <c r="V219" s="731" t="s">
        <v>996</v>
      </c>
      <c r="W219" s="406">
        <v>46173</v>
      </c>
    </row>
    <row r="220" spans="1:38" customHeight="1" ht="56.25">
      <c r="A220" s="722" t="s">
        <v>1490</v>
      </c>
      <c r="B220" s="722" t="s">
        <v>1491</v>
      </c>
      <c r="D220" s="722" t="s">
        <v>705</v>
      </c>
      <c r="E220" s="722" t="s">
        <v>1492</v>
      </c>
      <c r="F220" s="722" t="s">
        <v>412</v>
      </c>
      <c r="G220" s="722" t="s">
        <v>416</v>
      </c>
      <c r="H220" s="308" t="str">
        <f>IF(ISBLANK(B220),"-",IF(ISERROR(FIND("вич",B220,1)),"ж","м"))</f>
        <v>ж</v>
      </c>
      <c r="I220" s="308" t="e">
        <v>#REF!</v>
      </c>
      <c r="J220" s="308" t="e">
        <v>#REF!</v>
      </c>
      <c r="K220" s="29" t="s">
        <v>560</v>
      </c>
      <c r="L220" s="308"/>
      <c r="M220" s="308"/>
      <c r="N220" s="308"/>
      <c r="O220" s="733">
        <v>1</v>
      </c>
      <c r="P220" s="731" t="s">
        <v>618</v>
      </c>
      <c r="Q220" s="308" t="str">
        <f>IF(R220="","включаем","не включаем")</f>
        <v>включаем</v>
      </c>
      <c r="R220" s="732"/>
      <c r="S220" s="308"/>
      <c r="T220" s="308" t="s">
        <v>566</v>
      </c>
      <c r="V220" s="731" t="s">
        <v>996</v>
      </c>
      <c r="W220" s="406">
        <v>46173</v>
      </c>
    </row>
    <row r="221" spans="1:38" customHeight="1" ht="33.75">
      <c r="A221" s="722" t="s">
        <v>1493</v>
      </c>
      <c r="B221" s="722" t="s">
        <v>1494</v>
      </c>
      <c r="D221" s="722" t="s">
        <v>1495</v>
      </c>
      <c r="E221" s="722" t="s">
        <v>1496</v>
      </c>
      <c r="F221" s="722" t="s">
        <v>412</v>
      </c>
      <c r="G221" s="722" t="s">
        <v>413</v>
      </c>
      <c r="H221" s="308" t="str">
        <f>IF(ISBLANK(B221),"-",IF(ISERROR(FIND("вич",B221,1)),"ж","м"))</f>
        <v>ж</v>
      </c>
      <c r="I221" s="308" t="e">
        <v>#REF!</v>
      </c>
      <c r="J221" s="308" t="e">
        <v>#REF!</v>
      </c>
      <c r="K221" s="29" t="s">
        <v>560</v>
      </c>
      <c r="L221" s="308"/>
      <c r="M221" s="308"/>
      <c r="N221" s="308"/>
      <c r="O221" s="733">
        <v>1</v>
      </c>
      <c r="P221" s="731" t="s">
        <v>618</v>
      </c>
      <c r="Q221" s="308" t="str">
        <f>IF(R221="","включаем","не включаем")</f>
        <v>включаем</v>
      </c>
      <c r="R221" s="732"/>
      <c r="S221" s="308"/>
      <c r="T221" s="308" t="s">
        <v>566</v>
      </c>
      <c r="V221" s="731" t="s">
        <v>996</v>
      </c>
      <c r="W221" s="406">
        <v>46173</v>
      </c>
    </row>
    <row r="222" spans="1:38" customHeight="1" ht="22.5">
      <c r="A222" s="722" t="s">
        <v>1497</v>
      </c>
      <c r="B222" s="722" t="s">
        <v>1498</v>
      </c>
      <c r="D222" s="722" t="s">
        <v>1499</v>
      </c>
      <c r="E222" s="722" t="s">
        <v>1500</v>
      </c>
      <c r="F222" s="722" t="s">
        <v>412</v>
      </c>
      <c r="G222" s="722" t="s">
        <v>481</v>
      </c>
      <c r="H222" s="308" t="str">
        <f>IF(ISBLANK(B222),"-",IF(ISERROR(FIND("вич",B222,1)),"ж","м"))</f>
        <v>ж</v>
      </c>
      <c r="I222" s="308" t="e">
        <v>#REF!</v>
      </c>
      <c r="J222" s="308" t="e">
        <v>#REF!</v>
      </c>
      <c r="K222" s="29" t="s">
        <v>560</v>
      </c>
      <c r="L222" s="308"/>
      <c r="M222" s="308"/>
      <c r="N222" s="308"/>
      <c r="O222" s="733">
        <v>1</v>
      </c>
      <c r="P222" s="731" t="s">
        <v>618</v>
      </c>
      <c r="Q222" s="308" t="str">
        <f>IF(R222="","включаем","не включаем")</f>
        <v>включаем</v>
      </c>
      <c r="R222" s="732"/>
      <c r="S222" s="308"/>
      <c r="T222" s="308" t="s">
        <v>566</v>
      </c>
      <c r="V222" s="731" t="s">
        <v>996</v>
      </c>
      <c r="W222" s="406">
        <v>46173</v>
      </c>
    </row>
    <row r="223" spans="1:38" customHeight="1" ht="22.5">
      <c r="A223" s="722" t="s">
        <v>1501</v>
      </c>
      <c r="B223" s="722" t="s">
        <v>1502</v>
      </c>
      <c r="D223" s="722" t="s">
        <v>1503</v>
      </c>
      <c r="E223" s="722" t="s">
        <v>1504</v>
      </c>
      <c r="F223" s="722" t="s">
        <v>412</v>
      </c>
      <c r="G223" s="722" t="s">
        <v>411</v>
      </c>
      <c r="H223" s="308" t="str">
        <f>IF(ISBLANK(B223),"-",IF(ISERROR(FIND("вич",B223,1)),"ж","м"))</f>
        <v>ж</v>
      </c>
      <c r="I223" s="308" t="e">
        <v>#REF!</v>
      </c>
      <c r="J223" s="308" t="e">
        <v>#REF!</v>
      </c>
      <c r="K223" s="29" t="s">
        <v>560</v>
      </c>
      <c r="L223" s="308"/>
      <c r="M223" s="308"/>
      <c r="N223" s="308"/>
      <c r="O223" s="733">
        <v>1</v>
      </c>
      <c r="P223" s="731" t="s">
        <v>618</v>
      </c>
      <c r="Q223" s="308" t="str">
        <f>IF(R223="","включаем","не включаем")</f>
        <v>включаем</v>
      </c>
      <c r="R223" s="732"/>
      <c r="S223" s="308"/>
      <c r="T223" s="308" t="s">
        <v>566</v>
      </c>
      <c r="V223" s="731" t="s">
        <v>996</v>
      </c>
      <c r="W223" s="406">
        <v>46173</v>
      </c>
    </row>
    <row r="224" spans="1:38" customHeight="1" ht="45">
      <c r="A224" s="722" t="s">
        <v>1505</v>
      </c>
      <c r="B224" s="722" t="s">
        <v>1506</v>
      </c>
      <c r="D224" s="722" t="s">
        <v>1507</v>
      </c>
      <c r="E224" s="722" t="s">
        <v>1508</v>
      </c>
      <c r="F224" s="722" t="s">
        <v>412</v>
      </c>
      <c r="G224" s="722" t="s">
        <v>1509</v>
      </c>
      <c r="H224" s="308" t="str">
        <f>IF(ISBLANK(B224),"-",IF(ISERROR(FIND("вич",B224,1)),"ж","м"))</f>
        <v>ж</v>
      </c>
      <c r="I224" s="308" t="e">
        <v>#REF!</v>
      </c>
      <c r="J224" s="308" t="e">
        <v>#REF!</v>
      </c>
      <c r="K224" s="29" t="s">
        <v>560</v>
      </c>
      <c r="L224" s="308"/>
      <c r="M224" s="308"/>
      <c r="N224" s="308"/>
      <c r="O224" s="730" t="s">
        <v>953</v>
      </c>
      <c r="P224" s="731" t="s">
        <v>618</v>
      </c>
      <c r="Q224" s="308" t="str">
        <f>IF(R224="","включаем","не включаем")</f>
        <v>не включаем</v>
      </c>
      <c r="R224" s="732" t="s">
        <v>544</v>
      </c>
      <c r="S224" s="308"/>
      <c r="T224" s="308" t="s">
        <v>566</v>
      </c>
      <c r="V224" s="731" t="s">
        <v>996</v>
      </c>
      <c r="W224" s="406">
        <v>46173</v>
      </c>
    </row>
    <row r="225" spans="1:38" customHeight="1" ht="45">
      <c r="A225" s="722" t="s">
        <v>1510</v>
      </c>
      <c r="B225" s="722" t="s">
        <v>1511</v>
      </c>
      <c r="D225" s="722" t="s">
        <v>1512</v>
      </c>
      <c r="E225" s="722" t="s">
        <v>1513</v>
      </c>
      <c r="F225" s="722" t="s">
        <v>412</v>
      </c>
      <c r="G225" s="722" t="s">
        <v>1514</v>
      </c>
      <c r="H225" s="308" t="str">
        <f>IF(ISBLANK(B225),"-",IF(ISERROR(FIND("вич",B225,1)),"ж","м"))</f>
        <v>ж</v>
      </c>
      <c r="I225" s="308" t="e">
        <v>#REF!</v>
      </c>
      <c r="J225" s="308" t="e">
        <v>#REF!</v>
      </c>
      <c r="K225" s="29" t="s">
        <v>560</v>
      </c>
      <c r="L225" s="308"/>
      <c r="M225" s="308"/>
      <c r="N225" s="308"/>
      <c r="O225" s="733">
        <v>1</v>
      </c>
      <c r="P225" s="731" t="s">
        <v>618</v>
      </c>
      <c r="Q225" s="308" t="str">
        <f>IF(R225="","включаем","не включаем")</f>
        <v>включаем</v>
      </c>
      <c r="R225" s="732"/>
      <c r="S225" s="308"/>
      <c r="T225" s="308" t="s">
        <v>566</v>
      </c>
      <c r="V225" s="731" t="s">
        <v>996</v>
      </c>
      <c r="W225" s="406">
        <v>46173</v>
      </c>
    </row>
    <row r="226" spans="1:38" customHeight="1" ht="67.5">
      <c r="A226" s="722" t="s">
        <v>1515</v>
      </c>
      <c r="B226" s="722" t="s">
        <v>1516</v>
      </c>
      <c r="D226" s="722" t="s">
        <v>1517</v>
      </c>
      <c r="E226" s="722" t="s">
        <v>1518</v>
      </c>
      <c r="F226" s="722" t="s">
        <v>412</v>
      </c>
      <c r="G226" s="722" t="s">
        <v>1519</v>
      </c>
      <c r="H226" s="308" t="str">
        <f>IF(ISBLANK(B226),"-",IF(ISERROR(FIND("вич",B226,1)),"ж","м"))</f>
        <v>ж</v>
      </c>
      <c r="I226" s="308" t="e">
        <v>#REF!</v>
      </c>
      <c r="J226" s="308" t="e">
        <v>#REF!</v>
      </c>
      <c r="K226" s="29" t="s">
        <v>560</v>
      </c>
      <c r="L226" s="308"/>
      <c r="M226" s="308"/>
      <c r="N226" s="308"/>
      <c r="O226" s="733">
        <v>1</v>
      </c>
      <c r="P226" s="731" t="s">
        <v>618</v>
      </c>
      <c r="Q226" s="308" t="str">
        <f>IF(R226="","включаем","не включаем")</f>
        <v>включаем</v>
      </c>
      <c r="R226" s="732"/>
      <c r="S226" s="308"/>
      <c r="T226" s="308" t="s">
        <v>566</v>
      </c>
      <c r="V226" s="731" t="s">
        <v>996</v>
      </c>
      <c r="W226" s="406">
        <v>46173</v>
      </c>
    </row>
    <row r="227" spans="1:38" customHeight="1" ht="22.5">
      <c r="A227" s="722" t="s">
        <v>1520</v>
      </c>
      <c r="B227" s="722" t="s">
        <v>1521</v>
      </c>
      <c r="D227" s="722" t="s">
        <v>1393</v>
      </c>
      <c r="E227" s="722" t="s">
        <v>1522</v>
      </c>
      <c r="F227" s="722" t="s">
        <v>374</v>
      </c>
      <c r="G227" s="722" t="s">
        <v>222</v>
      </c>
      <c r="H227" s="308" t="str">
        <f>IF(ISBLANK(B227),"-",IF(ISERROR(FIND("вич",B227,1)),"ж","м"))</f>
        <v>ж</v>
      </c>
      <c r="I227" s="308" t="e">
        <v>#REF!</v>
      </c>
      <c r="J227" s="308" t="e">
        <v>#REF!</v>
      </c>
      <c r="K227" s="29" t="s">
        <v>319</v>
      </c>
      <c r="L227" s="308"/>
      <c r="M227" s="308"/>
      <c r="N227" s="308"/>
      <c r="O227" s="733">
        <v>1</v>
      </c>
      <c r="P227" s="731" t="s">
        <v>618</v>
      </c>
      <c r="Q227" s="308" t="str">
        <f>IF(R227="","включаем","не включаем")</f>
        <v>включаем</v>
      </c>
      <c r="R227" s="732"/>
      <c r="S227" s="308"/>
      <c r="T227" s="308" t="s">
        <v>566</v>
      </c>
      <c r="V227" s="731" t="s">
        <v>996</v>
      </c>
      <c r="W227" s="406">
        <v>46173</v>
      </c>
    </row>
    <row r="228" spans="1:38" customHeight="1" ht="22.5">
      <c r="A228" s="722" t="s">
        <v>1523</v>
      </c>
      <c r="B228" s="722" t="s">
        <v>1524</v>
      </c>
      <c r="D228" s="722" t="s">
        <v>1525</v>
      </c>
      <c r="E228" s="722" t="s">
        <v>1526</v>
      </c>
      <c r="F228" s="722" t="s">
        <v>374</v>
      </c>
      <c r="G228" s="722" t="s">
        <v>375</v>
      </c>
      <c r="H228" s="308" t="str">
        <f>IF(ISBLANK(B228),"-",IF(ISERROR(FIND("вич",B228,1)),"ж","м"))</f>
        <v>м</v>
      </c>
      <c r="I228" s="308" t="e">
        <v>#REF!</v>
      </c>
      <c r="J228" s="308" t="e">
        <v>#REF!</v>
      </c>
      <c r="K228" s="29" t="s">
        <v>319</v>
      </c>
      <c r="L228" s="308"/>
      <c r="M228" s="308"/>
      <c r="N228" s="308"/>
      <c r="O228" s="733">
        <v>1</v>
      </c>
      <c r="P228" s="731" t="s">
        <v>618</v>
      </c>
      <c r="Q228" s="308" t="str">
        <f>IF(R228="","включаем","не включаем")</f>
        <v>включаем</v>
      </c>
      <c r="R228" s="732"/>
      <c r="S228" s="308"/>
      <c r="T228" s="308" t="s">
        <v>566</v>
      </c>
      <c r="V228" s="731" t="s">
        <v>996</v>
      </c>
      <c r="W228" s="406">
        <v>46173</v>
      </c>
    </row>
    <row r="229" spans="1:38" customHeight="1" ht="33.75">
      <c r="A229" s="722" t="s">
        <v>1527</v>
      </c>
      <c r="B229" s="722" t="s">
        <v>1528</v>
      </c>
      <c r="D229" s="722" t="s">
        <v>1529</v>
      </c>
      <c r="E229" s="722" t="s">
        <v>1530</v>
      </c>
      <c r="F229" s="722" t="s">
        <v>374</v>
      </c>
      <c r="G229" s="722" t="s">
        <v>376</v>
      </c>
      <c r="H229" s="308" t="str">
        <f>IF(ISBLANK(B229),"-",IF(ISERROR(FIND("вич",B229,1)),"ж","м"))</f>
        <v>м</v>
      </c>
      <c r="I229" s="308" t="e">
        <v>#REF!</v>
      </c>
      <c r="J229" s="308" t="e">
        <v>#REF!</v>
      </c>
      <c r="K229" s="29" t="s">
        <v>319</v>
      </c>
      <c r="L229" s="308"/>
      <c r="M229" s="308"/>
      <c r="N229" s="308"/>
      <c r="O229" s="733">
        <v>1</v>
      </c>
      <c r="P229" s="731" t="s">
        <v>618</v>
      </c>
      <c r="Q229" s="308" t="str">
        <f>IF(R229="","включаем","не включаем")</f>
        <v>включаем</v>
      </c>
      <c r="R229" s="732"/>
      <c r="S229" s="308"/>
      <c r="T229" s="308" t="s">
        <v>566</v>
      </c>
      <c r="V229" s="731" t="s">
        <v>996</v>
      </c>
      <c r="W229" s="406">
        <v>46173</v>
      </c>
    </row>
    <row r="230" spans="1:38" customHeight="1" ht="22.5">
      <c r="A230" s="722" t="s">
        <v>1531</v>
      </c>
      <c r="B230" s="722" t="s">
        <v>1532</v>
      </c>
      <c r="D230" s="722" t="s">
        <v>1533</v>
      </c>
      <c r="E230" s="722" t="s">
        <v>1534</v>
      </c>
      <c r="F230" s="722" t="s">
        <v>374</v>
      </c>
      <c r="G230" s="722" t="s">
        <v>477</v>
      </c>
      <c r="H230" s="308" t="str">
        <f>IF(ISBLANK(B230),"-",IF(ISERROR(FIND("вич",B230,1)),"ж","м"))</f>
        <v>м</v>
      </c>
      <c r="I230" s="308" t="e">
        <v>#REF!</v>
      </c>
      <c r="J230" s="308" t="e">
        <v>#REF!</v>
      </c>
      <c r="K230" s="29" t="s">
        <v>319</v>
      </c>
      <c r="L230" s="308"/>
      <c r="M230" s="308"/>
      <c r="N230" s="308"/>
      <c r="O230" s="733">
        <v>1</v>
      </c>
      <c r="P230" s="731" t="s">
        <v>618</v>
      </c>
      <c r="Q230" s="308" t="str">
        <f>IF(R230="","включаем","не включаем")</f>
        <v>включаем</v>
      </c>
      <c r="R230" s="732"/>
      <c r="S230" s="308"/>
      <c r="T230" s="308" t="s">
        <v>566</v>
      </c>
      <c r="V230" s="731" t="s">
        <v>996</v>
      </c>
      <c r="W230" s="406">
        <v>46173</v>
      </c>
    </row>
    <row r="231" spans="1:38" customHeight="1" ht="56.25">
      <c r="A231" s="722" t="s">
        <v>1535</v>
      </c>
      <c r="B231" s="722" t="s">
        <v>1536</v>
      </c>
      <c r="D231" s="722" t="s">
        <v>1537</v>
      </c>
      <c r="E231" s="722" t="s">
        <v>1538</v>
      </c>
      <c r="F231" s="722" t="s">
        <v>374</v>
      </c>
      <c r="G231" s="722" t="s">
        <v>1539</v>
      </c>
      <c r="H231" s="308" t="str">
        <f>IF(ISBLANK(B231),"-",IF(ISERROR(FIND("вич",B231,1)),"ж","м"))</f>
        <v>м</v>
      </c>
      <c r="I231" s="308" t="e">
        <v>#REF!</v>
      </c>
      <c r="J231" s="308" t="e">
        <v>#REF!</v>
      </c>
      <c r="K231" s="29" t="s">
        <v>319</v>
      </c>
      <c r="L231" s="308"/>
      <c r="M231" s="308"/>
      <c r="N231" s="308"/>
      <c r="O231" s="733">
        <v>1</v>
      </c>
      <c r="P231" s="731" t="s">
        <v>618</v>
      </c>
      <c r="Q231" s="308" t="str">
        <f>IF(R231="","включаем","не включаем")</f>
        <v>включаем</v>
      </c>
      <c r="R231" s="732"/>
      <c r="S231" s="308"/>
      <c r="T231" s="308" t="s">
        <v>566</v>
      </c>
      <c r="V231" s="731" t="s">
        <v>996</v>
      </c>
      <c r="W231" s="406">
        <v>46173</v>
      </c>
    </row>
    <row r="232" spans="1:38" customHeight="1" ht="22.5">
      <c r="A232" s="722" t="s">
        <v>1540</v>
      </c>
      <c r="B232" s="722" t="s">
        <v>1541</v>
      </c>
      <c r="D232" s="722" t="s">
        <v>1045</v>
      </c>
      <c r="E232" s="722" t="s">
        <v>1542</v>
      </c>
      <c r="F232" s="722" t="s">
        <v>317</v>
      </c>
      <c r="G232" s="722" t="s">
        <v>222</v>
      </c>
      <c r="H232" s="308" t="str">
        <f>IF(ISBLANK(B232),"-",IF(ISERROR(FIND("вич",B232,1)),"ж","м"))</f>
        <v>ж</v>
      </c>
      <c r="I232" s="308" t="e">
        <v>#REF!</v>
      </c>
      <c r="J232" s="308" t="e">
        <v>#REF!</v>
      </c>
      <c r="K232" s="29" t="s">
        <v>319</v>
      </c>
      <c r="L232" s="308"/>
      <c r="M232" s="308"/>
      <c r="N232" s="308"/>
      <c r="O232" s="733">
        <v>1</v>
      </c>
      <c r="P232" s="731" t="s">
        <v>618</v>
      </c>
      <c r="Q232" s="308" t="str">
        <f>IF(R232="","включаем","не включаем")</f>
        <v>включаем</v>
      </c>
      <c r="R232" s="732"/>
      <c r="S232" s="308"/>
      <c r="T232" s="308" t="s">
        <v>566</v>
      </c>
      <c r="V232" s="731" t="s">
        <v>996</v>
      </c>
      <c r="W232" s="406">
        <v>46173</v>
      </c>
    </row>
    <row r="233" spans="1:38" customHeight="1" ht="22.5">
      <c r="A233" s="722" t="s">
        <v>1543</v>
      </c>
      <c r="B233" s="722" t="s">
        <v>1544</v>
      </c>
      <c r="D233" s="722" t="s">
        <v>1100</v>
      </c>
      <c r="E233" s="722" t="s">
        <v>1545</v>
      </c>
      <c r="F233" s="722" t="s">
        <v>317</v>
      </c>
      <c r="G233" s="722" t="s">
        <v>498</v>
      </c>
      <c r="H233" s="308" t="str">
        <f>IF(ISBLANK(B233),"-",IF(ISERROR(FIND("вич",B233,1)),"ж","м"))</f>
        <v>ж</v>
      </c>
      <c r="I233" s="308" t="e">
        <v>#REF!</v>
      </c>
      <c r="J233" s="308" t="e">
        <v>#REF!</v>
      </c>
      <c r="K233" s="29" t="s">
        <v>319</v>
      </c>
      <c r="L233" s="308"/>
      <c r="M233" s="308"/>
      <c r="N233" s="308"/>
      <c r="O233" s="733">
        <v>1</v>
      </c>
      <c r="P233" s="731" t="s">
        <v>618</v>
      </c>
      <c r="Q233" s="308" t="str">
        <f>IF(R233="","включаем","не включаем")</f>
        <v>включаем</v>
      </c>
      <c r="R233" s="732"/>
      <c r="S233" s="308"/>
      <c r="T233" s="308" t="s">
        <v>566</v>
      </c>
      <c r="V233" s="731" t="s">
        <v>996</v>
      </c>
      <c r="W233" s="406">
        <v>46173</v>
      </c>
    </row>
    <row r="234" spans="1:38" customHeight="1" ht="22.5">
      <c r="A234" s="722" t="s">
        <v>1546</v>
      </c>
      <c r="B234" s="722" t="s">
        <v>1547</v>
      </c>
      <c r="D234" s="722" t="s">
        <v>1340</v>
      </c>
      <c r="E234" s="722" t="s">
        <v>1548</v>
      </c>
      <c r="F234" s="722" t="s">
        <v>317</v>
      </c>
      <c r="G234" s="722" t="s">
        <v>256</v>
      </c>
      <c r="H234" s="308" t="str">
        <f>IF(ISBLANK(B234),"-",IF(ISERROR(FIND("вич",B234,1)),"ж","м"))</f>
        <v>м</v>
      </c>
      <c r="I234" s="308" t="e">
        <v>#REF!</v>
      </c>
      <c r="J234" s="308" t="e">
        <v>#REF!</v>
      </c>
      <c r="K234" s="29" t="s">
        <v>319</v>
      </c>
      <c r="L234" s="308"/>
      <c r="M234" s="308"/>
      <c r="N234" s="308"/>
      <c r="O234" s="733">
        <v>1</v>
      </c>
      <c r="P234" s="731" t="s">
        <v>618</v>
      </c>
      <c r="Q234" s="308" t="str">
        <f>IF(R234="","включаем","не включаем")</f>
        <v>включаем</v>
      </c>
      <c r="R234" s="732"/>
      <c r="S234" s="308"/>
      <c r="T234" s="308" t="s">
        <v>566</v>
      </c>
      <c r="V234" s="731" t="s">
        <v>996</v>
      </c>
      <c r="W234" s="406">
        <v>46173</v>
      </c>
    </row>
    <row r="235" spans="1:38" customHeight="1" ht="45">
      <c r="A235" s="722" t="s">
        <v>1549</v>
      </c>
      <c r="B235" s="722" t="s">
        <v>1550</v>
      </c>
      <c r="D235" s="722" t="s">
        <v>662</v>
      </c>
      <c r="E235" s="722" t="s">
        <v>1551</v>
      </c>
      <c r="F235" s="722" t="s">
        <v>317</v>
      </c>
      <c r="G235" s="722" t="s">
        <v>321</v>
      </c>
      <c r="H235" s="308" t="str">
        <f>IF(ISBLANK(B235),"-",IF(ISERROR(FIND("вич",B235,1)),"ж","м"))</f>
        <v>м</v>
      </c>
      <c r="I235" s="308" t="e">
        <v>#REF!</v>
      </c>
      <c r="J235" s="308" t="e">
        <v>#REF!</v>
      </c>
      <c r="K235" s="29" t="s">
        <v>319</v>
      </c>
      <c r="L235" s="308"/>
      <c r="M235" s="308"/>
      <c r="N235" s="308"/>
      <c r="O235" s="733">
        <v>1</v>
      </c>
      <c r="P235" s="731" t="s">
        <v>618</v>
      </c>
      <c r="Q235" s="308" t="str">
        <f>IF(R235="","включаем","не включаем")</f>
        <v>включаем</v>
      </c>
      <c r="R235" s="732"/>
      <c r="S235" s="308"/>
      <c r="T235" s="308" t="s">
        <v>566</v>
      </c>
      <c r="V235" s="731" t="s">
        <v>996</v>
      </c>
      <c r="W235" s="406">
        <v>46173</v>
      </c>
    </row>
    <row r="236" spans="1:38" customHeight="1" ht="56.25">
      <c r="A236" s="722" t="s">
        <v>1552</v>
      </c>
      <c r="B236" s="722" t="s">
        <v>1553</v>
      </c>
      <c r="D236" s="722" t="s">
        <v>1554</v>
      </c>
      <c r="E236" s="722" t="s">
        <v>1555</v>
      </c>
      <c r="F236" s="722" t="s">
        <v>317</v>
      </c>
      <c r="G236" s="722" t="s">
        <v>1556</v>
      </c>
      <c r="H236" s="308" t="str">
        <f>IF(ISBLANK(B236),"-",IF(ISERROR(FIND("вич",B236,1)),"ж","м"))</f>
        <v>м</v>
      </c>
      <c r="I236" s="308" t="e">
        <v>#REF!</v>
      </c>
      <c r="J236" s="308" t="e">
        <v>#REF!</v>
      </c>
      <c r="K236" s="29" t="s">
        <v>319</v>
      </c>
      <c r="L236" s="308"/>
      <c r="M236" s="308"/>
      <c r="N236" s="308"/>
      <c r="O236" s="733">
        <v>1</v>
      </c>
      <c r="P236" s="731" t="s">
        <v>618</v>
      </c>
      <c r="Q236" s="308" t="str">
        <f>IF(R236="","включаем","не включаем")</f>
        <v>включаем</v>
      </c>
      <c r="R236" s="732"/>
      <c r="S236" s="308"/>
      <c r="T236" s="308" t="s">
        <v>566</v>
      </c>
      <c r="V236" s="731" t="s">
        <v>996</v>
      </c>
      <c r="W236" s="406">
        <v>46173</v>
      </c>
    </row>
    <row r="237" spans="1:38" customHeight="1" ht="45">
      <c r="A237" s="722" t="s">
        <v>1557</v>
      </c>
      <c r="B237" s="722" t="s">
        <v>1558</v>
      </c>
      <c r="D237" s="722" t="s">
        <v>1559</v>
      </c>
      <c r="E237" s="722" t="s">
        <v>1560</v>
      </c>
      <c r="F237" s="722" t="s">
        <v>396</v>
      </c>
      <c r="G237" s="722" t="s">
        <v>275</v>
      </c>
      <c r="H237" s="308" t="str">
        <f>IF(ISBLANK(B237),"-",IF(ISERROR(FIND("вич",B237,1)),"ж","м"))</f>
        <v>м</v>
      </c>
      <c r="I237" s="308" t="e">
        <v>#REF!</v>
      </c>
      <c r="J237" s="308" t="e">
        <v>#REF!</v>
      </c>
      <c r="K237" s="29" t="s">
        <v>592</v>
      </c>
      <c r="L237" s="308"/>
      <c r="M237" s="308"/>
      <c r="N237" s="308"/>
      <c r="O237" s="733">
        <v>1</v>
      </c>
      <c r="P237" s="731" t="s">
        <v>618</v>
      </c>
      <c r="Q237" s="308" t="str">
        <f>IF(R237="","включаем","не включаем")</f>
        <v>включаем</v>
      </c>
      <c r="R237" s="732"/>
      <c r="S237" s="308"/>
      <c r="T237" s="308" t="s">
        <v>566</v>
      </c>
      <c r="V237" s="731" t="s">
        <v>996</v>
      </c>
      <c r="W237" s="406">
        <v>46173</v>
      </c>
    </row>
    <row r="238" spans="1:38" customHeight="1" ht="33.75">
      <c r="A238" s="722" t="s">
        <v>1561</v>
      </c>
      <c r="B238" s="722" t="s">
        <v>1562</v>
      </c>
      <c r="D238" s="722" t="s">
        <v>1563</v>
      </c>
      <c r="E238" s="722" t="s">
        <v>1564</v>
      </c>
      <c r="F238" s="722" t="s">
        <v>396</v>
      </c>
      <c r="G238" s="722" t="s">
        <v>1565</v>
      </c>
      <c r="H238" s="308" t="str">
        <f>IF(ISBLANK(B238),"-",IF(ISERROR(FIND("вич",B238,1)),"ж","м"))</f>
        <v>м</v>
      </c>
      <c r="I238" s="308" t="e">
        <v>#REF!</v>
      </c>
      <c r="J238" s="308" t="e">
        <v>#REF!</v>
      </c>
      <c r="K238" s="29" t="s">
        <v>592</v>
      </c>
      <c r="L238" s="308"/>
      <c r="M238" s="308"/>
      <c r="N238" s="308"/>
      <c r="O238" s="733">
        <v>1</v>
      </c>
      <c r="P238" s="731" t="s">
        <v>618</v>
      </c>
      <c r="Q238" s="308" t="str">
        <f>IF(R238="","включаем","не включаем")</f>
        <v>включаем</v>
      </c>
      <c r="R238" s="732"/>
      <c r="S238" s="308"/>
      <c r="T238" s="308" t="s">
        <v>566</v>
      </c>
      <c r="V238" s="731" t="s">
        <v>996</v>
      </c>
      <c r="W238" s="406">
        <v>46173</v>
      </c>
    </row>
    <row r="239" spans="1:38" customHeight="1" ht="56.25">
      <c r="A239" s="722" t="s">
        <v>1566</v>
      </c>
      <c r="B239" s="722" t="s">
        <v>1567</v>
      </c>
      <c r="D239" s="722" t="s">
        <v>1568</v>
      </c>
      <c r="E239" s="722" t="s">
        <v>1569</v>
      </c>
      <c r="F239" s="722" t="s">
        <v>396</v>
      </c>
      <c r="G239" s="722" t="s">
        <v>1570</v>
      </c>
      <c r="H239" s="308" t="str">
        <f>IF(ISBLANK(B239),"-",IF(ISERROR(FIND("вич",B239,1)),"ж","м"))</f>
        <v>м</v>
      </c>
      <c r="I239" s="308" t="e">
        <v>#REF!</v>
      </c>
      <c r="J239" s="308" t="e">
        <v>#REF!</v>
      </c>
      <c r="K239" s="29" t="s">
        <v>592</v>
      </c>
      <c r="L239" s="308"/>
      <c r="M239" s="308"/>
      <c r="N239" s="308"/>
      <c r="O239" s="733">
        <v>1</v>
      </c>
      <c r="P239" s="731" t="s">
        <v>618</v>
      </c>
      <c r="Q239" s="308" t="str">
        <f>IF(R239="","включаем","не включаем")</f>
        <v>включаем</v>
      </c>
      <c r="R239" s="732"/>
      <c r="S239" s="308"/>
      <c r="T239" s="308" t="s">
        <v>566</v>
      </c>
      <c r="V239" s="731" t="s">
        <v>996</v>
      </c>
      <c r="W239" s="406">
        <v>46173</v>
      </c>
    </row>
    <row r="240" spans="1:38" customHeight="1" ht="22.5">
      <c r="A240" s="722" t="s">
        <v>1571</v>
      </c>
      <c r="B240" s="722" t="s">
        <v>1572</v>
      </c>
      <c r="D240" s="722" t="s">
        <v>1573</v>
      </c>
      <c r="E240" s="722" t="s">
        <v>1574</v>
      </c>
      <c r="F240" s="722" t="s">
        <v>308</v>
      </c>
      <c r="G240" s="722" t="s">
        <v>222</v>
      </c>
      <c r="H240" s="308" t="str">
        <f>IF(ISBLANK(B240),"-",IF(ISERROR(FIND("вич",B240,1)),"ж","м"))</f>
        <v>ж</v>
      </c>
      <c r="I240" s="308" t="e">
        <v>#REF!</v>
      </c>
      <c r="J240" s="308" t="e">
        <v>#REF!</v>
      </c>
      <c r="K240" s="29" t="s">
        <v>592</v>
      </c>
      <c r="L240" s="308"/>
      <c r="M240" s="308"/>
      <c r="N240" s="308"/>
      <c r="O240" s="733">
        <v>1</v>
      </c>
      <c r="P240" s="731" t="s">
        <v>618</v>
      </c>
      <c r="Q240" s="308" t="str">
        <f>IF(R240="","включаем","не включаем")</f>
        <v>включаем</v>
      </c>
      <c r="R240" s="732"/>
      <c r="S240" s="308"/>
      <c r="T240" s="308" t="s">
        <v>566</v>
      </c>
      <c r="V240" s="731" t="s">
        <v>996</v>
      </c>
      <c r="W240" s="406">
        <v>46173</v>
      </c>
    </row>
    <row r="241" spans="1:38" customHeight="1" ht="45">
      <c r="A241" s="722" t="s">
        <v>1575</v>
      </c>
      <c r="B241" s="722" t="s">
        <v>1576</v>
      </c>
      <c r="D241" s="722" t="s">
        <v>1577</v>
      </c>
      <c r="E241" s="722" t="s">
        <v>1578</v>
      </c>
      <c r="F241" s="722" t="s">
        <v>308</v>
      </c>
      <c r="G241" s="722" t="s">
        <v>311</v>
      </c>
      <c r="H241" s="308" t="str">
        <f>IF(ISBLANK(B241),"-",IF(ISERROR(FIND("вич",B241,1)),"ж","м"))</f>
        <v>м</v>
      </c>
      <c r="I241" s="308" t="e">
        <v>#REF!</v>
      </c>
      <c r="J241" s="308" t="e">
        <v>#REF!</v>
      </c>
      <c r="K241" s="29" t="s">
        <v>592</v>
      </c>
      <c r="L241" s="308"/>
      <c r="M241" s="308"/>
      <c r="N241" s="308"/>
      <c r="O241" s="733">
        <v>1</v>
      </c>
      <c r="P241" s="731" t="s">
        <v>618</v>
      </c>
      <c r="Q241" s="308" t="str">
        <f>IF(R241="","включаем","не включаем")</f>
        <v>включаем</v>
      </c>
      <c r="R241" s="732"/>
      <c r="S241" s="308"/>
      <c r="T241" s="308" t="s">
        <v>566</v>
      </c>
      <c r="V241" s="731" t="s">
        <v>996</v>
      </c>
      <c r="W241" s="406">
        <v>46173</v>
      </c>
    </row>
    <row r="242" spans="1:38" customHeight="1" ht="22.5">
      <c r="A242" s="722" t="s">
        <v>1579</v>
      </c>
      <c r="B242" s="722" t="s">
        <v>1580</v>
      </c>
      <c r="D242" s="722" t="s">
        <v>1581</v>
      </c>
      <c r="E242" s="722" t="s">
        <v>1582</v>
      </c>
      <c r="F242" s="722" t="s">
        <v>308</v>
      </c>
      <c r="G242" s="722" t="s">
        <v>1583</v>
      </c>
      <c r="H242" s="308" t="str">
        <f>IF(ISBLANK(B242),"-",IF(ISERROR(FIND("вич",B242,1)),"ж","м"))</f>
        <v>м</v>
      </c>
      <c r="I242" s="308" t="e">
        <v>#REF!</v>
      </c>
      <c r="J242" s="308" t="e">
        <v>#REF!</v>
      </c>
      <c r="K242" s="29" t="s">
        <v>592</v>
      </c>
      <c r="L242" s="308"/>
      <c r="M242" s="308"/>
      <c r="N242" s="308"/>
      <c r="O242" s="733">
        <v>1</v>
      </c>
      <c r="P242" s="731" t="s">
        <v>618</v>
      </c>
      <c r="Q242" s="308" t="str">
        <f>IF(R242="","включаем","не включаем")</f>
        <v>включаем</v>
      </c>
      <c r="R242" s="732"/>
      <c r="S242" s="308"/>
      <c r="T242" s="308" t="s">
        <v>566</v>
      </c>
      <c r="V242" s="731" t="s">
        <v>996</v>
      </c>
      <c r="W242" s="406">
        <v>46173</v>
      </c>
    </row>
    <row r="243" spans="1:38" customHeight="1" ht="22.5">
      <c r="A243" s="722" t="s">
        <v>1584</v>
      </c>
      <c r="B243" s="722" t="s">
        <v>1585</v>
      </c>
      <c r="D243" s="722" t="s">
        <v>1393</v>
      </c>
      <c r="E243" s="722" t="s">
        <v>1586</v>
      </c>
      <c r="F243" s="722" t="s">
        <v>308</v>
      </c>
      <c r="G243" s="722" t="s">
        <v>1583</v>
      </c>
      <c r="H243" s="308" t="str">
        <f>IF(ISBLANK(B243),"-",IF(ISERROR(FIND("вич",B243,1)),"ж","м"))</f>
        <v>м</v>
      </c>
      <c r="I243" s="308" t="e">
        <v>#REF!</v>
      </c>
      <c r="J243" s="308" t="e">
        <v>#REF!</v>
      </c>
      <c r="K243" s="29" t="s">
        <v>592</v>
      </c>
      <c r="L243" s="308"/>
      <c r="M243" s="308"/>
      <c r="N243" s="308"/>
      <c r="O243" s="733">
        <v>1</v>
      </c>
      <c r="P243" s="731" t="s">
        <v>618</v>
      </c>
      <c r="Q243" s="308" t="str">
        <f>IF(R243="","включаем","не включаем")</f>
        <v>включаем</v>
      </c>
      <c r="R243" s="732"/>
      <c r="S243" s="308"/>
      <c r="T243" s="308" t="s">
        <v>566</v>
      </c>
      <c r="V243" s="731" t="s">
        <v>996</v>
      </c>
      <c r="W243" s="406">
        <v>46173</v>
      </c>
    </row>
    <row r="244" spans="1:38" customHeight="1" ht="22.5">
      <c r="A244" s="722" t="s">
        <v>1587</v>
      </c>
      <c r="B244" s="722" t="s">
        <v>1588</v>
      </c>
      <c r="D244" s="722" t="s">
        <v>1328</v>
      </c>
      <c r="E244" s="722" t="s">
        <v>1589</v>
      </c>
      <c r="F244" s="722" t="s">
        <v>308</v>
      </c>
      <c r="G244" s="722" t="s">
        <v>1583</v>
      </c>
      <c r="H244" s="308" t="str">
        <f>IF(ISBLANK(B244),"-",IF(ISERROR(FIND("вич",B244,1)),"ж","м"))</f>
        <v>м</v>
      </c>
      <c r="I244" s="308" t="e">
        <v>#REF!</v>
      </c>
      <c r="J244" s="308" t="e">
        <v>#REF!</v>
      </c>
      <c r="K244" s="29" t="s">
        <v>592</v>
      </c>
      <c r="L244" s="308"/>
      <c r="M244" s="308"/>
      <c r="N244" s="308"/>
      <c r="O244" s="733">
        <v>1</v>
      </c>
      <c r="P244" s="731" t="s">
        <v>618</v>
      </c>
      <c r="Q244" s="308" t="str">
        <f>IF(R244="","включаем","не включаем")</f>
        <v>включаем</v>
      </c>
      <c r="R244" s="732"/>
      <c r="S244" s="308"/>
      <c r="T244" s="308" t="s">
        <v>566</v>
      </c>
      <c r="V244" s="731" t="s">
        <v>996</v>
      </c>
      <c r="W244" s="406">
        <v>46173</v>
      </c>
    </row>
    <row r="245" spans="1:38" customHeight="1" ht="22.5">
      <c r="A245" s="722" t="s">
        <v>1590</v>
      </c>
      <c r="B245" s="722" t="s">
        <v>1591</v>
      </c>
      <c r="D245" s="722" t="s">
        <v>1592</v>
      </c>
      <c r="E245" s="722" t="s">
        <v>1593</v>
      </c>
      <c r="F245" s="722" t="s">
        <v>308</v>
      </c>
      <c r="G245" s="722" t="s">
        <v>1583</v>
      </c>
      <c r="H245" s="308" t="str">
        <f>IF(ISBLANK(B245),"-",IF(ISERROR(FIND("вич",B245,1)),"ж","м"))</f>
        <v>м</v>
      </c>
      <c r="I245" s="308" t="e">
        <v>#REF!</v>
      </c>
      <c r="J245" s="308" t="e">
        <v>#REF!</v>
      </c>
      <c r="K245" s="29" t="s">
        <v>592</v>
      </c>
      <c r="L245" s="308"/>
      <c r="M245" s="308"/>
      <c r="N245" s="308"/>
      <c r="O245" s="733">
        <v>1</v>
      </c>
      <c r="P245" s="731" t="s">
        <v>618</v>
      </c>
      <c r="Q245" s="308" t="str">
        <f>IF(R245="","включаем","не включаем")</f>
        <v>включаем</v>
      </c>
      <c r="R245" s="732"/>
      <c r="S245" s="308"/>
      <c r="T245" s="308" t="s">
        <v>566</v>
      </c>
      <c r="V245" s="731" t="s">
        <v>996</v>
      </c>
      <c r="W245" s="406">
        <v>46173</v>
      </c>
    </row>
    <row r="246" spans="1:38" customHeight="1" ht="22.5">
      <c r="A246" s="722" t="s">
        <v>1594</v>
      </c>
      <c r="B246" s="722" t="s">
        <v>1595</v>
      </c>
      <c r="D246" s="722" t="s">
        <v>1581</v>
      </c>
      <c r="E246" s="722" t="s">
        <v>1596</v>
      </c>
      <c r="F246" s="722" t="s">
        <v>308</v>
      </c>
      <c r="G246" s="722" t="s">
        <v>1583</v>
      </c>
      <c r="H246" s="308" t="str">
        <f>IF(ISBLANK(B246),"-",IF(ISERROR(FIND("вич",B246,1)),"ж","м"))</f>
        <v>м</v>
      </c>
      <c r="I246" s="308" t="e">
        <v>#REF!</v>
      </c>
      <c r="J246" s="308" t="e">
        <v>#REF!</v>
      </c>
      <c r="K246" s="29" t="s">
        <v>592</v>
      </c>
      <c r="L246" s="308"/>
      <c r="M246" s="308"/>
      <c r="N246" s="308"/>
      <c r="O246" s="733">
        <v>1</v>
      </c>
      <c r="P246" s="731" t="s">
        <v>618</v>
      </c>
      <c r="Q246" s="308" t="str">
        <f>IF(R246="","включаем","не включаем")</f>
        <v>включаем</v>
      </c>
      <c r="R246" s="732"/>
      <c r="S246" s="308"/>
      <c r="T246" s="308" t="s">
        <v>566</v>
      </c>
      <c r="V246" s="731" t="s">
        <v>996</v>
      </c>
      <c r="W246" s="406">
        <v>46173</v>
      </c>
    </row>
    <row r="247" spans="1:38" customHeight="1" ht="22.5">
      <c r="A247" s="722" t="s">
        <v>1597</v>
      </c>
      <c r="B247" s="722" t="s">
        <v>1598</v>
      </c>
      <c r="D247" s="722" t="s">
        <v>1599</v>
      </c>
      <c r="E247" s="722" t="s">
        <v>1600</v>
      </c>
      <c r="F247" s="722" t="s">
        <v>308</v>
      </c>
      <c r="G247" s="722" t="s">
        <v>1583</v>
      </c>
      <c r="H247" s="308" t="str">
        <f>IF(ISBLANK(B247),"-",IF(ISERROR(FIND("вич",B247,1)),"ж","м"))</f>
        <v>м</v>
      </c>
      <c r="I247" s="308" t="e">
        <v>#REF!</v>
      </c>
      <c r="J247" s="308" t="e">
        <v>#REF!</v>
      </c>
      <c r="K247" s="29" t="s">
        <v>592</v>
      </c>
      <c r="L247" s="308"/>
      <c r="M247" s="308"/>
      <c r="N247" s="308"/>
      <c r="O247" s="733">
        <v>1</v>
      </c>
      <c r="P247" s="731" t="s">
        <v>618</v>
      </c>
      <c r="Q247" s="308" t="str">
        <f>IF(R247="","включаем","не включаем")</f>
        <v>включаем</v>
      </c>
      <c r="R247" s="732"/>
      <c r="S247" s="308"/>
      <c r="T247" s="308" t="s">
        <v>566</v>
      </c>
      <c r="V247" s="731" t="s">
        <v>996</v>
      </c>
      <c r="W247" s="406">
        <v>46173</v>
      </c>
    </row>
    <row r="248" spans="1:38" customHeight="1" ht="22.5">
      <c r="A248" s="722" t="s">
        <v>1601</v>
      </c>
      <c r="B248" s="722" t="s">
        <v>1602</v>
      </c>
      <c r="D248" s="722" t="s">
        <v>1603</v>
      </c>
      <c r="E248" s="722" t="s">
        <v>1604</v>
      </c>
      <c r="F248" s="722" t="s">
        <v>308</v>
      </c>
      <c r="G248" s="722" t="s">
        <v>1583</v>
      </c>
      <c r="H248" s="308" t="str">
        <f>IF(ISBLANK(B248),"-",IF(ISERROR(FIND("вич",B248,1)),"ж","м"))</f>
        <v>ж</v>
      </c>
      <c r="I248" s="308" t="e">
        <v>#REF!</v>
      </c>
      <c r="J248" s="308" t="e">
        <v>#REF!</v>
      </c>
      <c r="K248" s="29" t="s">
        <v>592</v>
      </c>
      <c r="L248" s="308"/>
      <c r="M248" s="308"/>
      <c r="N248" s="308"/>
      <c r="O248" s="733">
        <v>1</v>
      </c>
      <c r="P248" s="731" t="s">
        <v>618</v>
      </c>
      <c r="Q248" s="308" t="str">
        <f>IF(R248="","включаем","не включаем")</f>
        <v>включаем</v>
      </c>
      <c r="R248" s="732"/>
      <c r="S248" s="308"/>
      <c r="T248" s="308" t="s">
        <v>566</v>
      </c>
      <c r="V248" s="731" t="s">
        <v>996</v>
      </c>
      <c r="W248" s="406">
        <v>46173</v>
      </c>
    </row>
    <row r="249" spans="1:38" customHeight="1" ht="56.25">
      <c r="A249" s="722" t="s">
        <v>1605</v>
      </c>
      <c r="B249" s="722" t="s">
        <v>1606</v>
      </c>
      <c r="D249" s="722" t="s">
        <v>1607</v>
      </c>
      <c r="E249" s="722" t="s">
        <v>1608</v>
      </c>
      <c r="F249" s="722" t="s">
        <v>494</v>
      </c>
      <c r="G249" s="722" t="s">
        <v>495</v>
      </c>
      <c r="H249" s="308" t="str">
        <f>IF(ISBLANK(B249),"-",IF(ISERROR(FIND("вич",B249,1)),"ж","м"))</f>
        <v>м</v>
      </c>
      <c r="I249" s="308" t="e">
        <v>#REF!</v>
      </c>
      <c r="J249" s="308" t="e">
        <v>#REF!</v>
      </c>
      <c r="K249" s="29" t="s">
        <v>592</v>
      </c>
      <c r="L249" s="308"/>
      <c r="M249" s="308"/>
      <c r="N249" s="308"/>
      <c r="O249" s="733">
        <v>1</v>
      </c>
      <c r="P249" s="731" t="s">
        <v>618</v>
      </c>
      <c r="Q249" s="308" t="str">
        <f>IF(R249="","включаем","не включаем")</f>
        <v>включаем</v>
      </c>
      <c r="R249" s="732"/>
      <c r="S249" s="308"/>
      <c r="T249" s="308" t="s">
        <v>566</v>
      </c>
      <c r="V249" s="731" t="s">
        <v>996</v>
      </c>
      <c r="W249" s="406">
        <v>46173</v>
      </c>
    </row>
    <row r="250" spans="1:38" customHeight="1" ht="56.25">
      <c r="A250" s="722" t="s">
        <v>1609</v>
      </c>
      <c r="B250" s="722" t="s">
        <v>1610</v>
      </c>
      <c r="D250" s="722" t="s">
        <v>1611</v>
      </c>
      <c r="E250" s="722" t="s">
        <v>1612</v>
      </c>
      <c r="F250" s="722" t="s">
        <v>494</v>
      </c>
      <c r="G250" s="722" t="s">
        <v>1613</v>
      </c>
      <c r="H250" s="308" t="str">
        <f>IF(ISBLANK(B250),"-",IF(ISERROR(FIND("вич",B250,1)),"ж","м"))</f>
        <v>м</v>
      </c>
      <c r="I250" s="308" t="e">
        <v>#REF!</v>
      </c>
      <c r="J250" s="308" t="e">
        <v>#REF!</v>
      </c>
      <c r="K250" s="29" t="s">
        <v>592</v>
      </c>
      <c r="L250" s="308"/>
      <c r="M250" s="308"/>
      <c r="N250" s="308"/>
      <c r="O250" s="730" t="s">
        <v>953</v>
      </c>
      <c r="P250" s="731" t="s">
        <v>618</v>
      </c>
      <c r="Q250" s="308" t="str">
        <f>IF(R250="","включаем","не включаем")</f>
        <v>включаем</v>
      </c>
      <c r="R250" s="732"/>
      <c r="S250" s="308"/>
      <c r="T250" s="308" t="s">
        <v>566</v>
      </c>
      <c r="V250" s="731" t="s">
        <v>996</v>
      </c>
      <c r="W250" s="406">
        <v>46173</v>
      </c>
    </row>
    <row r="251" spans="1:38" customHeight="1" ht="22.5">
      <c r="A251" s="722" t="s">
        <v>1614</v>
      </c>
      <c r="B251" s="722" t="s">
        <v>1615</v>
      </c>
      <c r="D251" s="722" t="s">
        <v>1616</v>
      </c>
      <c r="E251" s="722" t="s">
        <v>1617</v>
      </c>
      <c r="F251" s="722" t="s">
        <v>1618</v>
      </c>
      <c r="G251" s="722" t="s">
        <v>411</v>
      </c>
      <c r="H251" s="308" t="str">
        <f>IF(ISBLANK(B251),"-",IF(ISERROR(FIND("вич",B251,1)),"ж","м"))</f>
        <v>ж</v>
      </c>
      <c r="I251" s="308" t="e">
        <v>#REF!</v>
      </c>
      <c r="J251" s="308" t="e">
        <v>#REF!</v>
      </c>
      <c r="K251" s="29" t="s">
        <v>130</v>
      </c>
      <c r="L251" s="308"/>
      <c r="M251" s="308"/>
      <c r="N251" s="308"/>
      <c r="O251" s="733">
        <v>1</v>
      </c>
      <c r="P251" s="731" t="s">
        <v>618</v>
      </c>
      <c r="Q251" s="308" t="str">
        <f>IF(R251="","включаем","не включаем")</f>
        <v>включаем</v>
      </c>
      <c r="R251" s="732"/>
      <c r="S251" s="308"/>
      <c r="T251" s="308" t="s">
        <v>566</v>
      </c>
      <c r="V251" s="731" t="s">
        <v>996</v>
      </c>
      <c r="W251" s="406">
        <v>46173</v>
      </c>
    </row>
    <row r="252" spans="1:38" customHeight="1" ht="22.5">
      <c r="A252" s="722" t="s">
        <v>1619</v>
      </c>
      <c r="B252" s="722" t="s">
        <v>1620</v>
      </c>
      <c r="D252" s="722" t="s">
        <v>1621</v>
      </c>
      <c r="E252" s="722" t="s">
        <v>1622</v>
      </c>
      <c r="F252" s="722" t="s">
        <v>378</v>
      </c>
      <c r="G252" s="722" t="s">
        <v>329</v>
      </c>
      <c r="H252" s="308" t="str">
        <f>IF(ISBLANK(B252),"-",IF(ISERROR(FIND("вич",B252,1)),"ж","м"))</f>
        <v>м</v>
      </c>
      <c r="I252" s="308" t="e">
        <v>#REF!</v>
      </c>
      <c r="J252" s="308" t="e">
        <v>#REF!</v>
      </c>
      <c r="K252" s="29" t="s">
        <v>130</v>
      </c>
      <c r="L252" s="308"/>
      <c r="M252" s="308"/>
      <c r="N252" s="308"/>
      <c r="O252" s="733">
        <v>1</v>
      </c>
      <c r="P252" s="731" t="s">
        <v>618</v>
      </c>
      <c r="Q252" s="308" t="str">
        <f>IF(R252="","включаем","не включаем")</f>
        <v>включаем</v>
      </c>
      <c r="R252" s="732"/>
      <c r="S252" s="308"/>
      <c r="T252" s="308" t="s">
        <v>566</v>
      </c>
      <c r="V252" s="731" t="s">
        <v>996</v>
      </c>
      <c r="W252" s="406">
        <v>46173</v>
      </c>
    </row>
    <row r="253" spans="1:38" customHeight="1" ht="22.5">
      <c r="A253" s="722" t="s">
        <v>1623</v>
      </c>
      <c r="B253" s="722" t="s">
        <v>1624</v>
      </c>
      <c r="D253" s="722" t="s">
        <v>1398</v>
      </c>
      <c r="E253" s="723" t="s">
        <v>1625</v>
      </c>
      <c r="F253" s="722" t="s">
        <v>378</v>
      </c>
      <c r="G253" s="722" t="s">
        <v>329</v>
      </c>
      <c r="H253" s="308" t="str">
        <f>IF(ISBLANK(B253),"-",IF(ISERROR(FIND("вич",B253,1)),"ж","м"))</f>
        <v>м</v>
      </c>
      <c r="I253" s="308" t="e">
        <v>#REF!</v>
      </c>
      <c r="J253" s="308" t="e">
        <v>#REF!</v>
      </c>
      <c r="K253" s="29" t="s">
        <v>130</v>
      </c>
      <c r="L253" s="308"/>
      <c r="M253" s="308"/>
      <c r="N253" s="308"/>
      <c r="O253" s="733">
        <v>1</v>
      </c>
      <c r="P253" s="731" t="s">
        <v>618</v>
      </c>
      <c r="Q253" s="308" t="str">
        <f>IF(R253="","включаем","не включаем")</f>
        <v>включаем</v>
      </c>
      <c r="R253" s="732"/>
      <c r="S253" s="308"/>
      <c r="T253" s="308" t="s">
        <v>566</v>
      </c>
      <c r="V253" s="731" t="s">
        <v>996</v>
      </c>
      <c r="W253" s="406">
        <v>46173</v>
      </c>
    </row>
    <row r="254" spans="1:38" customHeight="1" ht="22.5">
      <c r="A254" s="722" t="s">
        <v>1626</v>
      </c>
      <c r="B254" s="722" t="s">
        <v>1627</v>
      </c>
      <c r="D254" s="722" t="s">
        <v>1037</v>
      </c>
      <c r="E254" s="722" t="s">
        <v>1628</v>
      </c>
      <c r="F254" s="722" t="s">
        <v>378</v>
      </c>
      <c r="G254" s="722" t="s">
        <v>329</v>
      </c>
      <c r="H254" s="308" t="str">
        <f>IF(ISBLANK(B254),"-",IF(ISERROR(FIND("вич",B254,1)),"ж","м"))</f>
        <v>м</v>
      </c>
      <c r="I254" s="308" t="e">
        <v>#REF!</v>
      </c>
      <c r="J254" s="308" t="e">
        <v>#REF!</v>
      </c>
      <c r="K254" s="29" t="s">
        <v>130</v>
      </c>
      <c r="L254" s="308"/>
      <c r="M254" s="308"/>
      <c r="N254" s="308"/>
      <c r="O254" s="733">
        <v>1</v>
      </c>
      <c r="P254" s="731" t="s">
        <v>618</v>
      </c>
      <c r="Q254" s="308" t="str">
        <f>IF(R254="","включаем","не включаем")</f>
        <v>включаем</v>
      </c>
      <c r="R254" s="732"/>
      <c r="S254" s="308"/>
      <c r="T254" s="308" t="s">
        <v>566</v>
      </c>
      <c r="V254" s="731" t="s">
        <v>996</v>
      </c>
      <c r="W254" s="406">
        <v>46173</v>
      </c>
    </row>
    <row r="255" spans="1:38" customHeight="1" ht="22.5">
      <c r="A255" s="722" t="s">
        <v>1629</v>
      </c>
      <c r="B255" s="722" t="s">
        <v>1630</v>
      </c>
      <c r="D255" s="722" t="s">
        <v>1631</v>
      </c>
      <c r="E255" s="722" t="s">
        <v>1632</v>
      </c>
      <c r="F255" s="722" t="s">
        <v>378</v>
      </c>
      <c r="G255" s="722" t="s">
        <v>380</v>
      </c>
      <c r="H255" s="308" t="str">
        <f>IF(ISBLANK(B255),"-",IF(ISERROR(FIND("вич",B255,1)),"ж","м"))</f>
        <v>м</v>
      </c>
      <c r="I255" s="308" t="e">
        <v>#REF!</v>
      </c>
      <c r="J255" s="308" t="e">
        <v>#REF!</v>
      </c>
      <c r="K255" s="29" t="s">
        <v>130</v>
      </c>
      <c r="L255" s="308"/>
      <c r="M255" s="308"/>
      <c r="N255" s="308"/>
      <c r="O255" s="733">
        <v>1</v>
      </c>
      <c r="P255" s="731" t="s">
        <v>618</v>
      </c>
      <c r="Q255" s="308" t="str">
        <f>IF(R255="","включаем","не включаем")</f>
        <v>включаем</v>
      </c>
      <c r="R255" s="732"/>
      <c r="S255" s="308"/>
      <c r="T255" s="308" t="s">
        <v>566</v>
      </c>
      <c r="V255" s="731" t="s">
        <v>996</v>
      </c>
      <c r="W255" s="406">
        <v>46173</v>
      </c>
    </row>
    <row r="256" spans="1:38" customHeight="1" ht="22.5">
      <c r="A256" s="722" t="s">
        <v>1633</v>
      </c>
      <c r="B256" s="722" t="s">
        <v>1634</v>
      </c>
      <c r="D256" s="722" t="s">
        <v>1635</v>
      </c>
      <c r="E256" s="722" t="s">
        <v>1636</v>
      </c>
      <c r="F256" s="722" t="s">
        <v>378</v>
      </c>
      <c r="G256" s="722" t="s">
        <v>382</v>
      </c>
      <c r="H256" s="308" t="str">
        <f>IF(ISBLANK(B256),"-",IF(ISERROR(FIND("вич",B256,1)),"ж","м"))</f>
        <v>ж</v>
      </c>
      <c r="I256" s="308" t="e">
        <v>#REF!</v>
      </c>
      <c r="J256" s="308" t="e">
        <v>#REF!</v>
      </c>
      <c r="K256" s="29" t="s">
        <v>130</v>
      </c>
      <c r="L256" s="308"/>
      <c r="M256" s="308"/>
      <c r="N256" s="308"/>
      <c r="O256" s="733">
        <v>1</v>
      </c>
      <c r="P256" s="731" t="s">
        <v>618</v>
      </c>
      <c r="Q256" s="308" t="str">
        <f>IF(R256="","включаем","не включаем")</f>
        <v>включаем</v>
      </c>
      <c r="R256" s="732"/>
      <c r="S256" s="308"/>
      <c r="T256" s="308" t="s">
        <v>566</v>
      </c>
      <c r="V256" s="731" t="s">
        <v>996</v>
      </c>
      <c r="W256" s="406">
        <v>46173</v>
      </c>
    </row>
    <row r="257" spans="1:38" customHeight="1" ht="45">
      <c r="A257" s="722" t="s">
        <v>1637</v>
      </c>
      <c r="B257" s="722" t="s">
        <v>1638</v>
      </c>
      <c r="D257" s="722" t="s">
        <v>1639</v>
      </c>
      <c r="E257" s="722" t="s">
        <v>1640</v>
      </c>
      <c r="F257" s="722" t="s">
        <v>378</v>
      </c>
      <c r="G257" s="722" t="s">
        <v>487</v>
      </c>
      <c r="H257" s="308" t="str">
        <f>IF(ISBLANK(B257),"-",IF(ISERROR(FIND("вич",B257,1)),"ж","м"))</f>
        <v>ж</v>
      </c>
      <c r="I257" s="308" t="e">
        <v>#REF!</v>
      </c>
      <c r="J257" s="308" t="e">
        <v>#REF!</v>
      </c>
      <c r="K257" s="29" t="s">
        <v>130</v>
      </c>
      <c r="L257" s="308"/>
      <c r="M257" s="308"/>
      <c r="N257" s="308"/>
      <c r="O257" s="733">
        <v>1</v>
      </c>
      <c r="P257" s="731" t="s">
        <v>618</v>
      </c>
      <c r="Q257" s="308" t="str">
        <f>IF(R257="","включаем","не включаем")</f>
        <v>включаем</v>
      </c>
      <c r="R257" s="732"/>
      <c r="S257" s="308"/>
      <c r="T257" s="308" t="s">
        <v>566</v>
      </c>
      <c r="V257" s="731" t="s">
        <v>996</v>
      </c>
      <c r="W257" s="406">
        <v>46173</v>
      </c>
    </row>
    <row r="258" spans="1:38" customHeight="1" ht="33.75">
      <c r="A258" s="722" t="s">
        <v>1641</v>
      </c>
      <c r="B258" s="722" t="s">
        <v>1642</v>
      </c>
      <c r="D258" s="722" t="s">
        <v>1393</v>
      </c>
      <c r="E258" s="722" t="s">
        <v>1643</v>
      </c>
      <c r="F258" s="722" t="s">
        <v>378</v>
      </c>
      <c r="G258" s="722" t="s">
        <v>379</v>
      </c>
      <c r="H258" s="308" t="str">
        <f>IF(ISBLANK(B258),"-",IF(ISERROR(FIND("вич",B258,1)),"ж","м"))</f>
        <v>ж</v>
      </c>
      <c r="I258" s="308" t="e">
        <v>#REF!</v>
      </c>
      <c r="J258" s="308" t="e">
        <v>#REF!</v>
      </c>
      <c r="K258" s="29" t="s">
        <v>130</v>
      </c>
      <c r="L258" s="308"/>
      <c r="M258" s="308"/>
      <c r="N258" s="308"/>
      <c r="O258" s="733">
        <v>1</v>
      </c>
      <c r="P258" s="731" t="s">
        <v>618</v>
      </c>
      <c r="Q258" s="308" t="str">
        <f>IF(R258="","включаем","не включаем")</f>
        <v>включаем</v>
      </c>
      <c r="R258" s="732"/>
      <c r="S258" s="308"/>
      <c r="T258" s="308" t="s">
        <v>566</v>
      </c>
      <c r="V258" s="731" t="s">
        <v>996</v>
      </c>
      <c r="W258" s="406">
        <v>46173</v>
      </c>
    </row>
    <row r="259" spans="1:38" customHeight="1" ht="33.75">
      <c r="A259" s="722" t="s">
        <v>1644</v>
      </c>
      <c r="B259" s="722" t="s">
        <v>1645</v>
      </c>
      <c r="D259" s="722" t="s">
        <v>1393</v>
      </c>
      <c r="E259" s="722" t="s">
        <v>1646</v>
      </c>
      <c r="F259" s="722" t="s">
        <v>378</v>
      </c>
      <c r="G259" s="722" t="s">
        <v>379</v>
      </c>
      <c r="H259" s="308" t="str">
        <f>IF(ISBLANK(B259),"-",IF(ISERROR(FIND("вич",B259,1)),"ж","м"))</f>
        <v>м</v>
      </c>
      <c r="I259" s="308" t="e">
        <v>#REF!</v>
      </c>
      <c r="J259" s="308" t="e">
        <v>#REF!</v>
      </c>
      <c r="K259" s="29" t="s">
        <v>130</v>
      </c>
      <c r="L259" s="308"/>
      <c r="M259" s="308"/>
      <c r="N259" s="308"/>
      <c r="O259" s="733">
        <v>1</v>
      </c>
      <c r="P259" s="731" t="s">
        <v>618</v>
      </c>
      <c r="Q259" s="308" t="str">
        <f>IF(R259="","включаем","не включаем")</f>
        <v>включаем</v>
      </c>
      <c r="R259" s="732"/>
      <c r="S259" s="308"/>
      <c r="T259" s="308" t="s">
        <v>566</v>
      </c>
      <c r="V259" s="731" t="s">
        <v>996</v>
      </c>
      <c r="W259" s="406">
        <v>46173</v>
      </c>
    </row>
    <row r="260" spans="1:38" customHeight="1" ht="22.5">
      <c r="A260" s="722" t="s">
        <v>1647</v>
      </c>
      <c r="B260" s="722" t="s">
        <v>1648</v>
      </c>
      <c r="D260" s="722" t="s">
        <v>1649</v>
      </c>
      <c r="E260" s="722" t="s">
        <v>1650</v>
      </c>
      <c r="F260" s="722" t="s">
        <v>378</v>
      </c>
      <c r="G260" s="722" t="s">
        <v>1651</v>
      </c>
      <c r="H260" s="308" t="str">
        <f>IF(ISBLANK(B260),"-",IF(ISERROR(FIND("вич",B260,1)),"ж","м"))</f>
        <v>ж</v>
      </c>
      <c r="I260" s="308" t="e">
        <v>#REF!</v>
      </c>
      <c r="J260" s="308" t="e">
        <v>#REF!</v>
      </c>
      <c r="K260" s="29" t="s">
        <v>130</v>
      </c>
      <c r="L260" s="308"/>
      <c r="M260" s="308"/>
      <c r="N260" s="308"/>
      <c r="O260" s="733">
        <v>1</v>
      </c>
      <c r="P260" s="731" t="s">
        <v>618</v>
      </c>
      <c r="Q260" s="308" t="str">
        <f>IF(R260="","включаем","не включаем")</f>
        <v>включаем</v>
      </c>
      <c r="R260" s="732"/>
      <c r="S260" s="308"/>
      <c r="T260" s="308" t="s">
        <v>566</v>
      </c>
      <c r="V260" s="731" t="s">
        <v>996</v>
      </c>
      <c r="W260" s="406">
        <v>46173</v>
      </c>
    </row>
    <row r="261" spans="1:38" customHeight="1" ht="22.5">
      <c r="A261" s="722" t="s">
        <v>1652</v>
      </c>
      <c r="B261" s="722" t="s">
        <v>1653</v>
      </c>
      <c r="D261" s="722" t="s">
        <v>768</v>
      </c>
      <c r="E261" s="722" t="s">
        <v>1654</v>
      </c>
      <c r="F261" s="722" t="s">
        <v>422</v>
      </c>
      <c r="G261" s="722" t="s">
        <v>425</v>
      </c>
      <c r="H261" s="308" t="str">
        <f>IF(ISBLANK(B261),"-",IF(ISERROR(FIND("вич",B261,1)),"ж","м"))</f>
        <v>м</v>
      </c>
      <c r="I261" s="308" t="e">
        <v>#REF!</v>
      </c>
      <c r="J261" s="308" t="e">
        <v>#REF!</v>
      </c>
      <c r="K261" s="29" t="s">
        <v>130</v>
      </c>
      <c r="L261" s="308"/>
      <c r="M261" s="308"/>
      <c r="N261" s="308"/>
      <c r="O261" s="733">
        <v>1</v>
      </c>
      <c r="P261" s="731" t="s">
        <v>618</v>
      </c>
      <c r="Q261" s="308" t="str">
        <f>IF(R261="","включаем","не включаем")</f>
        <v>включаем</v>
      </c>
      <c r="R261" s="732"/>
      <c r="S261" s="308"/>
      <c r="T261" s="308" t="s">
        <v>566</v>
      </c>
      <c r="V261" s="731" t="s">
        <v>996</v>
      </c>
      <c r="W261" s="406">
        <v>46173</v>
      </c>
    </row>
    <row r="262" spans="1:38" customHeight="1" ht="33.75">
      <c r="A262" s="722" t="s">
        <v>884</v>
      </c>
      <c r="B262" s="722" t="s">
        <v>1655</v>
      </c>
      <c r="D262" s="722" t="s">
        <v>1656</v>
      </c>
      <c r="E262" s="722" t="s">
        <v>1657</v>
      </c>
      <c r="F262" s="722" t="s">
        <v>422</v>
      </c>
      <c r="G262" s="722" t="s">
        <v>424</v>
      </c>
      <c r="H262" s="308" t="str">
        <f>IF(ISBLANK(B262),"-",IF(ISERROR(FIND("вич",B262,1)),"ж","м"))</f>
        <v>м</v>
      </c>
      <c r="I262" s="308" t="e">
        <v>#REF!</v>
      </c>
      <c r="J262" s="308" t="e">
        <v>#REF!</v>
      </c>
      <c r="K262" s="29" t="s">
        <v>130</v>
      </c>
      <c r="L262" s="308"/>
      <c r="M262" s="308"/>
      <c r="N262" s="308"/>
      <c r="O262" s="730" t="s">
        <v>953</v>
      </c>
      <c r="P262" s="731" t="s">
        <v>612</v>
      </c>
      <c r="Q262" s="308" t="str">
        <f>IF(R262="","включаем","не включаем")</f>
        <v>не включаем</v>
      </c>
      <c r="R262" s="732" t="s">
        <v>582</v>
      </c>
      <c r="S262" s="308"/>
      <c r="T262" s="308" t="s">
        <v>566</v>
      </c>
      <c r="V262" s="731" t="s">
        <v>996</v>
      </c>
      <c r="W262" s="406">
        <v>46173</v>
      </c>
    </row>
    <row r="263" spans="1:38" customHeight="1" ht="22.5">
      <c r="A263" s="722" t="s">
        <v>1658</v>
      </c>
      <c r="B263" s="722" t="s">
        <v>1659</v>
      </c>
      <c r="D263" s="722" t="s">
        <v>768</v>
      </c>
      <c r="E263" s="722" t="s">
        <v>1660</v>
      </c>
      <c r="F263" s="722" t="s">
        <v>422</v>
      </c>
      <c r="G263" s="722" t="s">
        <v>498</v>
      </c>
      <c r="H263" s="308" t="str">
        <f>IF(ISBLANK(B263),"-",IF(ISERROR(FIND("вич",B263,1)),"ж","м"))</f>
        <v>ж</v>
      </c>
      <c r="I263" s="308" t="e">
        <v>#REF!</v>
      </c>
      <c r="J263" s="308" t="e">
        <v>#REF!</v>
      </c>
      <c r="K263" s="29" t="s">
        <v>130</v>
      </c>
      <c r="L263" s="308"/>
      <c r="M263" s="308"/>
      <c r="N263" s="308"/>
      <c r="O263" s="733">
        <v>1</v>
      </c>
      <c r="P263" s="731" t="s">
        <v>618</v>
      </c>
      <c r="Q263" s="308" t="str">
        <f>IF(R263="","включаем","не включаем")</f>
        <v>включаем</v>
      </c>
      <c r="R263" s="732"/>
      <c r="S263" s="308"/>
      <c r="T263" s="308" t="s">
        <v>566</v>
      </c>
      <c r="V263" s="731" t="s">
        <v>996</v>
      </c>
      <c r="W263" s="406">
        <v>46173</v>
      </c>
    </row>
    <row r="264" spans="1:38" customHeight="1" ht="22.5">
      <c r="A264" s="722" t="s">
        <v>1661</v>
      </c>
      <c r="B264" s="722" t="s">
        <v>1662</v>
      </c>
      <c r="D264" s="722" t="s">
        <v>1663</v>
      </c>
      <c r="E264" s="722" t="s">
        <v>1664</v>
      </c>
      <c r="F264" s="722" t="s">
        <v>422</v>
      </c>
      <c r="G264" s="722" t="s">
        <v>1665</v>
      </c>
      <c r="H264" s="308" t="str">
        <f>IF(ISBLANK(B264),"-",IF(ISERROR(FIND("вич",B264,1)),"ж","м"))</f>
        <v>м</v>
      </c>
      <c r="I264" s="308" t="e">
        <v>#REF!</v>
      </c>
      <c r="J264" s="308" t="e">
        <v>#REF!</v>
      </c>
      <c r="K264" s="29" t="s">
        <v>130</v>
      </c>
      <c r="L264" s="308"/>
      <c r="M264" s="308"/>
      <c r="N264" s="308"/>
      <c r="O264" s="733">
        <v>1</v>
      </c>
      <c r="P264" s="731" t="s">
        <v>618</v>
      </c>
      <c r="Q264" s="308" t="str">
        <f>IF(R264="","включаем","не включаем")</f>
        <v>включаем</v>
      </c>
      <c r="R264" s="732"/>
      <c r="S264" s="308"/>
      <c r="T264" s="308" t="s">
        <v>566</v>
      </c>
      <c r="V264" s="731" t="s">
        <v>996</v>
      </c>
      <c r="W264" s="406">
        <v>46173</v>
      </c>
    </row>
    <row r="265" spans="1:38" customHeight="1" ht="22.5">
      <c r="A265" s="722" t="s">
        <v>1666</v>
      </c>
      <c r="B265" s="722" t="s">
        <v>1667</v>
      </c>
      <c r="D265" s="722" t="s">
        <v>1668</v>
      </c>
      <c r="E265" s="722" t="s">
        <v>1669</v>
      </c>
      <c r="F265" s="722" t="s">
        <v>422</v>
      </c>
      <c r="G265" s="722" t="s">
        <v>1665</v>
      </c>
      <c r="H265" s="308" t="str">
        <f>IF(ISBLANK(B265),"-",IF(ISERROR(FIND("вич",B265,1)),"ж","м"))</f>
        <v>м</v>
      </c>
      <c r="I265" s="308" t="e">
        <v>#REF!</v>
      </c>
      <c r="J265" s="308" t="e">
        <v>#REF!</v>
      </c>
      <c r="K265" s="29" t="s">
        <v>130</v>
      </c>
      <c r="L265" s="308"/>
      <c r="M265" s="308"/>
      <c r="N265" s="308"/>
      <c r="O265" s="733">
        <v>1</v>
      </c>
      <c r="P265" s="731" t="s">
        <v>618</v>
      </c>
      <c r="Q265" s="308" t="str">
        <f>IF(R265="","включаем","не включаем")</f>
        <v>включаем</v>
      </c>
      <c r="R265" s="732"/>
      <c r="S265" s="308"/>
      <c r="T265" s="308" t="s">
        <v>566</v>
      </c>
      <c r="V265" s="731" t="s">
        <v>996</v>
      </c>
      <c r="W265" s="406">
        <v>46173</v>
      </c>
    </row>
    <row r="266" spans="1:38" customHeight="1" ht="22.5">
      <c r="A266" s="722" t="s">
        <v>1670</v>
      </c>
      <c r="B266" s="722" t="s">
        <v>1671</v>
      </c>
      <c r="D266" s="722" t="s">
        <v>1672</v>
      </c>
      <c r="E266" s="722" t="s">
        <v>1673</v>
      </c>
      <c r="F266" s="722" t="s">
        <v>422</v>
      </c>
      <c r="G266" s="722" t="s">
        <v>1665</v>
      </c>
      <c r="H266" s="308" t="str">
        <f>IF(ISBLANK(B266),"-",IF(ISERROR(FIND("вич",B266,1)),"ж","м"))</f>
        <v>м</v>
      </c>
      <c r="I266" s="308" t="e">
        <v>#REF!</v>
      </c>
      <c r="J266" s="308" t="e">
        <v>#REF!</v>
      </c>
      <c r="K266" s="29" t="s">
        <v>130</v>
      </c>
      <c r="L266" s="308"/>
      <c r="M266" s="308"/>
      <c r="N266" s="308"/>
      <c r="O266" s="733">
        <v>1</v>
      </c>
      <c r="P266" s="731" t="s">
        <v>618</v>
      </c>
      <c r="Q266" s="308" t="str">
        <f>IF(R266="","включаем","не включаем")</f>
        <v>включаем</v>
      </c>
      <c r="R266" s="732"/>
      <c r="S266" s="308"/>
      <c r="T266" s="308" t="s">
        <v>566</v>
      </c>
      <c r="V266" s="731" t="s">
        <v>996</v>
      </c>
      <c r="W266" s="406">
        <v>46173</v>
      </c>
    </row>
    <row r="267" spans="1:38" customHeight="1" ht="22.5">
      <c r="A267" s="722" t="s">
        <v>1674</v>
      </c>
      <c r="B267" s="722" t="s">
        <v>1675</v>
      </c>
      <c r="D267" s="722" t="s">
        <v>1676</v>
      </c>
      <c r="E267" s="722" t="s">
        <v>1677</v>
      </c>
      <c r="F267" s="722" t="s">
        <v>422</v>
      </c>
      <c r="G267" s="722" t="s">
        <v>1665</v>
      </c>
      <c r="H267" s="308" t="str">
        <f>IF(ISBLANK(B267),"-",IF(ISERROR(FIND("вич",B267,1)),"ж","м"))</f>
        <v>м</v>
      </c>
      <c r="I267" s="308" t="e">
        <v>#REF!</v>
      </c>
      <c r="J267" s="308" t="e">
        <v>#REF!</v>
      </c>
      <c r="K267" s="29" t="s">
        <v>130</v>
      </c>
      <c r="L267" s="308"/>
      <c r="M267" s="308"/>
      <c r="N267" s="308"/>
      <c r="O267" s="733">
        <v>1</v>
      </c>
      <c r="P267" s="731" t="s">
        <v>618</v>
      </c>
      <c r="Q267" s="308" t="str">
        <f>IF(R267="","включаем","не включаем")</f>
        <v>включаем</v>
      </c>
      <c r="R267" s="732"/>
      <c r="S267" s="308"/>
      <c r="T267" s="308" t="s">
        <v>566</v>
      </c>
      <c r="V267" s="731" t="s">
        <v>996</v>
      </c>
      <c r="W267" s="406">
        <v>46173</v>
      </c>
    </row>
    <row r="268" spans="1:38" customHeight="1" ht="22.5">
      <c r="A268" s="722" t="s">
        <v>1678</v>
      </c>
      <c r="B268" s="722" t="s">
        <v>1679</v>
      </c>
      <c r="D268" s="722" t="s">
        <v>1680</v>
      </c>
      <c r="E268" s="722" t="s">
        <v>1681</v>
      </c>
      <c r="F268" s="722" t="s">
        <v>422</v>
      </c>
      <c r="G268" s="722" t="s">
        <v>1665</v>
      </c>
      <c r="H268" s="308" t="str">
        <f>IF(ISBLANK(B268),"-",IF(ISERROR(FIND("вич",B268,1)),"ж","м"))</f>
        <v>м</v>
      </c>
      <c r="I268" s="308" t="e">
        <v>#REF!</v>
      </c>
      <c r="J268" s="308" t="e">
        <v>#REF!</v>
      </c>
      <c r="K268" s="29" t="s">
        <v>130</v>
      </c>
      <c r="L268" s="308"/>
      <c r="M268" s="308"/>
      <c r="N268" s="308"/>
      <c r="O268" s="733">
        <v>1</v>
      </c>
      <c r="P268" s="731" t="s">
        <v>618</v>
      </c>
      <c r="Q268" s="308" t="str">
        <f>IF(R268="","включаем","не включаем")</f>
        <v>включаем</v>
      </c>
      <c r="R268" s="732"/>
      <c r="S268" s="308"/>
      <c r="T268" s="308" t="s">
        <v>566</v>
      </c>
      <c r="V268" s="731" t="s">
        <v>996</v>
      </c>
      <c r="W268" s="406">
        <v>46173</v>
      </c>
    </row>
    <row r="269" spans="1:38" customHeight="1" ht="22.5">
      <c r="A269" s="722" t="s">
        <v>1682</v>
      </c>
      <c r="B269" s="722" t="s">
        <v>1683</v>
      </c>
      <c r="D269" s="722" t="s">
        <v>1684</v>
      </c>
      <c r="E269" s="722" t="s">
        <v>1685</v>
      </c>
      <c r="F269" s="722" t="s">
        <v>422</v>
      </c>
      <c r="G269" s="722" t="s">
        <v>1665</v>
      </c>
      <c r="H269" s="308" t="str">
        <f>IF(ISBLANK(B269),"-",IF(ISERROR(FIND("вич",B269,1)),"ж","м"))</f>
        <v>м</v>
      </c>
      <c r="I269" s="308" t="e">
        <v>#REF!</v>
      </c>
      <c r="J269" s="308" t="e">
        <v>#REF!</v>
      </c>
      <c r="K269" s="29" t="s">
        <v>130</v>
      </c>
      <c r="L269" s="308"/>
      <c r="M269" s="308"/>
      <c r="N269" s="308"/>
      <c r="O269" s="733">
        <v>1</v>
      </c>
      <c r="P269" s="731" t="s">
        <v>618</v>
      </c>
      <c r="Q269" s="308" t="str">
        <f>IF(R269="","включаем","не включаем")</f>
        <v>включаем</v>
      </c>
      <c r="R269" s="732"/>
      <c r="S269" s="308"/>
      <c r="T269" s="308" t="s">
        <v>566</v>
      </c>
      <c r="V269" s="731" t="s">
        <v>996</v>
      </c>
      <c r="W269" s="406">
        <v>46173</v>
      </c>
    </row>
    <row r="270" spans="1:38" customHeight="1" ht="45">
      <c r="A270" s="722" t="s">
        <v>1686</v>
      </c>
      <c r="B270" s="722" t="s">
        <v>1675</v>
      </c>
      <c r="D270" s="722" t="s">
        <v>1687</v>
      </c>
      <c r="E270" s="722" t="s">
        <v>1677</v>
      </c>
      <c r="F270" s="722" t="s">
        <v>422</v>
      </c>
      <c r="G270" s="722" t="s">
        <v>1688</v>
      </c>
      <c r="H270" s="308" t="str">
        <f>IF(ISBLANK(B270),"-",IF(ISERROR(FIND("вич",B270,1)),"ж","м"))</f>
        <v>м</v>
      </c>
      <c r="I270" s="308" t="e">
        <v>#REF!</v>
      </c>
      <c r="J270" s="308" t="e">
        <v>#REF!</v>
      </c>
      <c r="K270" s="29" t="s">
        <v>130</v>
      </c>
      <c r="L270" s="308"/>
      <c r="M270" s="308"/>
      <c r="N270" s="308"/>
      <c r="O270" s="730" t="s">
        <v>953</v>
      </c>
      <c r="P270" s="731" t="s">
        <v>1004</v>
      </c>
      <c r="Q270" s="308" t="str">
        <f>IF(R270="","включаем","не включаем")</f>
        <v>не включаем</v>
      </c>
      <c r="R270" s="732" t="s">
        <v>578</v>
      </c>
      <c r="S270" s="308"/>
      <c r="T270" s="308" t="s">
        <v>566</v>
      </c>
      <c r="V270" s="731" t="s">
        <v>996</v>
      </c>
      <c r="W270" s="406">
        <v>46173</v>
      </c>
    </row>
    <row r="271" spans="1:38" customHeight="1" ht="22.5">
      <c r="A271" s="722" t="s">
        <v>1689</v>
      </c>
      <c r="B271" s="722" t="s">
        <v>1690</v>
      </c>
      <c r="D271" s="722" t="s">
        <v>650</v>
      </c>
      <c r="E271" s="722" t="s">
        <v>1691</v>
      </c>
      <c r="F271" s="722" t="s">
        <v>1692</v>
      </c>
      <c r="G271" s="722" t="s">
        <v>380</v>
      </c>
      <c r="H271" s="308" t="str">
        <f>IF(ISBLANK(B271),"-",IF(ISERROR(FIND("вич",B271,1)),"ж","м"))</f>
        <v>м</v>
      </c>
      <c r="I271" s="308" t="e">
        <v>#REF!</v>
      </c>
      <c r="J271" s="308" t="e">
        <v>#REF!</v>
      </c>
      <c r="K271" s="29" t="s">
        <v>130</v>
      </c>
      <c r="L271" s="308"/>
      <c r="M271" s="308"/>
      <c r="N271" s="308"/>
      <c r="O271" s="733">
        <v>1</v>
      </c>
      <c r="P271" s="731" t="s">
        <v>618</v>
      </c>
      <c r="Q271" s="308" t="str">
        <f>IF(R271="","включаем","не включаем")</f>
        <v>включаем</v>
      </c>
      <c r="R271" s="732"/>
      <c r="S271" s="308"/>
      <c r="T271" s="308" t="s">
        <v>566</v>
      </c>
      <c r="V271" s="731" t="s">
        <v>996</v>
      </c>
      <c r="W271" s="406">
        <v>46173</v>
      </c>
    </row>
    <row r="272" spans="1:38" customHeight="1" ht="22.5">
      <c r="A272" s="722" t="s">
        <v>1693</v>
      </c>
      <c r="B272" s="722" t="s">
        <v>1694</v>
      </c>
      <c r="D272" s="722" t="s">
        <v>1011</v>
      </c>
      <c r="E272" s="722" t="s">
        <v>1695</v>
      </c>
      <c r="F272" s="722" t="s">
        <v>400</v>
      </c>
      <c r="G272" s="722" t="s">
        <v>403</v>
      </c>
      <c r="H272" s="308" t="str">
        <f>IF(ISBLANK(B272),"-",IF(ISERROR(FIND("вич",B272,1)),"ж","м"))</f>
        <v>ж</v>
      </c>
      <c r="I272" s="308" t="e">
        <v>#REF!</v>
      </c>
      <c r="J272" s="308" t="e">
        <v>#REF!</v>
      </c>
      <c r="K272" s="29" t="s">
        <v>402</v>
      </c>
      <c r="L272" s="308"/>
      <c r="M272" s="308"/>
      <c r="N272" s="308"/>
      <c r="O272" s="733">
        <v>1</v>
      </c>
      <c r="P272" s="731" t="s">
        <v>618</v>
      </c>
      <c r="Q272" s="308" t="str">
        <f>IF(R272="","включаем","не включаем")</f>
        <v>включаем</v>
      </c>
      <c r="R272" s="732"/>
      <c r="S272" s="308"/>
      <c r="T272" s="308" t="s">
        <v>566</v>
      </c>
      <c r="V272" s="731" t="s">
        <v>996</v>
      </c>
      <c r="W272" s="406">
        <v>46173</v>
      </c>
    </row>
    <row r="273" spans="1:38" customHeight="1" ht="22.5">
      <c r="A273" s="722" t="s">
        <v>656</v>
      </c>
      <c r="B273" s="722" t="s">
        <v>1696</v>
      </c>
      <c r="D273" s="722" t="s">
        <v>1697</v>
      </c>
      <c r="E273" s="722" t="s">
        <v>1698</v>
      </c>
      <c r="F273" s="722" t="s">
        <v>400</v>
      </c>
      <c r="G273" s="722" t="s">
        <v>404</v>
      </c>
      <c r="H273" s="308" t="str">
        <f>IF(ISBLANK(B273),"-",IF(ISERROR(FIND("вич",B273,1)),"ж","м"))</f>
        <v>ж</v>
      </c>
      <c r="I273" s="308" t="e">
        <v>#REF!</v>
      </c>
      <c r="J273" s="308" t="e">
        <v>#REF!</v>
      </c>
      <c r="K273" s="29" t="s">
        <v>402</v>
      </c>
      <c r="L273" s="308"/>
      <c r="M273" s="308"/>
      <c r="N273" s="308"/>
      <c r="O273" s="733">
        <v>1</v>
      </c>
      <c r="P273" s="731" t="s">
        <v>618</v>
      </c>
      <c r="Q273" s="308" t="str">
        <f>IF(R273="","включаем","не включаем")</f>
        <v>включаем</v>
      </c>
      <c r="R273" s="732"/>
      <c r="S273" s="308"/>
      <c r="T273" s="308" t="s">
        <v>566</v>
      </c>
      <c r="V273" s="731" t="s">
        <v>996</v>
      </c>
      <c r="W273" s="406">
        <v>46173</v>
      </c>
    </row>
    <row r="274" spans="1:38" customHeight="1" ht="33.75">
      <c r="A274" s="722" t="s">
        <v>1699</v>
      </c>
      <c r="B274" s="722" t="s">
        <v>1700</v>
      </c>
      <c r="D274" s="722" t="s">
        <v>1701</v>
      </c>
      <c r="E274" s="722" t="s">
        <v>1702</v>
      </c>
      <c r="F274" s="722" t="s">
        <v>400</v>
      </c>
      <c r="G274" s="722" t="s">
        <v>401</v>
      </c>
      <c r="H274" s="308" t="str">
        <f>IF(ISBLANK(B274),"-",IF(ISERROR(FIND("вич",B274,1)),"ж","м"))</f>
        <v>ж</v>
      </c>
      <c r="I274" s="308" t="e">
        <v>#REF!</v>
      </c>
      <c r="J274" s="308" t="e">
        <v>#REF!</v>
      </c>
      <c r="K274" s="29" t="s">
        <v>402</v>
      </c>
      <c r="L274" s="308"/>
      <c r="M274" s="308"/>
      <c r="N274" s="308"/>
      <c r="O274" s="733">
        <v>1</v>
      </c>
      <c r="P274" s="731" t="s">
        <v>618</v>
      </c>
      <c r="Q274" s="308" t="str">
        <f>IF(R274="","включаем","не включаем")</f>
        <v>включаем</v>
      </c>
      <c r="R274" s="732"/>
      <c r="S274" s="308"/>
      <c r="T274" s="308" t="s">
        <v>566</v>
      </c>
      <c r="V274" s="731" t="s">
        <v>996</v>
      </c>
      <c r="W274" s="406">
        <v>46173</v>
      </c>
    </row>
    <row r="275" spans="1:38" customHeight="1" ht="33.75">
      <c r="A275" s="722" t="s">
        <v>1703</v>
      </c>
      <c r="B275" s="722" t="s">
        <v>1704</v>
      </c>
      <c r="D275" s="722" t="s">
        <v>1705</v>
      </c>
      <c r="E275" s="722" t="s">
        <v>1706</v>
      </c>
      <c r="F275" s="722" t="s">
        <v>400</v>
      </c>
      <c r="G275" s="722" t="s">
        <v>407</v>
      </c>
      <c r="H275" s="308" t="str">
        <f>IF(ISBLANK(B275),"-",IF(ISERROR(FIND("вич",B275,1)),"ж","м"))</f>
        <v>ж</v>
      </c>
      <c r="I275" s="308" t="e">
        <v>#REF!</v>
      </c>
      <c r="J275" s="308" t="e">
        <v>#REF!</v>
      </c>
      <c r="K275" s="29" t="s">
        <v>402</v>
      </c>
      <c r="L275" s="308"/>
      <c r="M275" s="308"/>
      <c r="N275" s="308"/>
      <c r="O275" s="733">
        <v>1</v>
      </c>
      <c r="P275" s="731" t="s">
        <v>618</v>
      </c>
      <c r="Q275" s="308" t="str">
        <f>IF(R275="","включаем","не включаем")</f>
        <v>включаем</v>
      </c>
      <c r="R275" s="732"/>
      <c r="S275" s="308"/>
      <c r="T275" s="308" t="s">
        <v>566</v>
      </c>
      <c r="V275" s="731" t="s">
        <v>996</v>
      </c>
      <c r="W275" s="406">
        <v>46173</v>
      </c>
    </row>
    <row r="276" spans="1:38" customHeight="1" ht="33.75">
      <c r="A276" s="722" t="s">
        <v>1707</v>
      </c>
      <c r="B276" s="722" t="s">
        <v>1708</v>
      </c>
      <c r="D276" s="722" t="s">
        <v>1709</v>
      </c>
      <c r="E276" s="722" t="s">
        <v>1710</v>
      </c>
      <c r="F276" s="722" t="s">
        <v>400</v>
      </c>
      <c r="G276" s="722" t="s">
        <v>407</v>
      </c>
      <c r="H276" s="308" t="str">
        <f>IF(ISBLANK(B276),"-",IF(ISERROR(FIND("вич",B276,1)),"ж","м"))</f>
        <v>ж</v>
      </c>
      <c r="I276" s="308" t="e">
        <v>#REF!</v>
      </c>
      <c r="J276" s="308" t="e">
        <v>#REF!</v>
      </c>
      <c r="K276" s="29" t="s">
        <v>402</v>
      </c>
      <c r="L276" s="308"/>
      <c r="M276" s="308"/>
      <c r="N276" s="308"/>
      <c r="O276" s="733">
        <v>1</v>
      </c>
      <c r="P276" s="731" t="s">
        <v>618</v>
      </c>
      <c r="Q276" s="308" t="str">
        <f>IF(R276="","включаем","не включаем")</f>
        <v>включаем</v>
      </c>
      <c r="R276" s="732"/>
      <c r="S276" s="308"/>
      <c r="T276" s="308" t="s">
        <v>566</v>
      </c>
      <c r="V276" s="731" t="s">
        <v>996</v>
      </c>
      <c r="W276" s="406">
        <v>46173</v>
      </c>
    </row>
    <row r="277" spans="1:38" customHeight="1" ht="78.75">
      <c r="A277" s="722" t="s">
        <v>1711</v>
      </c>
      <c r="B277" s="722" t="s">
        <v>1712</v>
      </c>
      <c r="D277" s="722" t="s">
        <v>1713</v>
      </c>
      <c r="E277" s="722" t="s">
        <v>1714</v>
      </c>
      <c r="F277" s="722" t="s">
        <v>400</v>
      </c>
      <c r="G277" s="722" t="s">
        <v>1715</v>
      </c>
      <c r="H277" s="308" t="str">
        <f>IF(ISBLANK(B277),"-",IF(ISERROR(FIND("вич",B277,1)),"ж","м"))</f>
        <v>м</v>
      </c>
      <c r="I277" s="308" t="e">
        <v>#REF!</v>
      </c>
      <c r="J277" s="308" t="e">
        <v>#REF!</v>
      </c>
      <c r="K277" s="29" t="s">
        <v>402</v>
      </c>
      <c r="L277" s="308"/>
      <c r="M277" s="308"/>
      <c r="N277" s="308"/>
      <c r="O277" s="733">
        <v>1</v>
      </c>
      <c r="P277" s="731" t="s">
        <v>618</v>
      </c>
      <c r="Q277" s="308" t="str">
        <f>IF(R277="","включаем","не включаем")</f>
        <v>включаем</v>
      </c>
      <c r="R277" s="732"/>
      <c r="S277" s="308"/>
      <c r="T277" s="308" t="s">
        <v>566</v>
      </c>
      <c r="V277" s="731" t="s">
        <v>996</v>
      </c>
      <c r="W277" s="406">
        <v>46173</v>
      </c>
    </row>
    <row r="278" spans="1:38" customHeight="1" ht="33.75">
      <c r="A278" s="722" t="s">
        <v>1716</v>
      </c>
      <c r="B278" s="722" t="s">
        <v>1717</v>
      </c>
      <c r="D278" s="722" t="s">
        <v>1718</v>
      </c>
      <c r="E278" s="722" t="s">
        <v>1719</v>
      </c>
      <c r="F278" s="722" t="s">
        <v>1720</v>
      </c>
      <c r="G278" s="722" t="s">
        <v>1234</v>
      </c>
      <c r="H278" s="308" t="str">
        <f>IF(ISBLANK(B278),"-",IF(ISERROR(FIND("вич",B278,1)),"ж","м"))</f>
        <v>м</v>
      </c>
      <c r="I278" s="308" t="e">
        <v>#REF!</v>
      </c>
      <c r="J278" s="308" t="e">
        <v>#REF!</v>
      </c>
      <c r="K278" s="29" t="s">
        <v>402</v>
      </c>
      <c r="L278" s="308"/>
      <c r="M278" s="308"/>
      <c r="N278" s="308"/>
      <c r="O278" s="733">
        <v>1</v>
      </c>
      <c r="P278" s="731" t="s">
        <v>618</v>
      </c>
      <c r="Q278" s="308" t="str">
        <f>IF(R278="","включаем","не включаем")</f>
        <v>включаем</v>
      </c>
      <c r="R278" s="732"/>
      <c r="S278" s="308"/>
      <c r="T278" s="308" t="s">
        <v>566</v>
      </c>
      <c r="V278" s="731" t="s">
        <v>996</v>
      </c>
      <c r="W278" s="406">
        <v>46173</v>
      </c>
    </row>
    <row r="279" spans="1:38" customHeight="1" ht="33.75">
      <c r="A279" s="722" t="s">
        <v>1721</v>
      </c>
      <c r="B279" s="722" t="s">
        <v>1722</v>
      </c>
      <c r="D279" s="722" t="s">
        <v>1723</v>
      </c>
      <c r="E279" s="723" t="s">
        <v>1724</v>
      </c>
      <c r="F279" s="722" t="s">
        <v>1720</v>
      </c>
      <c r="G279" s="722" t="s">
        <v>1725</v>
      </c>
      <c r="H279" s="308" t="str">
        <f>IF(ISBLANK(B279),"-",IF(ISERROR(FIND("вич",B279,1)),"ж","м"))</f>
        <v>ж</v>
      </c>
      <c r="I279" s="308" t="e">
        <v>#REF!</v>
      </c>
      <c r="J279" s="308" t="e">
        <v>#REF!</v>
      </c>
      <c r="K279" s="29" t="s">
        <v>402</v>
      </c>
      <c r="L279" s="308"/>
      <c r="M279" s="308"/>
      <c r="N279" s="308"/>
      <c r="O279" s="733">
        <v>1</v>
      </c>
      <c r="P279" s="731" t="s">
        <v>618</v>
      </c>
      <c r="Q279" s="308" t="str">
        <f>IF(R279="","включаем","не включаем")</f>
        <v>включаем</v>
      </c>
      <c r="R279" s="732"/>
      <c r="S279" s="308"/>
      <c r="T279" s="308" t="s">
        <v>566</v>
      </c>
      <c r="V279" s="731" t="s">
        <v>996</v>
      </c>
      <c r="W279" s="406">
        <v>46173</v>
      </c>
    </row>
    <row r="280" spans="1:38" customHeight="1" ht="33.75">
      <c r="A280" s="722" t="s">
        <v>1726</v>
      </c>
      <c r="B280" s="722" t="s">
        <v>1727</v>
      </c>
      <c r="D280" s="722" t="s">
        <v>777</v>
      </c>
      <c r="E280" s="722" t="s">
        <v>1728</v>
      </c>
      <c r="F280" s="722" t="s">
        <v>1720</v>
      </c>
      <c r="G280" s="722" t="s">
        <v>1725</v>
      </c>
      <c r="H280" s="308" t="str">
        <f>IF(ISBLANK(B280),"-",IF(ISERROR(FIND("вич",B280,1)),"ж","м"))</f>
        <v>м</v>
      </c>
      <c r="I280" s="308" t="e">
        <v>#REF!</v>
      </c>
      <c r="J280" s="308" t="e">
        <v>#REF!</v>
      </c>
      <c r="K280" s="29" t="s">
        <v>402</v>
      </c>
      <c r="L280" s="308"/>
      <c r="M280" s="308"/>
      <c r="N280" s="308"/>
      <c r="O280" s="733">
        <v>1</v>
      </c>
      <c r="P280" s="731" t="s">
        <v>618</v>
      </c>
      <c r="Q280" s="308" t="str">
        <f>IF(R280="","включаем","не включаем")</f>
        <v>включаем</v>
      </c>
      <c r="R280" s="732"/>
      <c r="S280" s="308"/>
      <c r="T280" s="308" t="s">
        <v>566</v>
      </c>
      <c r="V280" s="731" t="s">
        <v>996</v>
      </c>
      <c r="W280" s="406">
        <v>46173</v>
      </c>
    </row>
    <row r="281" spans="1:38" customHeight="1" ht="33.75">
      <c r="A281" s="722" t="s">
        <v>1729</v>
      </c>
      <c r="B281" s="722" t="s">
        <v>1730</v>
      </c>
      <c r="D281" s="722" t="s">
        <v>1451</v>
      </c>
      <c r="E281" s="722" t="s">
        <v>1731</v>
      </c>
      <c r="F281" s="722" t="s">
        <v>1720</v>
      </c>
      <c r="G281" s="722" t="s">
        <v>1732</v>
      </c>
      <c r="H281" s="308" t="str">
        <f>IF(ISBLANK(B281),"-",IF(ISERROR(FIND("вич",B281,1)),"ж","м"))</f>
        <v>м</v>
      </c>
      <c r="I281" s="308" t="e">
        <v>#REF!</v>
      </c>
      <c r="J281" s="308" t="e">
        <v>#REF!</v>
      </c>
      <c r="K281" s="29" t="s">
        <v>402</v>
      </c>
      <c r="L281" s="308"/>
      <c r="M281" s="308"/>
      <c r="N281" s="308"/>
      <c r="O281" s="733">
        <v>1</v>
      </c>
      <c r="P281" s="731" t="s">
        <v>618</v>
      </c>
      <c r="Q281" s="308" t="str">
        <f>IF(R281="","включаем","не включаем")</f>
        <v>включаем</v>
      </c>
      <c r="R281" s="732"/>
      <c r="S281" s="308"/>
      <c r="T281" s="308" t="s">
        <v>566</v>
      </c>
      <c r="V281" s="731" t="s">
        <v>996</v>
      </c>
      <c r="W281" s="406">
        <v>46173</v>
      </c>
    </row>
    <row r="282" spans="1:38" customHeight="1" ht="33.75">
      <c r="A282" s="722" t="s">
        <v>1733</v>
      </c>
      <c r="B282" s="722" t="s">
        <v>1734</v>
      </c>
      <c r="D282" s="722" t="s">
        <v>1735</v>
      </c>
      <c r="E282" s="722" t="s">
        <v>1736</v>
      </c>
      <c r="F282" s="722" t="s">
        <v>1720</v>
      </c>
      <c r="G282" s="722" t="s">
        <v>1732</v>
      </c>
      <c r="H282" s="308" t="str">
        <f>IF(ISBLANK(B282),"-",IF(ISERROR(FIND("вич",B282,1)),"ж","м"))</f>
        <v>м</v>
      </c>
      <c r="I282" s="308" t="e">
        <v>#REF!</v>
      </c>
      <c r="J282" s="308" t="e">
        <v>#REF!</v>
      </c>
      <c r="K282" s="29" t="s">
        <v>402</v>
      </c>
      <c r="L282" s="308"/>
      <c r="M282" s="308"/>
      <c r="N282" s="308"/>
      <c r="O282" s="733">
        <v>1</v>
      </c>
      <c r="P282" s="731" t="s">
        <v>618</v>
      </c>
      <c r="Q282" s="308" t="str">
        <f>IF(R282="","включаем","не включаем")</f>
        <v>включаем</v>
      </c>
      <c r="R282" s="732"/>
      <c r="S282" s="308"/>
      <c r="T282" s="308" t="s">
        <v>566</v>
      </c>
      <c r="V282" s="731" t="s">
        <v>996</v>
      </c>
      <c r="W282" s="406">
        <v>46173</v>
      </c>
    </row>
    <row r="283" spans="1:38" customHeight="1" ht="33.75">
      <c r="A283" s="722" t="s">
        <v>1737</v>
      </c>
      <c r="B283" s="722" t="s">
        <v>1738</v>
      </c>
      <c r="D283" s="722" t="s">
        <v>1739</v>
      </c>
      <c r="E283" s="722" t="s">
        <v>1740</v>
      </c>
      <c r="F283" s="722" t="s">
        <v>1720</v>
      </c>
      <c r="G283" s="722" t="s">
        <v>1741</v>
      </c>
      <c r="H283" s="308" t="str">
        <f>IF(ISBLANK(B283),"-",IF(ISERROR(FIND("вич",B283,1)),"ж","м"))</f>
        <v>м</v>
      </c>
      <c r="I283" s="308" t="e">
        <v>#REF!</v>
      </c>
      <c r="J283" s="308" t="e">
        <v>#REF!</v>
      </c>
      <c r="K283" s="29" t="s">
        <v>402</v>
      </c>
      <c r="L283" s="308"/>
      <c r="M283" s="308"/>
      <c r="N283" s="308"/>
      <c r="O283" s="733">
        <v>1</v>
      </c>
      <c r="P283" s="731" t="s">
        <v>618</v>
      </c>
      <c r="Q283" s="308" t="str">
        <f>IF(R283="","включаем","не включаем")</f>
        <v>включаем</v>
      </c>
      <c r="R283" s="732"/>
      <c r="S283" s="308"/>
      <c r="T283" s="308" t="s">
        <v>566</v>
      </c>
      <c r="V283" s="731" t="s">
        <v>996</v>
      </c>
      <c r="W283" s="406">
        <v>46173</v>
      </c>
    </row>
    <row r="284" spans="1:38" customHeight="1" ht="45">
      <c r="A284" s="722" t="s">
        <v>1742</v>
      </c>
      <c r="B284" s="722" t="s">
        <v>1743</v>
      </c>
      <c r="D284" s="722" t="s">
        <v>1744</v>
      </c>
      <c r="E284" s="722" t="s">
        <v>1745</v>
      </c>
      <c r="F284" s="722" t="s">
        <v>1746</v>
      </c>
      <c r="G284" s="722" t="s">
        <v>1747</v>
      </c>
      <c r="H284" s="308" t="str">
        <f>IF(ISBLANK(B284),"-",IF(ISERROR(FIND("вич",B284,1)),"ж","м"))</f>
        <v>ж</v>
      </c>
      <c r="I284" s="308" t="e">
        <v>#REF!</v>
      </c>
      <c r="J284" s="308" t="e">
        <v>#REF!</v>
      </c>
      <c r="K284" s="29" t="s">
        <v>402</v>
      </c>
      <c r="L284" s="308"/>
      <c r="M284" s="308"/>
      <c r="N284" s="308"/>
      <c r="O284" s="733">
        <v>1</v>
      </c>
      <c r="P284" s="731" t="s">
        <v>618</v>
      </c>
      <c r="Q284" s="308" t="str">
        <f>IF(R284="","включаем","не включаем")</f>
        <v>включаем</v>
      </c>
      <c r="R284" s="732"/>
      <c r="S284" s="308"/>
      <c r="T284" s="308" t="s">
        <v>566</v>
      </c>
      <c r="V284" s="731" t="s">
        <v>996</v>
      </c>
      <c r="W284" s="406">
        <v>46173</v>
      </c>
    </row>
    <row r="285" spans="1:38" customHeight="1" ht="33.75">
      <c r="A285" s="722" t="s">
        <v>1748</v>
      </c>
      <c r="B285" s="722" t="s">
        <v>608</v>
      </c>
      <c r="D285" s="722" t="s">
        <v>1749</v>
      </c>
      <c r="E285" s="722" t="s">
        <v>610</v>
      </c>
      <c r="F285" s="722" t="s">
        <v>333</v>
      </c>
      <c r="G285" s="722" t="s">
        <v>334</v>
      </c>
      <c r="H285" s="308" t="str">
        <f>IF(ISBLANK(B285),"-",IF(ISERROR(FIND("вич",B285,1)),"ж","м"))</f>
        <v>м</v>
      </c>
      <c r="I285" s="308" t="e">
        <v>#REF!</v>
      </c>
      <c r="J285" s="308" t="e">
        <v>#REF!</v>
      </c>
      <c r="K285" s="29" t="s">
        <v>349</v>
      </c>
      <c r="L285" s="308"/>
      <c r="M285" s="308"/>
      <c r="N285" s="308"/>
      <c r="O285" s="730" t="s">
        <v>1750</v>
      </c>
      <c r="P285" s="731" t="s">
        <v>618</v>
      </c>
      <c r="Q285" s="308" t="str">
        <f>IF(R285="","включаем","не включаем")</f>
        <v>включаем</v>
      </c>
      <c r="R285" s="732"/>
      <c r="S285" s="308"/>
      <c r="T285" s="308" t="s">
        <v>566</v>
      </c>
      <c r="V285" s="731" t="s">
        <v>996</v>
      </c>
      <c r="W285" s="406">
        <v>46173</v>
      </c>
    </row>
    <row r="286" spans="1:38" customHeight="1" ht="33.75">
      <c r="A286" s="722" t="s">
        <v>1751</v>
      </c>
      <c r="B286" s="722" t="s">
        <v>1752</v>
      </c>
      <c r="D286" s="722" t="s">
        <v>1393</v>
      </c>
      <c r="E286" s="723" t="s">
        <v>1753</v>
      </c>
      <c r="F286" s="722" t="s">
        <v>333</v>
      </c>
      <c r="G286" s="722" t="s">
        <v>330</v>
      </c>
      <c r="H286" s="308" t="str">
        <f>IF(ISBLANK(B286),"-",IF(ISERROR(FIND("вич",B286,1)),"ж","м"))</f>
        <v>м</v>
      </c>
      <c r="I286" s="308" t="e">
        <v>#REF!</v>
      </c>
      <c r="J286" s="308" t="e">
        <v>#REF!</v>
      </c>
      <c r="K286" s="313" t="s">
        <v>226</v>
      </c>
      <c r="L286" s="308"/>
      <c r="M286" s="308"/>
      <c r="N286" s="308"/>
      <c r="O286" s="733">
        <v>1</v>
      </c>
      <c r="P286" s="731" t="s">
        <v>618</v>
      </c>
      <c r="Q286" s="308" t="str">
        <f>IF(R286="","включаем","не включаем")</f>
        <v>включаем</v>
      </c>
      <c r="R286" s="732"/>
      <c r="S286" s="308"/>
      <c r="T286" s="308" t="s">
        <v>566</v>
      </c>
      <c r="V286" s="731" t="s">
        <v>996</v>
      </c>
      <c r="W286" s="406">
        <v>46173</v>
      </c>
    </row>
    <row r="287" spans="1:38" customHeight="1" ht="56.25">
      <c r="A287" s="722" t="s">
        <v>1754</v>
      </c>
      <c r="B287" s="722" t="s">
        <v>1755</v>
      </c>
      <c r="D287" s="722" t="s">
        <v>1100</v>
      </c>
      <c r="E287" s="722" t="s">
        <v>1756</v>
      </c>
      <c r="F287" s="722" t="s">
        <v>333</v>
      </c>
      <c r="G287" s="722" t="s">
        <v>1757</v>
      </c>
      <c r="H287" s="308" t="str">
        <f>IF(ISBLANK(B287),"-",IF(ISERROR(FIND("вич",B287,1)),"ж","м"))</f>
        <v>м</v>
      </c>
      <c r="I287" s="308" t="e">
        <v>#REF!</v>
      </c>
      <c r="J287" s="308" t="e">
        <v>#REF!</v>
      </c>
      <c r="K287" s="313" t="s">
        <v>226</v>
      </c>
      <c r="L287" s="308"/>
      <c r="M287" s="308"/>
      <c r="N287" s="308"/>
      <c r="O287" s="733">
        <v>1</v>
      </c>
      <c r="P287" s="731" t="s">
        <v>618</v>
      </c>
      <c r="Q287" s="308" t="str">
        <f>IF(R287="","включаем","не включаем")</f>
        <v>включаем</v>
      </c>
      <c r="R287" s="732"/>
      <c r="S287" s="308"/>
      <c r="T287" s="308" t="s">
        <v>566</v>
      </c>
      <c r="V287" s="731" t="s">
        <v>996</v>
      </c>
      <c r="W287" s="406">
        <v>46173</v>
      </c>
    </row>
    <row r="288" spans="1:38" customHeight="1" ht="22.5">
      <c r="A288" s="722" t="s">
        <v>782</v>
      </c>
      <c r="B288" s="722" t="s">
        <v>1758</v>
      </c>
      <c r="D288" s="722" t="s">
        <v>1759</v>
      </c>
      <c r="E288" s="722" t="s">
        <v>1760</v>
      </c>
      <c r="F288" s="722" t="s">
        <v>489</v>
      </c>
      <c r="G288" s="722" t="s">
        <v>370</v>
      </c>
      <c r="H288" s="308" t="str">
        <f>IF(ISBLANK(B288),"-",IF(ISERROR(FIND("вич",B288,1)),"ж","м"))</f>
        <v>ж</v>
      </c>
      <c r="I288" s="308" t="e">
        <v>#REF!</v>
      </c>
      <c r="J288" s="308" t="e">
        <v>#REF!</v>
      </c>
      <c r="K288" s="313" t="s">
        <v>226</v>
      </c>
      <c r="L288" s="308"/>
      <c r="M288" s="308"/>
      <c r="N288" s="308"/>
      <c r="O288" s="733">
        <v>1</v>
      </c>
      <c r="P288" s="731" t="s">
        <v>618</v>
      </c>
      <c r="Q288" s="308" t="str">
        <f>IF(R288="","включаем","не включаем")</f>
        <v>включаем</v>
      </c>
      <c r="R288" s="732"/>
      <c r="S288" s="308"/>
      <c r="T288" s="308" t="s">
        <v>566</v>
      </c>
      <c r="V288" s="731" t="s">
        <v>996</v>
      </c>
      <c r="W288" s="406">
        <v>46173</v>
      </c>
    </row>
    <row r="289" spans="1:38" customHeight="1" ht="33.75">
      <c r="A289" s="722" t="s">
        <v>1761</v>
      </c>
      <c r="B289" s="722" t="s">
        <v>1762</v>
      </c>
      <c r="D289" s="722" t="s">
        <v>1639</v>
      </c>
      <c r="E289" s="722" t="s">
        <v>1763</v>
      </c>
      <c r="F289" s="722" t="s">
        <v>489</v>
      </c>
      <c r="G289" s="722" t="s">
        <v>310</v>
      </c>
      <c r="H289" s="308" t="str">
        <f>IF(ISBLANK(B289),"-",IF(ISERROR(FIND("вич",B289,1)),"ж","м"))</f>
        <v>м</v>
      </c>
      <c r="I289" s="308" t="e">
        <v>#REF!</v>
      </c>
      <c r="J289" s="308" t="e">
        <v>#REF!</v>
      </c>
      <c r="K289" s="313" t="s">
        <v>226</v>
      </c>
      <c r="L289" s="308"/>
      <c r="M289" s="308"/>
      <c r="N289" s="308"/>
      <c r="O289" s="733">
        <v>1</v>
      </c>
      <c r="P289" s="731" t="s">
        <v>618</v>
      </c>
      <c r="Q289" s="308" t="str">
        <f>IF(R289="","включаем","не включаем")</f>
        <v>включаем</v>
      </c>
      <c r="R289" s="732"/>
      <c r="S289" s="308"/>
      <c r="T289" s="308" t="s">
        <v>566</v>
      </c>
      <c r="V289" s="731" t="s">
        <v>996</v>
      </c>
      <c r="W289" s="406">
        <v>46173</v>
      </c>
    </row>
    <row r="290" spans="1:38" customHeight="1" ht="22.5">
      <c r="A290" s="722" t="s">
        <v>1764</v>
      </c>
      <c r="B290" s="722" t="s">
        <v>1765</v>
      </c>
      <c r="D290" s="722" t="s">
        <v>1766</v>
      </c>
      <c r="E290" s="723" t="s">
        <v>1767</v>
      </c>
      <c r="F290" s="722" t="s">
        <v>489</v>
      </c>
      <c r="G290" s="722" t="s">
        <v>1768</v>
      </c>
      <c r="H290" s="308" t="str">
        <f>IF(ISBLANK(B290),"-",IF(ISERROR(FIND("вич",B290,1)),"ж","м"))</f>
        <v>ж</v>
      </c>
      <c r="I290" s="308" t="e">
        <v>#REF!</v>
      </c>
      <c r="J290" s="308" t="e">
        <v>#REF!</v>
      </c>
      <c r="K290" s="313" t="s">
        <v>226</v>
      </c>
      <c r="L290" s="308"/>
      <c r="M290" s="308"/>
      <c r="N290" s="308"/>
      <c r="O290" s="733">
        <v>1</v>
      </c>
      <c r="P290" s="731" t="s">
        <v>618</v>
      </c>
      <c r="Q290" s="308" t="str">
        <f>IF(R290="","включаем","не включаем")</f>
        <v>включаем</v>
      </c>
      <c r="R290" s="732"/>
      <c r="S290" s="308"/>
      <c r="T290" s="308" t="s">
        <v>566</v>
      </c>
      <c r="V290" s="731" t="s">
        <v>996</v>
      </c>
      <c r="W290" s="406">
        <v>46173</v>
      </c>
    </row>
    <row r="291" spans="1:38" customHeight="1" ht="56.25">
      <c r="A291" s="722" t="s">
        <v>1769</v>
      </c>
      <c r="B291" s="722" t="s">
        <v>1770</v>
      </c>
      <c r="D291" s="722" t="s">
        <v>924</v>
      </c>
      <c r="E291" s="722" t="s">
        <v>1771</v>
      </c>
      <c r="F291" s="722" t="s">
        <v>373</v>
      </c>
      <c r="G291" s="722" t="s">
        <v>372</v>
      </c>
      <c r="H291" s="308" t="str">
        <f>IF(ISBLANK(B291),"-",IF(ISERROR(FIND("вич",B291,1)),"ж","м"))</f>
        <v>м</v>
      </c>
      <c r="I291" s="308" t="e">
        <v>#REF!</v>
      </c>
      <c r="J291" s="308" t="e">
        <v>#REF!</v>
      </c>
      <c r="K291" s="313" t="s">
        <v>226</v>
      </c>
      <c r="L291" s="308"/>
      <c r="M291" s="308"/>
      <c r="N291" s="308"/>
      <c r="O291" s="733">
        <v>1</v>
      </c>
      <c r="P291" s="731" t="s">
        <v>618</v>
      </c>
      <c r="Q291" s="308" t="str">
        <f>IF(R291="","включаем","не включаем")</f>
        <v>включаем</v>
      </c>
      <c r="R291" s="732"/>
      <c r="S291" s="308"/>
      <c r="T291" s="308" t="s">
        <v>566</v>
      </c>
      <c r="V291" s="731" t="s">
        <v>996</v>
      </c>
      <c r="W291" s="406">
        <v>46173</v>
      </c>
    </row>
    <row r="292" spans="1:38" customHeight="1" ht="56.25">
      <c r="A292" s="722" t="s">
        <v>1772</v>
      </c>
      <c r="B292" s="722" t="s">
        <v>1773</v>
      </c>
      <c r="D292" s="722" t="s">
        <v>1774</v>
      </c>
      <c r="E292" s="722" t="s">
        <v>938</v>
      </c>
      <c r="F292" s="722" t="s">
        <v>373</v>
      </c>
      <c r="G292" s="722" t="s">
        <v>372</v>
      </c>
      <c r="H292" s="308" t="str">
        <f>IF(ISBLANK(B292),"-",IF(ISERROR(FIND("вич",B292,1)),"ж","м"))</f>
        <v>м</v>
      </c>
      <c r="I292" s="308" t="e">
        <v>#REF!</v>
      </c>
      <c r="J292" s="308" t="e">
        <v>#REF!</v>
      </c>
      <c r="K292" s="313" t="s">
        <v>226</v>
      </c>
      <c r="L292" s="308"/>
      <c r="M292" s="308"/>
      <c r="N292" s="308"/>
      <c r="O292" s="733">
        <v>1</v>
      </c>
      <c r="P292" s="731" t="s">
        <v>618</v>
      </c>
      <c r="Q292" s="308" t="str">
        <f>IF(R292="","включаем","не включаем")</f>
        <v>включаем</v>
      </c>
      <c r="R292" s="732"/>
      <c r="S292" s="308"/>
      <c r="T292" s="308" t="s">
        <v>566</v>
      </c>
      <c r="V292" s="731" t="s">
        <v>996</v>
      </c>
      <c r="W292" s="406">
        <v>46173</v>
      </c>
    </row>
    <row r="293" spans="1:38" customHeight="1" ht="56.25">
      <c r="A293" s="722" t="s">
        <v>1775</v>
      </c>
      <c r="B293" s="722" t="s">
        <v>1776</v>
      </c>
      <c r="D293" s="722" t="s">
        <v>1777</v>
      </c>
      <c r="E293" s="722" t="s">
        <v>1778</v>
      </c>
      <c r="F293" s="722" t="s">
        <v>373</v>
      </c>
      <c r="G293" s="722" t="s">
        <v>372</v>
      </c>
      <c r="H293" s="308" t="str">
        <f>IF(ISBLANK(B293),"-",IF(ISERROR(FIND("вич",B293,1)),"ж","м"))</f>
        <v>ж</v>
      </c>
      <c r="I293" s="308" t="e">
        <v>#REF!</v>
      </c>
      <c r="J293" s="308" t="e">
        <v>#REF!</v>
      </c>
      <c r="K293" s="313" t="s">
        <v>226</v>
      </c>
      <c r="L293" s="308"/>
      <c r="M293" s="308"/>
      <c r="N293" s="308"/>
      <c r="O293" s="733">
        <v>1</v>
      </c>
      <c r="P293" s="731" t="s">
        <v>618</v>
      </c>
      <c r="Q293" s="308" t="str">
        <f>IF(R293="","включаем","не включаем")</f>
        <v>включаем</v>
      </c>
      <c r="R293" s="732"/>
      <c r="S293" s="308"/>
      <c r="T293" s="308" t="s">
        <v>566</v>
      </c>
      <c r="V293" s="731" t="s">
        <v>996</v>
      </c>
      <c r="W293" s="406">
        <v>46173</v>
      </c>
    </row>
    <row r="294" spans="1:38" customHeight="1" ht="56.25">
      <c r="A294" s="722" t="s">
        <v>1779</v>
      </c>
      <c r="B294" s="722" t="s">
        <v>1780</v>
      </c>
      <c r="D294" s="722" t="s">
        <v>807</v>
      </c>
      <c r="E294" s="722" t="s">
        <v>1781</v>
      </c>
      <c r="F294" s="722" t="s">
        <v>373</v>
      </c>
      <c r="G294" s="722" t="s">
        <v>372</v>
      </c>
      <c r="H294" s="308" t="str">
        <f>IF(ISBLANK(B294),"-",IF(ISERROR(FIND("вич",B294,1)),"ж","м"))</f>
        <v>м</v>
      </c>
      <c r="I294" s="308" t="e">
        <v>#REF!</v>
      </c>
      <c r="J294" s="308" t="e">
        <v>#REF!</v>
      </c>
      <c r="K294" s="313" t="s">
        <v>226</v>
      </c>
      <c r="L294" s="308"/>
      <c r="M294" s="308"/>
      <c r="N294" s="308"/>
      <c r="O294" s="733">
        <v>1</v>
      </c>
      <c r="P294" s="731" t="s">
        <v>618</v>
      </c>
      <c r="Q294" s="308" t="str">
        <f>IF(R294="","включаем","не включаем")</f>
        <v>включаем</v>
      </c>
      <c r="R294" s="732"/>
      <c r="S294" s="308"/>
      <c r="T294" s="308" t="s">
        <v>566</v>
      </c>
      <c r="V294" s="731" t="s">
        <v>996</v>
      </c>
      <c r="W294" s="406">
        <v>46173</v>
      </c>
    </row>
    <row r="295" spans="1:38" customHeight="1" ht="56.25">
      <c r="A295" s="722" t="s">
        <v>1782</v>
      </c>
      <c r="B295" s="722" t="s">
        <v>1783</v>
      </c>
      <c r="D295" s="722" t="s">
        <v>1784</v>
      </c>
      <c r="E295" s="722" t="s">
        <v>1785</v>
      </c>
      <c r="F295" s="722" t="s">
        <v>373</v>
      </c>
      <c r="G295" s="722" t="s">
        <v>372</v>
      </c>
      <c r="H295" s="308" t="str">
        <f>IF(ISBLANK(B295),"-",IF(ISERROR(FIND("вич",B295,1)),"ж","м"))</f>
        <v>м</v>
      </c>
      <c r="I295" s="308" t="e">
        <v>#REF!</v>
      </c>
      <c r="J295" s="308" t="e">
        <v>#REF!</v>
      </c>
      <c r="K295" s="313" t="s">
        <v>226</v>
      </c>
      <c r="L295" s="308"/>
      <c r="M295" s="308"/>
      <c r="N295" s="308"/>
      <c r="O295" s="733">
        <v>1</v>
      </c>
      <c r="P295" s="731" t="s">
        <v>618</v>
      </c>
      <c r="Q295" s="308" t="str">
        <f>IF(R295="","включаем","не включаем")</f>
        <v>не включаем</v>
      </c>
      <c r="R295" s="732" t="s">
        <v>585</v>
      </c>
      <c r="S295" s="308"/>
      <c r="T295" s="308" t="s">
        <v>566</v>
      </c>
      <c r="V295" s="731" t="s">
        <v>996</v>
      </c>
      <c r="W295" s="406">
        <v>46173</v>
      </c>
    </row>
    <row r="296" spans="1:38" customHeight="1" ht="56.25">
      <c r="A296" s="722" t="s">
        <v>1786</v>
      </c>
      <c r="B296" s="722" t="s">
        <v>1787</v>
      </c>
      <c r="D296" s="722" t="s">
        <v>1393</v>
      </c>
      <c r="E296" s="722" t="s">
        <v>1788</v>
      </c>
      <c r="F296" s="722" t="s">
        <v>373</v>
      </c>
      <c r="G296" s="722" t="s">
        <v>372</v>
      </c>
      <c r="H296" s="308" t="str">
        <f>IF(ISBLANK(B296),"-",IF(ISERROR(FIND("вич",B296,1)),"ж","м"))</f>
        <v>м</v>
      </c>
      <c r="I296" s="308" t="e">
        <v>#REF!</v>
      </c>
      <c r="J296" s="308" t="e">
        <v>#REF!</v>
      </c>
      <c r="K296" s="313" t="s">
        <v>226</v>
      </c>
      <c r="L296" s="308"/>
      <c r="M296" s="308"/>
      <c r="N296" s="308"/>
      <c r="O296" s="733">
        <v>1</v>
      </c>
      <c r="P296" s="731" t="s">
        <v>618</v>
      </c>
      <c r="Q296" s="308" t="str">
        <f>IF(R296="","включаем","не включаем")</f>
        <v>включаем</v>
      </c>
      <c r="R296" s="732"/>
      <c r="S296" s="308"/>
      <c r="T296" s="308" t="s">
        <v>566</v>
      </c>
      <c r="V296" s="731" t="s">
        <v>996</v>
      </c>
      <c r="W296" s="406">
        <v>46173</v>
      </c>
    </row>
    <row r="297" spans="1:38" customHeight="1" ht="56.25">
      <c r="A297" s="722" t="s">
        <v>1789</v>
      </c>
      <c r="B297" s="722" t="s">
        <v>1790</v>
      </c>
      <c r="D297" s="722" t="s">
        <v>1791</v>
      </c>
      <c r="E297" s="722" t="s">
        <v>1792</v>
      </c>
      <c r="F297" s="722" t="s">
        <v>373</v>
      </c>
      <c r="G297" s="722" t="s">
        <v>372</v>
      </c>
      <c r="H297" s="308" t="str">
        <f>IF(ISBLANK(B297),"-",IF(ISERROR(FIND("вич",B297,1)),"ж","м"))</f>
        <v>м</v>
      </c>
      <c r="I297" s="308" t="e">
        <v>#REF!</v>
      </c>
      <c r="J297" s="308" t="e">
        <v>#REF!</v>
      </c>
      <c r="K297" s="313" t="s">
        <v>226</v>
      </c>
      <c r="L297" s="308"/>
      <c r="M297" s="308"/>
      <c r="N297" s="308"/>
      <c r="O297" s="733">
        <v>1</v>
      </c>
      <c r="P297" s="731" t="s">
        <v>618</v>
      </c>
      <c r="Q297" s="308" t="str">
        <f>IF(R297="","включаем","не включаем")</f>
        <v>включаем</v>
      </c>
      <c r="R297" s="732"/>
      <c r="S297" s="308"/>
      <c r="T297" s="308" t="s">
        <v>566</v>
      </c>
      <c r="V297" s="731" t="s">
        <v>996</v>
      </c>
      <c r="W297" s="406">
        <v>46173</v>
      </c>
    </row>
    <row r="298" spans="1:38" customHeight="1" ht="67.5">
      <c r="A298" s="722" t="s">
        <v>1793</v>
      </c>
      <c r="B298" s="722" t="s">
        <v>1794</v>
      </c>
      <c r="D298" s="722" t="s">
        <v>1795</v>
      </c>
      <c r="E298" s="723" t="s">
        <v>1796</v>
      </c>
      <c r="F298" s="722" t="s">
        <v>373</v>
      </c>
      <c r="G298" s="722" t="s">
        <v>371</v>
      </c>
      <c r="H298" s="308" t="str">
        <f>IF(ISBLANK(B298),"-",IF(ISERROR(FIND("вич",B298,1)),"ж","м"))</f>
        <v>м</v>
      </c>
      <c r="I298" s="308" t="e">
        <v>#REF!</v>
      </c>
      <c r="J298" s="308" t="e">
        <v>#REF!</v>
      </c>
      <c r="K298" s="313" t="s">
        <v>226</v>
      </c>
      <c r="L298" s="308"/>
      <c r="M298" s="308"/>
      <c r="N298" s="308"/>
      <c r="O298" s="733">
        <v>1</v>
      </c>
      <c r="P298" s="731" t="s">
        <v>618</v>
      </c>
      <c r="Q298" s="308" t="str">
        <f>IF(R298="","включаем","не включаем")</f>
        <v>включаем</v>
      </c>
      <c r="R298" s="732"/>
      <c r="S298" s="308"/>
      <c r="T298" s="308" t="s">
        <v>566</v>
      </c>
      <c r="V298" s="731" t="s">
        <v>996</v>
      </c>
      <c r="W298" s="406">
        <v>46173</v>
      </c>
    </row>
    <row r="299" spans="1:38" customHeight="1" ht="33.75">
      <c r="A299" s="722" t="s">
        <v>1797</v>
      </c>
      <c r="B299" s="722" t="s">
        <v>1798</v>
      </c>
      <c r="D299" s="722" t="s">
        <v>1799</v>
      </c>
      <c r="E299" s="722" t="s">
        <v>1800</v>
      </c>
      <c r="F299" s="722" t="s">
        <v>445</v>
      </c>
      <c r="G299" s="722" t="s">
        <v>384</v>
      </c>
      <c r="H299" s="308" t="str">
        <f>IF(ISBLANK(B299),"-",IF(ISERROR(FIND("вич",B299,1)),"ж","м"))</f>
        <v>м</v>
      </c>
      <c r="I299" s="308" t="e">
        <v>#REF!</v>
      </c>
      <c r="J299" s="308" t="e">
        <v>#REF!</v>
      </c>
      <c r="K299" s="313" t="s">
        <v>226</v>
      </c>
      <c r="L299" s="308"/>
      <c r="M299" s="308"/>
      <c r="N299" s="308"/>
      <c r="O299" s="733">
        <v>1</v>
      </c>
      <c r="P299" s="731" t="s">
        <v>618</v>
      </c>
      <c r="Q299" s="308" t="str">
        <f>IF(R299="","включаем","не включаем")</f>
        <v>включаем</v>
      </c>
      <c r="R299" s="732"/>
      <c r="S299" s="308"/>
      <c r="T299" s="308" t="s">
        <v>566</v>
      </c>
      <c r="V299" s="731" t="s">
        <v>996</v>
      </c>
      <c r="W299" s="406">
        <v>46173</v>
      </c>
    </row>
    <row r="300" spans="1:38" customHeight="1" ht="56.25">
      <c r="A300" s="722" t="s">
        <v>1801</v>
      </c>
      <c r="B300" s="722" t="s">
        <v>1802</v>
      </c>
      <c r="D300" s="722" t="s">
        <v>1803</v>
      </c>
      <c r="E300" s="722" t="s">
        <v>1804</v>
      </c>
      <c r="F300" s="722" t="s">
        <v>445</v>
      </c>
      <c r="G300" s="722" t="s">
        <v>372</v>
      </c>
      <c r="H300" s="308" t="str">
        <f>IF(ISBLANK(B300),"-",IF(ISERROR(FIND("вич",B300,1)),"ж","м"))</f>
        <v>ж</v>
      </c>
      <c r="I300" s="308" t="e">
        <v>#REF!</v>
      </c>
      <c r="J300" s="308" t="e">
        <v>#REF!</v>
      </c>
      <c r="K300" s="313" t="s">
        <v>226</v>
      </c>
      <c r="L300" s="308"/>
      <c r="M300" s="308"/>
      <c r="N300" s="308"/>
      <c r="O300" s="733">
        <v>1</v>
      </c>
      <c r="P300" s="731" t="s">
        <v>618</v>
      </c>
      <c r="Q300" s="308" t="str">
        <f>IF(R300="","включаем","не включаем")</f>
        <v>включаем</v>
      </c>
      <c r="R300" s="732"/>
      <c r="S300" s="308"/>
      <c r="T300" s="308" t="s">
        <v>566</v>
      </c>
      <c r="V300" s="731" t="s">
        <v>996</v>
      </c>
      <c r="W300" s="406">
        <v>46173</v>
      </c>
    </row>
    <row r="301" spans="1:38" customHeight="1" ht="56.25">
      <c r="A301" s="722" t="s">
        <v>1805</v>
      </c>
      <c r="B301" s="722" t="s">
        <v>1806</v>
      </c>
      <c r="D301" s="722" t="s">
        <v>1807</v>
      </c>
      <c r="E301" s="722" t="s">
        <v>1808</v>
      </c>
      <c r="F301" s="722" t="s">
        <v>445</v>
      </c>
      <c r="G301" s="722" t="s">
        <v>372</v>
      </c>
      <c r="H301" s="308" t="str">
        <f>IF(ISBLANK(B301),"-",IF(ISERROR(FIND("вич",B301,1)),"ж","м"))</f>
        <v>ж</v>
      </c>
      <c r="I301" s="308" t="e">
        <v>#REF!</v>
      </c>
      <c r="J301" s="308" t="e">
        <v>#REF!</v>
      </c>
      <c r="K301" s="313" t="s">
        <v>226</v>
      </c>
      <c r="L301" s="308"/>
      <c r="M301" s="308"/>
      <c r="N301" s="308"/>
      <c r="O301" s="733">
        <v>1</v>
      </c>
      <c r="P301" s="731" t="s">
        <v>618</v>
      </c>
      <c r="Q301" s="308" t="str">
        <f>IF(R301="","включаем","не включаем")</f>
        <v>включаем</v>
      </c>
      <c r="R301" s="732"/>
      <c r="S301" s="308"/>
      <c r="T301" s="308" t="s">
        <v>566</v>
      </c>
      <c r="V301" s="731" t="s">
        <v>996</v>
      </c>
      <c r="W301" s="406">
        <v>46173</v>
      </c>
    </row>
    <row r="302" spans="1:38" customHeight="1" ht="22.5">
      <c r="A302" s="722" t="s">
        <v>1809</v>
      </c>
      <c r="B302" s="722" t="s">
        <v>1810</v>
      </c>
      <c r="D302" s="722" t="s">
        <v>1393</v>
      </c>
      <c r="E302" s="722" t="s">
        <v>1811</v>
      </c>
      <c r="F302" s="722" t="s">
        <v>1812</v>
      </c>
      <c r="G302" s="722" t="s">
        <v>384</v>
      </c>
      <c r="H302" s="308" t="str">
        <f>IF(ISBLANK(B302),"-",IF(ISERROR(FIND("вич",B302,1)),"ж","м"))</f>
        <v>м</v>
      </c>
      <c r="I302" s="308" t="e">
        <v>#REF!</v>
      </c>
      <c r="J302" s="308" t="e">
        <v>#REF!</v>
      </c>
      <c r="K302" s="313" t="s">
        <v>226</v>
      </c>
      <c r="L302" s="308"/>
      <c r="M302" s="308"/>
      <c r="N302" s="308"/>
      <c r="O302" s="733">
        <v>1</v>
      </c>
      <c r="P302" s="731" t="s">
        <v>618</v>
      </c>
      <c r="Q302" s="308" t="str">
        <f>IF(R302="","включаем","не включаем")</f>
        <v>включаем</v>
      </c>
      <c r="R302" s="732"/>
      <c r="S302" s="308"/>
      <c r="T302" s="308" t="s">
        <v>566</v>
      </c>
      <c r="V302" s="731" t="s">
        <v>996</v>
      </c>
      <c r="W302" s="406">
        <v>46173</v>
      </c>
    </row>
    <row r="303" spans="1:38" customHeight="1" ht="22.5">
      <c r="A303" s="722" t="s">
        <v>1813</v>
      </c>
      <c r="B303" s="722" t="s">
        <v>1814</v>
      </c>
      <c r="D303" s="722" t="s">
        <v>1815</v>
      </c>
      <c r="E303" s="722" t="s">
        <v>1816</v>
      </c>
      <c r="F303" s="722" t="s">
        <v>1812</v>
      </c>
      <c r="G303" s="722" t="s">
        <v>235</v>
      </c>
      <c r="H303" s="308" t="str">
        <f>IF(ISBLANK(B303),"-",IF(ISERROR(FIND("вич",B303,1)),"ж","м"))</f>
        <v>ж</v>
      </c>
      <c r="I303" s="308" t="e">
        <v>#REF!</v>
      </c>
      <c r="J303" s="308" t="e">
        <v>#REF!</v>
      </c>
      <c r="K303" s="313" t="s">
        <v>226</v>
      </c>
      <c r="L303" s="308"/>
      <c r="M303" s="308"/>
      <c r="N303" s="308"/>
      <c r="O303" s="733">
        <v>1</v>
      </c>
      <c r="P303" s="731" t="s">
        <v>618</v>
      </c>
      <c r="Q303" s="308" t="str">
        <f>IF(R303="","включаем","не включаем")</f>
        <v>включаем</v>
      </c>
      <c r="R303" s="732"/>
      <c r="S303" s="308"/>
      <c r="T303" s="308" t="s">
        <v>566</v>
      </c>
      <c r="V303" s="731" t="s">
        <v>996</v>
      </c>
      <c r="W303" s="406">
        <v>46173</v>
      </c>
    </row>
    <row r="304" spans="1:38" customHeight="1" ht="22.5">
      <c r="A304" s="722" t="s">
        <v>1817</v>
      </c>
      <c r="B304" s="722" t="s">
        <v>1818</v>
      </c>
      <c r="D304" s="722" t="s">
        <v>1819</v>
      </c>
      <c r="E304" s="723" t="s">
        <v>1820</v>
      </c>
      <c r="F304" s="722" t="s">
        <v>1812</v>
      </c>
      <c r="G304" s="722" t="s">
        <v>235</v>
      </c>
      <c r="H304" s="308" t="str">
        <f>IF(ISBLANK(B304),"-",IF(ISERROR(FIND("вич",B304,1)),"ж","м"))</f>
        <v>м</v>
      </c>
      <c r="I304" s="308" t="e">
        <v>#REF!</v>
      </c>
      <c r="J304" s="308" t="e">
        <v>#REF!</v>
      </c>
      <c r="K304" s="313" t="s">
        <v>226</v>
      </c>
      <c r="L304" s="308"/>
      <c r="M304" s="308"/>
      <c r="N304" s="308"/>
      <c r="O304" s="733">
        <v>1</v>
      </c>
      <c r="P304" s="731" t="s">
        <v>618</v>
      </c>
      <c r="Q304" s="308" t="str">
        <f>IF(R304="","включаем","не включаем")</f>
        <v>включаем</v>
      </c>
      <c r="R304" s="732"/>
      <c r="S304" s="308"/>
      <c r="T304" s="308" t="s">
        <v>566</v>
      </c>
      <c r="V304" s="731" t="s">
        <v>996</v>
      </c>
      <c r="W304" s="406">
        <v>46173</v>
      </c>
    </row>
    <row r="305" spans="1:38" customHeight="1" ht="22.5">
      <c r="A305" s="722" t="s">
        <v>1821</v>
      </c>
      <c r="B305" s="722" t="s">
        <v>1822</v>
      </c>
      <c r="D305" s="722" t="s">
        <v>1823</v>
      </c>
      <c r="E305" s="722" t="s">
        <v>1824</v>
      </c>
      <c r="F305" s="722" t="s">
        <v>1812</v>
      </c>
      <c r="G305" s="722" t="s">
        <v>235</v>
      </c>
      <c r="H305" s="308" t="str">
        <f>IF(ISBLANK(B305),"-",IF(ISERROR(FIND("вич",B305,1)),"ж","м"))</f>
        <v>м</v>
      </c>
      <c r="I305" s="308" t="e">
        <v>#REF!</v>
      </c>
      <c r="J305" s="308" t="e">
        <v>#REF!</v>
      </c>
      <c r="K305" s="313" t="s">
        <v>226</v>
      </c>
      <c r="L305" s="308"/>
      <c r="M305" s="308"/>
      <c r="N305" s="308"/>
      <c r="O305" s="733">
        <v>1</v>
      </c>
      <c r="P305" s="731" t="s">
        <v>618</v>
      </c>
      <c r="Q305" s="308" t="str">
        <f>IF(R305="","включаем","не включаем")</f>
        <v>включаем</v>
      </c>
      <c r="R305" s="732"/>
      <c r="S305" s="308"/>
      <c r="T305" s="308" t="s">
        <v>566</v>
      </c>
      <c r="V305" s="731" t="s">
        <v>996</v>
      </c>
      <c r="W305" s="406">
        <v>46173</v>
      </c>
    </row>
    <row r="306" spans="1:38" customHeight="1" ht="22.5">
      <c r="A306" s="722" t="s">
        <v>1825</v>
      </c>
      <c r="B306" s="722" t="s">
        <v>1826</v>
      </c>
      <c r="D306" s="722" t="s">
        <v>1827</v>
      </c>
      <c r="E306" s="723" t="s">
        <v>1828</v>
      </c>
      <c r="F306" s="722" t="s">
        <v>1812</v>
      </c>
      <c r="G306" s="722" t="s">
        <v>235</v>
      </c>
      <c r="H306" s="308" t="str">
        <f>IF(ISBLANK(B306),"-",IF(ISERROR(FIND("вич",B306,1)),"ж","м"))</f>
        <v>ж</v>
      </c>
      <c r="I306" s="308" t="e">
        <v>#REF!</v>
      </c>
      <c r="J306" s="308" t="e">
        <v>#REF!</v>
      </c>
      <c r="K306" s="313" t="s">
        <v>226</v>
      </c>
      <c r="L306" s="308"/>
      <c r="M306" s="308"/>
      <c r="N306" s="308"/>
      <c r="O306" s="733">
        <v>1</v>
      </c>
      <c r="P306" s="731" t="s">
        <v>618</v>
      </c>
      <c r="Q306" s="308" t="str">
        <f>IF(R306="","включаем","не включаем")</f>
        <v>включаем</v>
      </c>
      <c r="R306" s="732"/>
      <c r="S306" s="308"/>
      <c r="T306" s="308" t="s">
        <v>566</v>
      </c>
      <c r="V306" s="731" t="s">
        <v>996</v>
      </c>
      <c r="W306" s="406">
        <v>46173</v>
      </c>
    </row>
    <row r="307" spans="1:38" customHeight="1" ht="22.5">
      <c r="A307" s="722" t="s">
        <v>1829</v>
      </c>
      <c r="B307" s="722" t="s">
        <v>1830</v>
      </c>
      <c r="D307" s="722" t="s">
        <v>1687</v>
      </c>
      <c r="E307" s="722" t="s">
        <v>1831</v>
      </c>
      <c r="F307" s="722" t="s">
        <v>1812</v>
      </c>
      <c r="G307" s="722" t="s">
        <v>235</v>
      </c>
      <c r="H307" s="308" t="str">
        <f>IF(ISBLANK(B307),"-",IF(ISERROR(FIND("вич",B307,1)),"ж","м"))</f>
        <v>ж</v>
      </c>
      <c r="I307" s="308" t="e">
        <v>#REF!</v>
      </c>
      <c r="J307" s="308" t="e">
        <v>#REF!</v>
      </c>
      <c r="K307" s="313" t="s">
        <v>226</v>
      </c>
      <c r="L307" s="308"/>
      <c r="M307" s="308"/>
      <c r="N307" s="308"/>
      <c r="O307" s="733">
        <v>1</v>
      </c>
      <c r="P307" s="731" t="s">
        <v>618</v>
      </c>
      <c r="Q307" s="308" t="str">
        <f>IF(R307="","включаем","не включаем")</f>
        <v>включаем</v>
      </c>
      <c r="R307" s="732"/>
      <c r="S307" s="308"/>
      <c r="T307" s="308" t="s">
        <v>566</v>
      </c>
      <c r="V307" s="731" t="s">
        <v>996</v>
      </c>
      <c r="W307" s="406">
        <v>46173</v>
      </c>
    </row>
    <row r="308" spans="1:38" customHeight="1" ht="22.5">
      <c r="A308" s="722" t="s">
        <v>1832</v>
      </c>
      <c r="B308" s="722" t="s">
        <v>1833</v>
      </c>
      <c r="D308" s="722" t="s">
        <v>1834</v>
      </c>
      <c r="E308" s="722" t="s">
        <v>1835</v>
      </c>
      <c r="F308" s="722" t="s">
        <v>1812</v>
      </c>
      <c r="G308" s="722" t="s">
        <v>235</v>
      </c>
      <c r="H308" s="308" t="str">
        <f>IF(ISBLANK(B308),"-",IF(ISERROR(FIND("вич",B308,1)),"ж","м"))</f>
        <v>ж</v>
      </c>
      <c r="I308" s="308" t="e">
        <v>#REF!</v>
      </c>
      <c r="J308" s="308" t="e">
        <v>#REF!</v>
      </c>
      <c r="K308" s="313" t="s">
        <v>226</v>
      </c>
      <c r="L308" s="308"/>
      <c r="M308" s="308"/>
      <c r="N308" s="308"/>
      <c r="O308" s="733">
        <v>1</v>
      </c>
      <c r="P308" s="731" t="s">
        <v>618</v>
      </c>
      <c r="Q308" s="308" t="str">
        <f>IF(R308="","включаем","не включаем")</f>
        <v>включаем</v>
      </c>
      <c r="R308" s="732"/>
      <c r="S308" s="308"/>
      <c r="T308" s="308" t="s">
        <v>566</v>
      </c>
      <c r="V308" s="731" t="s">
        <v>996</v>
      </c>
      <c r="W308" s="406">
        <v>46173</v>
      </c>
    </row>
    <row r="309" spans="1:38" customHeight="1" ht="22.5">
      <c r="A309" s="722" t="s">
        <v>1836</v>
      </c>
      <c r="B309" s="722" t="s">
        <v>1837</v>
      </c>
      <c r="D309" s="722" t="s">
        <v>1838</v>
      </c>
      <c r="E309" s="722" t="s">
        <v>1839</v>
      </c>
      <c r="F309" s="722" t="s">
        <v>1812</v>
      </c>
      <c r="G309" s="722" t="s">
        <v>235</v>
      </c>
      <c r="H309" s="308" t="str">
        <f>IF(ISBLANK(B309),"-",IF(ISERROR(FIND("вич",B309,1)),"ж","м"))</f>
        <v>ж</v>
      </c>
      <c r="I309" s="308" t="e">
        <v>#REF!</v>
      </c>
      <c r="J309" s="308" t="e">
        <v>#REF!</v>
      </c>
      <c r="K309" s="313" t="s">
        <v>226</v>
      </c>
      <c r="L309" s="308"/>
      <c r="M309" s="308"/>
      <c r="N309" s="308"/>
      <c r="O309" s="733">
        <v>1</v>
      </c>
      <c r="P309" s="731" t="s">
        <v>618</v>
      </c>
      <c r="Q309" s="308" t="str">
        <f>IF(R309="","включаем","не включаем")</f>
        <v>включаем</v>
      </c>
      <c r="R309" s="732"/>
      <c r="S309" s="308"/>
      <c r="T309" s="308" t="s">
        <v>566</v>
      </c>
      <c r="V309" s="731" t="s">
        <v>996</v>
      </c>
      <c r="W309" s="406">
        <v>46173</v>
      </c>
    </row>
    <row r="310" spans="1:38" customHeight="1" ht="33.75">
      <c r="A310" s="722" t="s">
        <v>1840</v>
      </c>
      <c r="B310" s="722" t="s">
        <v>1841</v>
      </c>
      <c r="D310" s="722" t="s">
        <v>633</v>
      </c>
      <c r="E310" s="722" t="s">
        <v>1513</v>
      </c>
      <c r="F310" s="722" t="s">
        <v>1812</v>
      </c>
      <c r="G310" s="722" t="s">
        <v>1842</v>
      </c>
      <c r="H310" s="308" t="str">
        <f>IF(ISBLANK(B310),"-",IF(ISERROR(FIND("вич",B310,1)),"ж","м"))</f>
        <v>ж</v>
      </c>
      <c r="I310" s="308" t="e">
        <v>#REF!</v>
      </c>
      <c r="J310" s="308" t="e">
        <v>#REF!</v>
      </c>
      <c r="K310" s="313" t="s">
        <v>226</v>
      </c>
      <c r="L310" s="308"/>
      <c r="M310" s="308"/>
      <c r="N310" s="308"/>
      <c r="O310" s="733">
        <v>1</v>
      </c>
      <c r="P310" s="731" t="s">
        <v>618</v>
      </c>
      <c r="Q310" s="308" t="str">
        <f>IF(R310="","включаем","не включаем")</f>
        <v>включаем</v>
      </c>
      <c r="R310" s="732"/>
      <c r="S310" s="308"/>
      <c r="T310" s="308" t="s">
        <v>566</v>
      </c>
      <c r="V310" s="731" t="s">
        <v>996</v>
      </c>
      <c r="W310" s="406">
        <v>46173</v>
      </c>
    </row>
    <row r="311" spans="1:38" customHeight="1" ht="33.75">
      <c r="A311" s="722" t="s">
        <v>1843</v>
      </c>
      <c r="B311" s="722" t="s">
        <v>1844</v>
      </c>
      <c r="D311" s="722" t="s">
        <v>1845</v>
      </c>
      <c r="E311" s="722" t="s">
        <v>1846</v>
      </c>
      <c r="F311" s="722" t="s">
        <v>1812</v>
      </c>
      <c r="G311" s="722" t="s">
        <v>1842</v>
      </c>
      <c r="H311" s="308" t="str">
        <f>IF(ISBLANK(B311),"-",IF(ISERROR(FIND("вич",B311,1)),"ж","м"))</f>
        <v>ж</v>
      </c>
      <c r="I311" s="308" t="e">
        <v>#REF!</v>
      </c>
      <c r="J311" s="308" t="e">
        <v>#REF!</v>
      </c>
      <c r="K311" s="313" t="s">
        <v>226</v>
      </c>
      <c r="L311" s="308"/>
      <c r="M311" s="308"/>
      <c r="N311" s="308"/>
      <c r="O311" s="733">
        <v>1</v>
      </c>
      <c r="P311" s="731" t="s">
        <v>618</v>
      </c>
      <c r="Q311" s="308" t="str">
        <f>IF(R311="","включаем","не включаем")</f>
        <v>включаем</v>
      </c>
      <c r="R311" s="732"/>
      <c r="S311" s="308"/>
      <c r="T311" s="308" t="s">
        <v>566</v>
      </c>
      <c r="V311" s="731" t="s">
        <v>996</v>
      </c>
      <c r="W311" s="406">
        <v>46173</v>
      </c>
    </row>
    <row r="312" spans="1:38" customHeight="1" ht="33.75">
      <c r="A312" s="722" t="s">
        <v>1847</v>
      </c>
      <c r="B312" s="722" t="s">
        <v>1848</v>
      </c>
      <c r="D312" s="722" t="s">
        <v>1393</v>
      </c>
      <c r="E312" s="722" t="s">
        <v>1849</v>
      </c>
      <c r="F312" s="722" t="s">
        <v>1812</v>
      </c>
      <c r="G312" s="722" t="s">
        <v>1842</v>
      </c>
      <c r="H312" s="308" t="str">
        <f>IF(ISBLANK(B312),"-",IF(ISERROR(FIND("вич",B312,1)),"ж","м"))</f>
        <v>ж</v>
      </c>
      <c r="I312" s="308" t="e">
        <v>#REF!</v>
      </c>
      <c r="J312" s="308" t="e">
        <v>#REF!</v>
      </c>
      <c r="K312" s="313" t="s">
        <v>226</v>
      </c>
      <c r="L312" s="308"/>
      <c r="M312" s="308"/>
      <c r="N312" s="308"/>
      <c r="O312" s="733">
        <v>1</v>
      </c>
      <c r="P312" s="731" t="s">
        <v>618</v>
      </c>
      <c r="Q312" s="308" t="str">
        <f>IF(R312="","включаем","не включаем")</f>
        <v>включаем</v>
      </c>
      <c r="R312" s="732"/>
      <c r="S312" s="308"/>
      <c r="T312" s="308" t="s">
        <v>566</v>
      </c>
      <c r="V312" s="731" t="s">
        <v>996</v>
      </c>
      <c r="W312" s="406">
        <v>46173</v>
      </c>
    </row>
    <row r="313" spans="1:38" customHeight="1" ht="33.75">
      <c r="A313" s="722" t="s">
        <v>1850</v>
      </c>
      <c r="B313" s="722" t="s">
        <v>1851</v>
      </c>
      <c r="D313" s="722" t="s">
        <v>1852</v>
      </c>
      <c r="E313" s="722" t="s">
        <v>1853</v>
      </c>
      <c r="F313" s="722" t="s">
        <v>1812</v>
      </c>
      <c r="G313" s="722" t="s">
        <v>379</v>
      </c>
      <c r="H313" s="308" t="str">
        <f>IF(ISBLANK(B313),"-",IF(ISERROR(FIND("вич",B313,1)),"ж","м"))</f>
        <v>ж</v>
      </c>
      <c r="I313" s="308" t="e">
        <v>#REF!</v>
      </c>
      <c r="J313" s="308" t="e">
        <v>#REF!</v>
      </c>
      <c r="K313" s="313" t="s">
        <v>226</v>
      </c>
      <c r="L313" s="308"/>
      <c r="M313" s="308"/>
      <c r="N313" s="308"/>
      <c r="O313" s="733">
        <v>1</v>
      </c>
      <c r="P313" s="731" t="s">
        <v>618</v>
      </c>
      <c r="Q313" s="308" t="str">
        <f>IF(R313="","включаем","не включаем")</f>
        <v>включаем</v>
      </c>
      <c r="R313" s="732"/>
      <c r="S313" s="308"/>
      <c r="T313" s="308" t="s">
        <v>566</v>
      </c>
      <c r="V313" s="731" t="s">
        <v>996</v>
      </c>
      <c r="W313" s="406">
        <v>46173</v>
      </c>
    </row>
    <row r="314" spans="1:38" customHeight="1" ht="67.5">
      <c r="A314" s="722" t="s">
        <v>1854</v>
      </c>
      <c r="B314" s="722" t="s">
        <v>1855</v>
      </c>
      <c r="D314" s="722" t="s">
        <v>1856</v>
      </c>
      <c r="E314" s="722" t="s">
        <v>1857</v>
      </c>
      <c r="F314" s="722" t="s">
        <v>1812</v>
      </c>
      <c r="G314" s="722" t="s">
        <v>371</v>
      </c>
      <c r="H314" s="308" t="str">
        <f>IF(ISBLANK(B314),"-",IF(ISERROR(FIND("вич",B314,1)),"ж","м"))</f>
        <v>м</v>
      </c>
      <c r="I314" s="308" t="e">
        <v>#REF!</v>
      </c>
      <c r="J314" s="308" t="e">
        <v>#REF!</v>
      </c>
      <c r="K314" s="313" t="s">
        <v>226</v>
      </c>
      <c r="L314" s="308"/>
      <c r="M314" s="308"/>
      <c r="N314" s="308"/>
      <c r="O314" s="733">
        <v>1</v>
      </c>
      <c r="P314" s="731" t="s">
        <v>618</v>
      </c>
      <c r="Q314" s="308" t="str">
        <f>IF(R314="","включаем","не включаем")</f>
        <v>включаем</v>
      </c>
      <c r="R314" s="732"/>
      <c r="S314" s="308"/>
      <c r="T314" s="308" t="s">
        <v>566</v>
      </c>
      <c r="V314" s="731" t="s">
        <v>996</v>
      </c>
      <c r="W314" s="406">
        <v>46173</v>
      </c>
    </row>
    <row r="315" spans="1:38" customHeight="1" ht="67.5">
      <c r="A315" s="722" t="s">
        <v>1858</v>
      </c>
      <c r="B315" s="722" t="s">
        <v>1859</v>
      </c>
      <c r="D315" s="722" t="s">
        <v>1860</v>
      </c>
      <c r="E315" s="722" t="s">
        <v>1861</v>
      </c>
      <c r="F315" s="722" t="s">
        <v>1812</v>
      </c>
      <c r="G315" s="722" t="s">
        <v>371</v>
      </c>
      <c r="H315" s="308" t="str">
        <f>IF(ISBLANK(B315),"-",IF(ISERROR(FIND("вич",B315,1)),"ж","м"))</f>
        <v>м</v>
      </c>
      <c r="I315" s="308" t="e">
        <v>#REF!</v>
      </c>
      <c r="J315" s="308" t="e">
        <v>#REF!</v>
      </c>
      <c r="K315" s="313" t="s">
        <v>226</v>
      </c>
      <c r="L315" s="308"/>
      <c r="M315" s="308"/>
      <c r="N315" s="308"/>
      <c r="O315" s="733">
        <v>1</v>
      </c>
      <c r="P315" s="731" t="s">
        <v>618</v>
      </c>
      <c r="Q315" s="308" t="str">
        <f>IF(R315="","включаем","не включаем")</f>
        <v>включаем</v>
      </c>
      <c r="R315" s="732"/>
      <c r="S315" s="308"/>
      <c r="T315" s="308" t="s">
        <v>566</v>
      </c>
      <c r="V315" s="731" t="s">
        <v>996</v>
      </c>
      <c r="W315" s="406">
        <v>46173</v>
      </c>
    </row>
    <row r="316" spans="1:38" customHeight="1" ht="67.5">
      <c r="A316" s="722" t="s">
        <v>1862</v>
      </c>
      <c r="B316" s="722" t="s">
        <v>1863</v>
      </c>
      <c r="D316" s="722" t="s">
        <v>1864</v>
      </c>
      <c r="E316" s="722" t="s">
        <v>1865</v>
      </c>
      <c r="F316" s="722" t="s">
        <v>1812</v>
      </c>
      <c r="G316" s="722" t="s">
        <v>371</v>
      </c>
      <c r="H316" s="308" t="str">
        <f>IF(ISBLANK(B316),"-",IF(ISERROR(FIND("вич",B316,1)),"ж","м"))</f>
        <v>м</v>
      </c>
      <c r="I316" s="308" t="e">
        <v>#REF!</v>
      </c>
      <c r="J316" s="308" t="e">
        <v>#REF!</v>
      </c>
      <c r="K316" s="313" t="s">
        <v>226</v>
      </c>
      <c r="L316" s="308"/>
      <c r="M316" s="308"/>
      <c r="N316" s="308"/>
      <c r="O316" s="733">
        <v>1</v>
      </c>
      <c r="P316" s="731" t="s">
        <v>618</v>
      </c>
      <c r="Q316" s="308" t="str">
        <f>IF(R316="","включаем","не включаем")</f>
        <v>включаем</v>
      </c>
      <c r="R316" s="732"/>
      <c r="S316" s="308"/>
      <c r="T316" s="308" t="s">
        <v>566</v>
      </c>
      <c r="V316" s="731" t="s">
        <v>996</v>
      </c>
      <c r="W316" s="406">
        <v>46173</v>
      </c>
    </row>
    <row r="317" spans="1:38" customHeight="1" ht="45">
      <c r="A317" s="722" t="s">
        <v>1866</v>
      </c>
      <c r="B317" s="722" t="s">
        <v>1867</v>
      </c>
      <c r="D317" s="722" t="s">
        <v>1868</v>
      </c>
      <c r="E317" s="722" t="s">
        <v>1869</v>
      </c>
      <c r="F317" s="722" t="s">
        <v>1812</v>
      </c>
      <c r="G317" s="722" t="s">
        <v>1870</v>
      </c>
      <c r="H317" s="308" t="str">
        <f>IF(ISBLANK(B317),"-",IF(ISERROR(FIND("вич",B317,1)),"ж","м"))</f>
        <v>м</v>
      </c>
      <c r="I317" s="308" t="e">
        <v>#REF!</v>
      </c>
      <c r="J317" s="308" t="e">
        <v>#REF!</v>
      </c>
      <c r="K317" s="313" t="s">
        <v>226</v>
      </c>
      <c r="L317" s="308"/>
      <c r="M317" s="308"/>
      <c r="N317" s="308"/>
      <c r="O317" s="733">
        <v>1</v>
      </c>
      <c r="P317" s="731" t="s">
        <v>618</v>
      </c>
      <c r="Q317" s="308" t="str">
        <f>IF(R317="","включаем","не включаем")</f>
        <v>включаем</v>
      </c>
      <c r="R317" s="732"/>
      <c r="S317" s="308"/>
      <c r="T317" s="308" t="s">
        <v>566</v>
      </c>
      <c r="V317" s="731" t="s">
        <v>996</v>
      </c>
      <c r="W317" s="406">
        <v>46173</v>
      </c>
    </row>
    <row r="318" spans="1:38" customHeight="1" ht="45">
      <c r="A318" s="722" t="s">
        <v>1871</v>
      </c>
      <c r="B318" s="722" t="s">
        <v>1872</v>
      </c>
      <c r="D318" s="722" t="s">
        <v>1873</v>
      </c>
      <c r="E318" s="722" t="s">
        <v>1874</v>
      </c>
      <c r="F318" s="722" t="s">
        <v>1812</v>
      </c>
      <c r="G318" s="722" t="s">
        <v>1870</v>
      </c>
      <c r="H318" s="308" t="str">
        <f>IF(ISBLANK(B318),"-",IF(ISERROR(FIND("вич",B318,1)),"ж","м"))</f>
        <v>м</v>
      </c>
      <c r="I318" s="308" t="e">
        <v>#REF!</v>
      </c>
      <c r="J318" s="308" t="e">
        <v>#REF!</v>
      </c>
      <c r="K318" s="313" t="s">
        <v>226</v>
      </c>
      <c r="L318" s="308"/>
      <c r="M318" s="308"/>
      <c r="N318" s="308"/>
      <c r="O318" s="733">
        <v>1</v>
      </c>
      <c r="P318" s="731" t="s">
        <v>618</v>
      </c>
      <c r="Q318" s="308" t="str">
        <f>IF(R318="","включаем","не включаем")</f>
        <v>включаем</v>
      </c>
      <c r="R318" s="732"/>
      <c r="S318" s="308"/>
      <c r="T318" s="308" t="s">
        <v>566</v>
      </c>
      <c r="V318" s="731" t="s">
        <v>996</v>
      </c>
      <c r="W318" s="406">
        <v>46173</v>
      </c>
    </row>
    <row r="319" spans="1:38" customHeight="1" ht="45">
      <c r="A319" s="722" t="s">
        <v>1875</v>
      </c>
      <c r="B319" s="722" t="s">
        <v>1876</v>
      </c>
      <c r="D319" s="722" t="s">
        <v>1877</v>
      </c>
      <c r="E319" s="722" t="s">
        <v>1878</v>
      </c>
      <c r="F319" s="722" t="s">
        <v>1812</v>
      </c>
      <c r="G319" s="722" t="s">
        <v>1870</v>
      </c>
      <c r="H319" s="308" t="str">
        <f>IF(ISBLANK(B319),"-",IF(ISERROR(FIND("вич",B319,1)),"ж","м"))</f>
        <v>м</v>
      </c>
      <c r="I319" s="308" t="e">
        <v>#REF!</v>
      </c>
      <c r="J319" s="308" t="e">
        <v>#REF!</v>
      </c>
      <c r="K319" s="313" t="s">
        <v>226</v>
      </c>
      <c r="L319" s="308"/>
      <c r="M319" s="308"/>
      <c r="N319" s="308"/>
      <c r="O319" s="733">
        <v>1</v>
      </c>
      <c r="P319" s="731" t="s">
        <v>618</v>
      </c>
      <c r="Q319" s="308" t="str">
        <f>IF(R319="","включаем","не включаем")</f>
        <v>включаем</v>
      </c>
      <c r="R319" s="732"/>
      <c r="S319" s="308"/>
      <c r="T319" s="308" t="s">
        <v>566</v>
      </c>
      <c r="V319" s="731" t="s">
        <v>996</v>
      </c>
      <c r="W319" s="406">
        <v>46173</v>
      </c>
    </row>
    <row r="320" spans="1:38" customHeight="1" ht="45">
      <c r="A320" s="722" t="s">
        <v>1879</v>
      </c>
      <c r="B320" s="722" t="s">
        <v>1880</v>
      </c>
      <c r="D320" s="722" t="s">
        <v>1881</v>
      </c>
      <c r="E320" s="722" t="s">
        <v>1882</v>
      </c>
      <c r="F320" s="722" t="s">
        <v>1812</v>
      </c>
      <c r="G320" s="722" t="s">
        <v>1870</v>
      </c>
      <c r="H320" s="308" t="str">
        <f>IF(ISBLANK(B320),"-",IF(ISERROR(FIND("вич",B320,1)),"ж","м"))</f>
        <v>м</v>
      </c>
      <c r="I320" s="308" t="e">
        <v>#REF!</v>
      </c>
      <c r="J320" s="308" t="e">
        <v>#REF!</v>
      </c>
      <c r="K320" s="313" t="s">
        <v>226</v>
      </c>
      <c r="L320" s="308"/>
      <c r="M320" s="308"/>
      <c r="N320" s="308"/>
      <c r="O320" s="733">
        <v>1</v>
      </c>
      <c r="P320" s="731" t="s">
        <v>618</v>
      </c>
      <c r="Q320" s="308" t="str">
        <f>IF(R320="","включаем","не включаем")</f>
        <v>включаем</v>
      </c>
      <c r="R320" s="732"/>
      <c r="S320" s="308"/>
      <c r="T320" s="308" t="s">
        <v>566</v>
      </c>
      <c r="V320" s="731" t="s">
        <v>996</v>
      </c>
      <c r="W320" s="406">
        <v>46173</v>
      </c>
    </row>
    <row r="321" spans="1:38" customHeight="1" ht="45">
      <c r="A321" s="722" t="s">
        <v>1883</v>
      </c>
      <c r="B321" s="722" t="s">
        <v>1884</v>
      </c>
      <c r="D321" s="722" t="s">
        <v>1885</v>
      </c>
      <c r="E321" s="722" t="s">
        <v>1886</v>
      </c>
      <c r="F321" s="722" t="s">
        <v>1812</v>
      </c>
      <c r="G321" s="722" t="s">
        <v>1870</v>
      </c>
      <c r="H321" s="308" t="str">
        <f>IF(ISBLANK(B321),"-",IF(ISERROR(FIND("вич",B321,1)),"ж","м"))</f>
        <v>м</v>
      </c>
      <c r="I321" s="308" t="e">
        <v>#REF!</v>
      </c>
      <c r="J321" s="308" t="e">
        <v>#REF!</v>
      </c>
      <c r="K321" s="313" t="s">
        <v>226</v>
      </c>
      <c r="L321" s="308"/>
      <c r="M321" s="308"/>
      <c r="N321" s="308"/>
      <c r="O321" s="733">
        <v>1</v>
      </c>
      <c r="P321" s="731" t="s">
        <v>618</v>
      </c>
      <c r="Q321" s="308" t="str">
        <f>IF(R321="","включаем","не включаем")</f>
        <v>включаем</v>
      </c>
      <c r="R321" s="732"/>
      <c r="S321" s="308"/>
      <c r="T321" s="308" t="s">
        <v>566</v>
      </c>
      <c r="V321" s="731" t="s">
        <v>996</v>
      </c>
      <c r="W321" s="406">
        <v>46173</v>
      </c>
    </row>
    <row r="322" spans="1:38" customHeight="1" ht="22.5">
      <c r="A322" s="722" t="s">
        <v>1887</v>
      </c>
      <c r="B322" s="722" t="s">
        <v>1888</v>
      </c>
      <c r="D322" s="722" t="s">
        <v>1889</v>
      </c>
      <c r="E322" s="722" t="s">
        <v>1890</v>
      </c>
      <c r="F322" s="722" t="s">
        <v>228</v>
      </c>
      <c r="G322" s="722" t="s">
        <v>230</v>
      </c>
      <c r="H322" s="308" t="str">
        <f>IF(ISBLANK(B322),"-",IF(ISERROR(FIND("вич",B322,1)),"ж","м"))</f>
        <v>м</v>
      </c>
      <c r="I322" s="308" t="e">
        <v>#REF!</v>
      </c>
      <c r="J322" s="308" t="e">
        <v>#REF!</v>
      </c>
      <c r="K322" s="313" t="s">
        <v>226</v>
      </c>
      <c r="L322" s="308"/>
      <c r="M322" s="308"/>
      <c r="N322" s="308"/>
      <c r="O322" s="733">
        <v>1</v>
      </c>
      <c r="P322" s="731" t="s">
        <v>618</v>
      </c>
      <c r="Q322" s="308" t="str">
        <f>IF(R322="","включаем","не включаем")</f>
        <v>включаем</v>
      </c>
      <c r="R322" s="732"/>
      <c r="S322" s="308"/>
      <c r="T322" s="308" t="s">
        <v>566</v>
      </c>
      <c r="V322" s="731" t="s">
        <v>996</v>
      </c>
      <c r="W322" s="406">
        <v>46173</v>
      </c>
    </row>
    <row r="323" spans="1:38" customHeight="1" ht="22.5">
      <c r="A323" s="722" t="s">
        <v>1891</v>
      </c>
      <c r="B323" s="722" t="s">
        <v>1892</v>
      </c>
      <c r="D323" s="722" t="s">
        <v>1893</v>
      </c>
      <c r="E323" s="722" t="s">
        <v>1894</v>
      </c>
      <c r="F323" s="722" t="s">
        <v>228</v>
      </c>
      <c r="G323" s="722" t="s">
        <v>370</v>
      </c>
      <c r="H323" s="308" t="str">
        <f>IF(ISBLANK(B323),"-",IF(ISERROR(FIND("вич",B323,1)),"ж","м"))</f>
        <v>м</v>
      </c>
      <c r="I323" s="308" t="e">
        <v>#REF!</v>
      </c>
      <c r="J323" s="308" t="e">
        <v>#REF!</v>
      </c>
      <c r="K323" s="313" t="s">
        <v>226</v>
      </c>
      <c r="L323" s="308"/>
      <c r="M323" s="308"/>
      <c r="N323" s="308"/>
      <c r="O323" s="733">
        <v>1</v>
      </c>
      <c r="P323" s="731" t="s">
        <v>618</v>
      </c>
      <c r="Q323" s="308" t="str">
        <f>IF(R323="","включаем","не включаем")</f>
        <v>включаем</v>
      </c>
      <c r="R323" s="732"/>
      <c r="S323" s="308"/>
      <c r="T323" s="308" t="s">
        <v>566</v>
      </c>
      <c r="V323" s="731" t="s">
        <v>996</v>
      </c>
      <c r="W323" s="406">
        <v>46173</v>
      </c>
    </row>
    <row r="324" spans="1:38" customHeight="1" ht="22.5">
      <c r="A324" s="722" t="s">
        <v>1895</v>
      </c>
      <c r="B324" s="722" t="s">
        <v>1896</v>
      </c>
      <c r="D324" s="722" t="s">
        <v>1370</v>
      </c>
      <c r="E324" s="722" t="s">
        <v>1897</v>
      </c>
      <c r="F324" s="722" t="s">
        <v>228</v>
      </c>
      <c r="G324" s="722" t="s">
        <v>1898</v>
      </c>
      <c r="H324" s="308" t="str">
        <f>IF(ISBLANK(B324),"-",IF(ISERROR(FIND("вич",B324,1)),"ж","м"))</f>
        <v>м</v>
      </c>
      <c r="I324" s="308" t="e">
        <v>#REF!</v>
      </c>
      <c r="J324" s="308" t="e">
        <v>#REF!</v>
      </c>
      <c r="K324" s="313" t="s">
        <v>226</v>
      </c>
      <c r="L324" s="308"/>
      <c r="M324" s="308"/>
      <c r="N324" s="308"/>
      <c r="O324" s="733">
        <v>1</v>
      </c>
      <c r="P324" s="731" t="s">
        <v>618</v>
      </c>
      <c r="Q324" s="308" t="str">
        <f>IF(R324="","включаем","не включаем")</f>
        <v>включаем</v>
      </c>
      <c r="R324" s="732"/>
      <c r="S324" s="308"/>
      <c r="T324" s="308" t="s">
        <v>566</v>
      </c>
      <c r="V324" s="731" t="s">
        <v>996</v>
      </c>
      <c r="W324" s="406">
        <v>46173</v>
      </c>
    </row>
    <row r="325" spans="1:38" customHeight="1" ht="22.5">
      <c r="A325" s="722" t="s">
        <v>1899</v>
      </c>
      <c r="B325" s="722" t="s">
        <v>1900</v>
      </c>
      <c r="D325" s="722" t="s">
        <v>1393</v>
      </c>
      <c r="E325" s="722" t="s">
        <v>852</v>
      </c>
      <c r="F325" s="722" t="s">
        <v>1901</v>
      </c>
      <c r="G325" s="722" t="s">
        <v>384</v>
      </c>
      <c r="H325" s="308" t="str">
        <f>IF(ISBLANK(B325),"-",IF(ISERROR(FIND("вич",B325,1)),"ж","м"))</f>
        <v>м</v>
      </c>
      <c r="I325" s="308" t="e">
        <v>#REF!</v>
      </c>
      <c r="J325" s="308" t="e">
        <v>#REF!</v>
      </c>
      <c r="K325" s="313" t="s">
        <v>226</v>
      </c>
      <c r="L325" s="308"/>
      <c r="M325" s="308"/>
      <c r="N325" s="308"/>
      <c r="O325" s="733">
        <v>1</v>
      </c>
      <c r="P325" s="731" t="s">
        <v>618</v>
      </c>
      <c r="Q325" s="308" t="str">
        <f>IF(R325="","включаем","не включаем")</f>
        <v>включаем</v>
      </c>
      <c r="R325" s="732"/>
      <c r="S325" s="308"/>
      <c r="T325" s="308" t="s">
        <v>566</v>
      </c>
      <c r="V325" s="731" t="s">
        <v>996</v>
      </c>
      <c r="W325" s="406">
        <v>46173</v>
      </c>
    </row>
    <row r="326" spans="1:38" customHeight="1" ht="33.75">
      <c r="A326" s="722" t="s">
        <v>1902</v>
      </c>
      <c r="B326" s="722" t="s">
        <v>1903</v>
      </c>
      <c r="D326" s="722" t="s">
        <v>1393</v>
      </c>
      <c r="E326" s="722" t="s">
        <v>1904</v>
      </c>
      <c r="F326" s="722" t="s">
        <v>1901</v>
      </c>
      <c r="G326" s="722" t="s">
        <v>386</v>
      </c>
      <c r="H326" s="308" t="str">
        <f>IF(ISBLANK(B326),"-",IF(ISERROR(FIND("вич",B326,1)),"ж","м"))</f>
        <v>м</v>
      </c>
      <c r="I326" s="308" t="e">
        <v>#REF!</v>
      </c>
      <c r="J326" s="308" t="e">
        <v>#REF!</v>
      </c>
      <c r="K326" s="313" t="s">
        <v>226</v>
      </c>
      <c r="L326" s="308"/>
      <c r="M326" s="308"/>
      <c r="N326" s="308"/>
      <c r="O326" s="733">
        <v>1</v>
      </c>
      <c r="P326" s="731" t="s">
        <v>618</v>
      </c>
      <c r="Q326" s="308" t="str">
        <f>IF(R326="","включаем","не включаем")</f>
        <v>включаем</v>
      </c>
      <c r="R326" s="732"/>
      <c r="S326" s="308"/>
      <c r="T326" s="308" t="s">
        <v>566</v>
      </c>
      <c r="V326" s="731" t="s">
        <v>996</v>
      </c>
      <c r="W326" s="406">
        <v>46173</v>
      </c>
    </row>
    <row r="327" spans="1:38" customHeight="1" ht="33.75">
      <c r="A327" s="722" t="s">
        <v>1905</v>
      </c>
      <c r="B327" s="722" t="s">
        <v>1906</v>
      </c>
      <c r="D327" s="722" t="s">
        <v>1907</v>
      </c>
      <c r="E327" s="722" t="s">
        <v>1908</v>
      </c>
      <c r="F327" s="722" t="s">
        <v>1901</v>
      </c>
      <c r="G327" s="722" t="s">
        <v>386</v>
      </c>
      <c r="H327" s="308" t="str">
        <f>IF(ISBLANK(B327),"-",IF(ISERROR(FIND("вич",B327,1)),"ж","м"))</f>
        <v>м</v>
      </c>
      <c r="I327" s="308" t="e">
        <v>#REF!</v>
      </c>
      <c r="J327" s="308" t="e">
        <v>#REF!</v>
      </c>
      <c r="K327" s="313" t="s">
        <v>226</v>
      </c>
      <c r="L327" s="308"/>
      <c r="M327" s="308"/>
      <c r="N327" s="308"/>
      <c r="O327" s="733">
        <v>1</v>
      </c>
      <c r="P327" s="731" t="s">
        <v>618</v>
      </c>
      <c r="Q327" s="308" t="str">
        <f>IF(R327="","включаем","не включаем")</f>
        <v>включаем</v>
      </c>
      <c r="R327" s="732"/>
      <c r="S327" s="308"/>
      <c r="T327" s="308" t="s">
        <v>566</v>
      </c>
      <c r="V327" s="731" t="s">
        <v>996</v>
      </c>
      <c r="W327" s="406">
        <v>46173</v>
      </c>
    </row>
    <row r="328" spans="1:38" customHeight="1" ht="33.75">
      <c r="A328" s="722" t="s">
        <v>1909</v>
      </c>
      <c r="B328" s="722" t="s">
        <v>1910</v>
      </c>
      <c r="D328" s="722" t="s">
        <v>1393</v>
      </c>
      <c r="E328" s="722" t="s">
        <v>1911</v>
      </c>
      <c r="F328" s="722" t="s">
        <v>1901</v>
      </c>
      <c r="G328" s="722" t="s">
        <v>386</v>
      </c>
      <c r="H328" s="308" t="str">
        <f>IF(ISBLANK(B328),"-",IF(ISERROR(FIND("вич",B328,1)),"ж","м"))</f>
        <v>м</v>
      </c>
      <c r="I328" s="308" t="e">
        <v>#REF!</v>
      </c>
      <c r="J328" s="308" t="e">
        <v>#REF!</v>
      </c>
      <c r="K328" s="313" t="s">
        <v>226</v>
      </c>
      <c r="L328" s="308"/>
      <c r="M328" s="308"/>
      <c r="N328" s="308"/>
      <c r="O328" s="733">
        <v>1</v>
      </c>
      <c r="P328" s="731" t="s">
        <v>618</v>
      </c>
      <c r="Q328" s="308" t="str">
        <f>IF(R328="","включаем","не включаем")</f>
        <v>включаем</v>
      </c>
      <c r="R328" s="732"/>
      <c r="S328" s="308"/>
      <c r="T328" s="308" t="s">
        <v>566</v>
      </c>
      <c r="V328" s="731" t="s">
        <v>996</v>
      </c>
      <c r="W328" s="406">
        <v>46173</v>
      </c>
    </row>
    <row r="329" spans="1:38" customHeight="1" ht="33.75">
      <c r="A329" s="722" t="s">
        <v>1912</v>
      </c>
      <c r="B329" s="722" t="s">
        <v>1913</v>
      </c>
      <c r="D329" s="722" t="s">
        <v>705</v>
      </c>
      <c r="E329" s="722" t="s">
        <v>1914</v>
      </c>
      <c r="F329" s="722" t="s">
        <v>1901</v>
      </c>
      <c r="G329" s="722" t="s">
        <v>386</v>
      </c>
      <c r="H329" s="308" t="str">
        <f>IF(ISBLANK(B329),"-",IF(ISERROR(FIND("вич",B329,1)),"ж","м"))</f>
        <v>м</v>
      </c>
      <c r="I329" s="308" t="e">
        <v>#REF!</v>
      </c>
      <c r="J329" s="308" t="e">
        <v>#REF!</v>
      </c>
      <c r="K329" s="313" t="s">
        <v>226</v>
      </c>
      <c r="L329" s="308"/>
      <c r="M329" s="308"/>
      <c r="N329" s="308"/>
      <c r="O329" s="733">
        <v>1</v>
      </c>
      <c r="P329" s="731" t="s">
        <v>618</v>
      </c>
      <c r="Q329" s="308" t="str">
        <f>IF(R329="","включаем","не включаем")</f>
        <v>включаем</v>
      </c>
      <c r="R329" s="732"/>
      <c r="S329" s="308"/>
      <c r="T329" s="308" t="s">
        <v>566</v>
      </c>
      <c r="V329" s="731" t="s">
        <v>996</v>
      </c>
      <c r="W329" s="406">
        <v>46173</v>
      </c>
    </row>
    <row r="330" spans="1:38" customHeight="1" ht="33.75">
      <c r="A330" s="722" t="s">
        <v>1915</v>
      </c>
      <c r="B330" s="722" t="s">
        <v>1916</v>
      </c>
      <c r="D330" s="722" t="s">
        <v>1917</v>
      </c>
      <c r="E330" s="722" t="s">
        <v>639</v>
      </c>
      <c r="F330" s="722" t="s">
        <v>1901</v>
      </c>
      <c r="G330" s="722" t="s">
        <v>386</v>
      </c>
      <c r="H330" s="308" t="str">
        <f>IF(ISBLANK(B330),"-",IF(ISERROR(FIND("вич",B330,1)),"ж","м"))</f>
        <v>м</v>
      </c>
      <c r="I330" s="308" t="e">
        <v>#REF!</v>
      </c>
      <c r="J330" s="308" t="e">
        <v>#REF!</v>
      </c>
      <c r="K330" s="313" t="s">
        <v>226</v>
      </c>
      <c r="L330" s="308"/>
      <c r="M330" s="308"/>
      <c r="N330" s="308"/>
      <c r="O330" s="733">
        <v>1</v>
      </c>
      <c r="P330" s="731" t="s">
        <v>618</v>
      </c>
      <c r="Q330" s="308" t="str">
        <f>IF(R330="","включаем","не включаем")</f>
        <v>включаем</v>
      </c>
      <c r="R330" s="732"/>
      <c r="S330" s="308"/>
      <c r="T330" s="308" t="s">
        <v>566</v>
      </c>
      <c r="V330" s="731" t="s">
        <v>996</v>
      </c>
      <c r="W330" s="406">
        <v>46173</v>
      </c>
    </row>
    <row r="331" spans="1:38" customHeight="1" ht="33.75">
      <c r="A331" s="722" t="s">
        <v>1918</v>
      </c>
      <c r="B331" s="722" t="s">
        <v>1919</v>
      </c>
      <c r="D331" s="722" t="s">
        <v>1393</v>
      </c>
      <c r="E331" s="722" t="s">
        <v>1920</v>
      </c>
      <c r="F331" s="722" t="s">
        <v>1901</v>
      </c>
      <c r="G331" s="722" t="s">
        <v>386</v>
      </c>
      <c r="H331" s="308" t="str">
        <f>IF(ISBLANK(B331),"-",IF(ISERROR(FIND("вич",B331,1)),"ж","м"))</f>
        <v>м</v>
      </c>
      <c r="I331" s="308" t="e">
        <v>#REF!</v>
      </c>
      <c r="J331" s="308" t="e">
        <v>#REF!</v>
      </c>
      <c r="K331" s="313" t="s">
        <v>226</v>
      </c>
      <c r="L331" s="308"/>
      <c r="M331" s="308"/>
      <c r="N331" s="308"/>
      <c r="O331" s="733">
        <v>1</v>
      </c>
      <c r="P331" s="731" t="s">
        <v>618</v>
      </c>
      <c r="Q331" s="308" t="str">
        <f>IF(R331="","включаем","не включаем")</f>
        <v>включаем</v>
      </c>
      <c r="R331" s="732"/>
      <c r="S331" s="308"/>
      <c r="T331" s="308" t="s">
        <v>566</v>
      </c>
      <c r="V331" s="731" t="s">
        <v>996</v>
      </c>
      <c r="W331" s="406">
        <v>46173</v>
      </c>
    </row>
    <row r="332" spans="1:38" customHeight="1" ht="33.75">
      <c r="A332" s="722" t="s">
        <v>1921</v>
      </c>
      <c r="B332" s="722" t="s">
        <v>1922</v>
      </c>
      <c r="D332" s="722" t="s">
        <v>1923</v>
      </c>
      <c r="E332" s="722" t="s">
        <v>1924</v>
      </c>
      <c r="F332" s="722" t="s">
        <v>1901</v>
      </c>
      <c r="G332" s="722" t="s">
        <v>386</v>
      </c>
      <c r="H332" s="308" t="str">
        <f>IF(ISBLANK(B332),"-",IF(ISERROR(FIND("вич",B332,1)),"ж","м"))</f>
        <v>м</v>
      </c>
      <c r="I332" s="308" t="e">
        <v>#REF!</v>
      </c>
      <c r="J332" s="308" t="e">
        <v>#REF!</v>
      </c>
      <c r="K332" s="313" t="s">
        <v>226</v>
      </c>
      <c r="L332" s="308"/>
      <c r="M332" s="308"/>
      <c r="N332" s="308"/>
      <c r="O332" s="733">
        <v>1</v>
      </c>
      <c r="P332" s="731" t="s">
        <v>618</v>
      </c>
      <c r="Q332" s="308" t="str">
        <f>IF(R332="","включаем","не включаем")</f>
        <v>включаем</v>
      </c>
      <c r="R332" s="732"/>
      <c r="S332" s="308"/>
      <c r="T332" s="308" t="s">
        <v>566</v>
      </c>
      <c r="V332" s="731" t="s">
        <v>996</v>
      </c>
      <c r="W332" s="406">
        <v>46173</v>
      </c>
    </row>
    <row r="333" spans="1:38" customHeight="1" ht="22.5">
      <c r="A333" s="722" t="s">
        <v>1925</v>
      </c>
      <c r="B333" s="722" t="s">
        <v>1926</v>
      </c>
      <c r="D333" s="722" t="s">
        <v>1927</v>
      </c>
      <c r="E333" s="722" t="s">
        <v>1928</v>
      </c>
      <c r="F333" s="722" t="s">
        <v>1929</v>
      </c>
      <c r="G333" s="722" t="s">
        <v>388</v>
      </c>
      <c r="H333" s="308" t="str">
        <f>IF(ISBLANK(B333),"-",IF(ISERROR(FIND("вич",B333,1)),"ж","м"))</f>
        <v>м</v>
      </c>
      <c r="I333" s="308" t="e">
        <v>#REF!</v>
      </c>
      <c r="J333" s="308" t="e">
        <v>#REF!</v>
      </c>
      <c r="K333" s="313" t="s">
        <v>226</v>
      </c>
      <c r="L333" s="308"/>
      <c r="M333" s="308"/>
      <c r="N333" s="308"/>
      <c r="O333" s="733">
        <v>1</v>
      </c>
      <c r="P333" s="731" t="s">
        <v>618</v>
      </c>
      <c r="Q333" s="308" t="str">
        <f>IF(R333="","включаем","не включаем")</f>
        <v>включаем</v>
      </c>
      <c r="R333" s="732"/>
      <c r="S333" s="308"/>
      <c r="T333" s="308" t="s">
        <v>566</v>
      </c>
      <c r="V333" s="731" t="s">
        <v>996</v>
      </c>
      <c r="W333" s="406">
        <v>46173</v>
      </c>
    </row>
    <row r="334" spans="1:38" customHeight="1" ht="22.5">
      <c r="A334" s="722" t="s">
        <v>1930</v>
      </c>
      <c r="B334" s="722" t="s">
        <v>1931</v>
      </c>
      <c r="D334" s="722" t="s">
        <v>1932</v>
      </c>
      <c r="E334" s="722" t="s">
        <v>1933</v>
      </c>
      <c r="F334" s="722" t="s">
        <v>1929</v>
      </c>
      <c r="G334" s="722" t="s">
        <v>388</v>
      </c>
      <c r="H334" s="308" t="str">
        <f>IF(ISBLANK(B334),"-",IF(ISERROR(FIND("вич",B334,1)),"ж","м"))</f>
        <v>м</v>
      </c>
      <c r="I334" s="308" t="e">
        <v>#REF!</v>
      </c>
      <c r="J334" s="308" t="e">
        <v>#REF!</v>
      </c>
      <c r="K334" s="313" t="s">
        <v>226</v>
      </c>
      <c r="L334" s="308"/>
      <c r="M334" s="308"/>
      <c r="N334" s="308"/>
      <c r="O334" s="733">
        <v>1</v>
      </c>
      <c r="P334" s="731" t="s">
        <v>618</v>
      </c>
      <c r="Q334" s="308" t="str">
        <f>IF(R334="","включаем","не включаем")</f>
        <v>включаем</v>
      </c>
      <c r="R334" s="732"/>
      <c r="S334" s="308"/>
      <c r="T334" s="308" t="s">
        <v>566</v>
      </c>
      <c r="V334" s="731" t="s">
        <v>996</v>
      </c>
      <c r="W334" s="406">
        <v>46173</v>
      </c>
    </row>
    <row r="335" spans="1:38" customHeight="1" ht="22.5">
      <c r="A335" s="722" t="s">
        <v>1934</v>
      </c>
      <c r="B335" s="722" t="s">
        <v>1935</v>
      </c>
      <c r="D335" s="722" t="s">
        <v>1393</v>
      </c>
      <c r="E335" s="723" t="s">
        <v>1936</v>
      </c>
      <c r="F335" s="722" t="s">
        <v>1929</v>
      </c>
      <c r="G335" s="722" t="s">
        <v>388</v>
      </c>
      <c r="H335" s="308" t="str">
        <f>IF(ISBLANK(B335),"-",IF(ISERROR(FIND("вич",B335,1)),"ж","м"))</f>
        <v>м</v>
      </c>
      <c r="I335" s="308" t="e">
        <v>#REF!</v>
      </c>
      <c r="J335" s="308" t="e">
        <v>#REF!</v>
      </c>
      <c r="K335" s="313" t="s">
        <v>226</v>
      </c>
      <c r="L335" s="308"/>
      <c r="M335" s="308"/>
      <c r="N335" s="308"/>
      <c r="O335" s="733">
        <v>1</v>
      </c>
      <c r="P335" s="731" t="s">
        <v>618</v>
      </c>
      <c r="Q335" s="308" t="str">
        <f>IF(R335="","включаем","не включаем")</f>
        <v>включаем</v>
      </c>
      <c r="R335" s="732"/>
      <c r="S335" s="308"/>
      <c r="T335" s="308" t="s">
        <v>566</v>
      </c>
      <c r="V335" s="731" t="s">
        <v>996</v>
      </c>
      <c r="W335" s="406">
        <v>46173</v>
      </c>
    </row>
    <row r="336" spans="1:38" customHeight="1" ht="22.5">
      <c r="A336" s="722" t="s">
        <v>1937</v>
      </c>
      <c r="B336" s="722" t="s">
        <v>1938</v>
      </c>
      <c r="D336" s="722" t="s">
        <v>1939</v>
      </c>
      <c r="E336" s="723" t="s">
        <v>1940</v>
      </c>
      <c r="F336" s="722" t="s">
        <v>1929</v>
      </c>
      <c r="G336" s="722" t="s">
        <v>388</v>
      </c>
      <c r="H336" s="308" t="str">
        <f>IF(ISBLANK(B336),"-",IF(ISERROR(FIND("вич",B336,1)),"ж","м"))</f>
        <v>м</v>
      </c>
      <c r="I336" s="308" t="e">
        <v>#REF!</v>
      </c>
      <c r="J336" s="308" t="e">
        <v>#REF!</v>
      </c>
      <c r="K336" s="313" t="s">
        <v>226</v>
      </c>
      <c r="L336" s="308"/>
      <c r="M336" s="308"/>
      <c r="N336" s="308"/>
      <c r="O336" s="733">
        <v>1</v>
      </c>
      <c r="P336" s="731" t="s">
        <v>618</v>
      </c>
      <c r="Q336" s="308" t="str">
        <f>IF(R336="","включаем","не включаем")</f>
        <v>включаем</v>
      </c>
      <c r="R336" s="732"/>
      <c r="S336" s="308"/>
      <c r="T336" s="308" t="s">
        <v>566</v>
      </c>
      <c r="V336" s="731" t="s">
        <v>996</v>
      </c>
      <c r="W336" s="406">
        <v>46173</v>
      </c>
    </row>
    <row r="337" spans="1:38" customHeight="1" ht="78.75">
      <c r="A337" s="722" t="s">
        <v>1941</v>
      </c>
      <c r="B337" s="722" t="s">
        <v>1942</v>
      </c>
      <c r="D337" s="722" t="s">
        <v>1943</v>
      </c>
      <c r="E337" s="722" t="s">
        <v>1944</v>
      </c>
      <c r="F337" s="722" t="s">
        <v>1929</v>
      </c>
      <c r="G337" s="722" t="s">
        <v>1945</v>
      </c>
      <c r="H337" s="308" t="str">
        <f>IF(ISBLANK(B337),"-",IF(ISERROR(FIND("вич",B337,1)),"ж","м"))</f>
        <v>м</v>
      </c>
      <c r="I337" s="308" t="e">
        <v>#REF!</v>
      </c>
      <c r="J337" s="308" t="e">
        <v>#REF!</v>
      </c>
      <c r="K337" s="313" t="s">
        <v>226</v>
      </c>
      <c r="L337" s="308"/>
      <c r="M337" s="308"/>
      <c r="N337" s="308"/>
      <c r="O337" s="733">
        <v>1</v>
      </c>
      <c r="P337" s="731" t="s">
        <v>618</v>
      </c>
      <c r="Q337" s="308" t="str">
        <f>IF(R337="","включаем","не включаем")</f>
        <v>включаем</v>
      </c>
      <c r="R337" s="732"/>
      <c r="S337" s="308"/>
      <c r="T337" s="308" t="s">
        <v>566</v>
      </c>
      <c r="V337" s="731" t="s">
        <v>996</v>
      </c>
      <c r="W337" s="406">
        <v>46173</v>
      </c>
    </row>
    <row r="338" spans="1:38" customHeight="1" ht="22.5">
      <c r="A338" s="722" t="s">
        <v>1946</v>
      </c>
      <c r="B338" s="722" t="s">
        <v>1947</v>
      </c>
      <c r="D338" s="722" t="s">
        <v>1393</v>
      </c>
      <c r="E338" s="722" t="s">
        <v>1016</v>
      </c>
      <c r="F338" s="722" t="s">
        <v>1948</v>
      </c>
      <c r="G338" s="722" t="s">
        <v>384</v>
      </c>
      <c r="H338" s="308" t="str">
        <f>IF(ISBLANK(B338),"-",IF(ISERROR(FIND("вич",B338,1)),"ж","м"))</f>
        <v>м</v>
      </c>
      <c r="I338" s="308" t="e">
        <v>#REF!</v>
      </c>
      <c r="J338" s="308" t="e">
        <v>#REF!</v>
      </c>
      <c r="K338" s="313" t="s">
        <v>226</v>
      </c>
      <c r="L338" s="308"/>
      <c r="M338" s="308"/>
      <c r="N338" s="308"/>
      <c r="O338" s="733">
        <v>1</v>
      </c>
      <c r="P338" s="731" t="s">
        <v>618</v>
      </c>
      <c r="Q338" s="308" t="str">
        <f>IF(R338="","включаем","не включаем")</f>
        <v>включаем</v>
      </c>
      <c r="R338" s="732"/>
      <c r="S338" s="308"/>
      <c r="T338" s="308" t="s">
        <v>566</v>
      </c>
      <c r="V338" s="731" t="s">
        <v>996</v>
      </c>
      <c r="W338" s="406">
        <v>46173</v>
      </c>
    </row>
    <row r="339" spans="1:38" customHeight="1" ht="45">
      <c r="A339" s="722" t="s">
        <v>1949</v>
      </c>
      <c r="B339" s="722" t="s">
        <v>1950</v>
      </c>
      <c r="D339" s="722" t="s">
        <v>1951</v>
      </c>
      <c r="E339" s="722" t="s">
        <v>1952</v>
      </c>
      <c r="F339" s="722" t="s">
        <v>1948</v>
      </c>
      <c r="G339" s="722" t="s">
        <v>390</v>
      </c>
      <c r="H339" s="308" t="str">
        <f>IF(ISBLANK(B339),"-",IF(ISERROR(FIND("вич",B339,1)),"ж","м"))</f>
        <v>ж</v>
      </c>
      <c r="I339" s="308" t="e">
        <v>#REF!</v>
      </c>
      <c r="J339" s="308" t="e">
        <v>#REF!</v>
      </c>
      <c r="K339" s="313" t="s">
        <v>226</v>
      </c>
      <c r="L339" s="308"/>
      <c r="M339" s="308"/>
      <c r="N339" s="308"/>
      <c r="O339" s="733">
        <v>1</v>
      </c>
      <c r="P339" s="731" t="s">
        <v>618</v>
      </c>
      <c r="Q339" s="308" t="str">
        <f>IF(R339="","включаем","не включаем")</f>
        <v>включаем</v>
      </c>
      <c r="R339" s="732"/>
      <c r="S339" s="308"/>
      <c r="T339" s="308" t="s">
        <v>566</v>
      </c>
      <c r="V339" s="731" t="s">
        <v>996</v>
      </c>
      <c r="W339" s="406">
        <v>46173</v>
      </c>
    </row>
    <row r="340" spans="1:38" customHeight="1" ht="33.75">
      <c r="A340" s="722" t="s">
        <v>1953</v>
      </c>
      <c r="B340" s="722" t="s">
        <v>1954</v>
      </c>
      <c r="D340" s="722" t="s">
        <v>1393</v>
      </c>
      <c r="E340" s="722" t="s">
        <v>1955</v>
      </c>
      <c r="F340" s="722" t="s">
        <v>1948</v>
      </c>
      <c r="G340" s="722" t="s">
        <v>386</v>
      </c>
      <c r="H340" s="308" t="str">
        <f>IF(ISBLANK(B340),"-",IF(ISERROR(FIND("вич",B340,1)),"ж","м"))</f>
        <v>м</v>
      </c>
      <c r="I340" s="308" t="e">
        <v>#REF!</v>
      </c>
      <c r="J340" s="308" t="e">
        <v>#REF!</v>
      </c>
      <c r="K340" s="313" t="s">
        <v>226</v>
      </c>
      <c r="L340" s="308"/>
      <c r="M340" s="308"/>
      <c r="N340" s="308"/>
      <c r="O340" s="733">
        <v>1</v>
      </c>
      <c r="P340" s="731" t="s">
        <v>618</v>
      </c>
      <c r="Q340" s="308" t="str">
        <f>IF(R340="","включаем","не включаем")</f>
        <v>включаем</v>
      </c>
      <c r="R340" s="732"/>
      <c r="S340" s="308"/>
      <c r="T340" s="308" t="s">
        <v>566</v>
      </c>
      <c r="V340" s="731" t="s">
        <v>996</v>
      </c>
      <c r="W340" s="406">
        <v>46173</v>
      </c>
    </row>
    <row r="341" spans="1:38" customHeight="1" ht="33.75">
      <c r="A341" s="722" t="s">
        <v>1956</v>
      </c>
      <c r="B341" s="722" t="s">
        <v>1957</v>
      </c>
      <c r="D341" s="722" t="s">
        <v>1177</v>
      </c>
      <c r="E341" s="722" t="s">
        <v>1958</v>
      </c>
      <c r="F341" s="722" t="s">
        <v>1948</v>
      </c>
      <c r="G341" s="722" t="s">
        <v>386</v>
      </c>
      <c r="H341" s="308" t="str">
        <f>IF(ISBLANK(B341),"-",IF(ISERROR(FIND("вич",B341,1)),"ж","м"))</f>
        <v>м</v>
      </c>
      <c r="I341" s="308" t="e">
        <v>#REF!</v>
      </c>
      <c r="J341" s="308" t="e">
        <v>#REF!</v>
      </c>
      <c r="K341" s="313" t="s">
        <v>226</v>
      </c>
      <c r="L341" s="308"/>
      <c r="M341" s="308"/>
      <c r="N341" s="308"/>
      <c r="O341" s="733">
        <v>1</v>
      </c>
      <c r="P341" s="731" t="s">
        <v>618</v>
      </c>
      <c r="Q341" s="308" t="str">
        <f>IF(R341="","включаем","не включаем")</f>
        <v>включаем</v>
      </c>
      <c r="R341" s="732"/>
      <c r="S341" s="308"/>
      <c r="T341" s="308" t="s">
        <v>566</v>
      </c>
      <c r="V341" s="731" t="s">
        <v>996</v>
      </c>
      <c r="W341" s="406">
        <v>46173</v>
      </c>
    </row>
    <row r="342" spans="1:38" customHeight="1" ht="33.75">
      <c r="A342" s="722" t="s">
        <v>1959</v>
      </c>
      <c r="B342" s="722" t="s">
        <v>1960</v>
      </c>
      <c r="D342" s="722" t="s">
        <v>1961</v>
      </c>
      <c r="E342" s="722" t="s">
        <v>1962</v>
      </c>
      <c r="F342" s="722" t="s">
        <v>1948</v>
      </c>
      <c r="G342" s="722" t="s">
        <v>386</v>
      </c>
      <c r="H342" s="308" t="str">
        <f>IF(ISBLANK(B342),"-",IF(ISERROR(FIND("вич",B342,1)),"ж","м"))</f>
        <v>м</v>
      </c>
      <c r="I342" s="308" t="e">
        <v>#REF!</v>
      </c>
      <c r="J342" s="308" t="e">
        <v>#REF!</v>
      </c>
      <c r="K342" s="313" t="s">
        <v>226</v>
      </c>
      <c r="L342" s="308"/>
      <c r="M342" s="308"/>
      <c r="N342" s="308"/>
      <c r="O342" s="733">
        <v>1</v>
      </c>
      <c r="P342" s="731" t="s">
        <v>618</v>
      </c>
      <c r="Q342" s="308" t="str">
        <f>IF(R342="","включаем","не включаем")</f>
        <v>включаем</v>
      </c>
      <c r="R342" s="732"/>
      <c r="S342" s="308"/>
      <c r="T342" s="308" t="s">
        <v>566</v>
      </c>
      <c r="V342" s="731" t="s">
        <v>996</v>
      </c>
      <c r="W342" s="406">
        <v>46173</v>
      </c>
    </row>
    <row r="343" spans="1:38" customHeight="1" ht="33.75">
      <c r="A343" s="722" t="s">
        <v>1963</v>
      </c>
      <c r="B343" s="722" t="s">
        <v>1964</v>
      </c>
      <c r="D343" s="722" t="s">
        <v>1965</v>
      </c>
      <c r="E343" s="722" t="s">
        <v>1966</v>
      </c>
      <c r="F343" s="722" t="s">
        <v>1948</v>
      </c>
      <c r="G343" s="722" t="s">
        <v>386</v>
      </c>
      <c r="H343" s="308" t="str">
        <f>IF(ISBLANK(B343),"-",IF(ISERROR(FIND("вич",B343,1)),"ж","м"))</f>
        <v>м</v>
      </c>
      <c r="I343" s="308" t="e">
        <v>#REF!</v>
      </c>
      <c r="J343" s="308" t="e">
        <v>#REF!</v>
      </c>
      <c r="K343" s="313" t="s">
        <v>226</v>
      </c>
      <c r="L343" s="308"/>
      <c r="M343" s="308"/>
      <c r="N343" s="308"/>
      <c r="O343" s="733">
        <v>1</v>
      </c>
      <c r="P343" s="731" t="s">
        <v>618</v>
      </c>
      <c r="Q343" s="308" t="str">
        <f>IF(R343="","включаем","не включаем")</f>
        <v>включаем</v>
      </c>
      <c r="R343" s="732"/>
      <c r="S343" s="308"/>
      <c r="T343" s="308" t="s">
        <v>566</v>
      </c>
      <c r="V343" s="731" t="s">
        <v>996</v>
      </c>
      <c r="W343" s="406">
        <v>46173</v>
      </c>
    </row>
    <row r="344" spans="1:38" customHeight="1" ht="22.5">
      <c r="A344" s="722" t="s">
        <v>1967</v>
      </c>
      <c r="B344" s="722" t="s">
        <v>1968</v>
      </c>
      <c r="D344" s="722" t="s">
        <v>1969</v>
      </c>
      <c r="E344" s="723" t="s">
        <v>1146</v>
      </c>
      <c r="F344" s="722" t="s">
        <v>1970</v>
      </c>
      <c r="G344" s="722" t="s">
        <v>421</v>
      </c>
      <c r="H344" s="308" t="str">
        <f>IF(ISBLANK(B344),"-",IF(ISERROR(FIND("вич",B344,1)),"ж","м"))</f>
        <v>м</v>
      </c>
      <c r="I344" s="308" t="e">
        <v>#REF!</v>
      </c>
      <c r="J344" s="308" t="e">
        <v>#REF!</v>
      </c>
      <c r="K344" s="313" t="s">
        <v>226</v>
      </c>
      <c r="L344" s="308"/>
      <c r="M344" s="308"/>
      <c r="N344" s="308"/>
      <c r="O344" s="733">
        <v>1</v>
      </c>
      <c r="P344" s="731" t="s">
        <v>618</v>
      </c>
      <c r="Q344" s="308" t="str">
        <f>IF(R344="","включаем","не включаем")</f>
        <v>включаем</v>
      </c>
      <c r="R344" s="732"/>
      <c r="S344" s="308"/>
      <c r="T344" s="308" t="s">
        <v>566</v>
      </c>
      <c r="V344" s="731" t="s">
        <v>996</v>
      </c>
      <c r="W344" s="406">
        <v>46173</v>
      </c>
    </row>
    <row r="345" spans="1:38" customHeight="1" ht="22.5">
      <c r="A345" s="722" t="s">
        <v>1971</v>
      </c>
      <c r="B345" s="722" t="s">
        <v>1972</v>
      </c>
      <c r="D345" s="722" t="s">
        <v>1393</v>
      </c>
      <c r="E345" s="722" t="s">
        <v>1973</v>
      </c>
      <c r="F345" s="722" t="s">
        <v>1970</v>
      </c>
      <c r="G345" s="722" t="s">
        <v>421</v>
      </c>
      <c r="H345" s="308" t="str">
        <f>IF(ISBLANK(B345),"-",IF(ISERROR(FIND("вич",B345,1)),"ж","м"))</f>
        <v>м</v>
      </c>
      <c r="I345" s="308" t="e">
        <v>#REF!</v>
      </c>
      <c r="J345" s="308" t="e">
        <v>#REF!</v>
      </c>
      <c r="K345" s="313" t="s">
        <v>226</v>
      </c>
      <c r="L345" s="308"/>
      <c r="M345" s="308"/>
      <c r="N345" s="308"/>
      <c r="O345" s="733">
        <v>1</v>
      </c>
      <c r="P345" s="731" t="s">
        <v>618</v>
      </c>
      <c r="Q345" s="308" t="str">
        <f>IF(R345="","включаем","не включаем")</f>
        <v>включаем</v>
      </c>
      <c r="R345" s="732"/>
      <c r="S345" s="308"/>
      <c r="T345" s="308" t="s">
        <v>566</v>
      </c>
      <c r="V345" s="731" t="s">
        <v>996</v>
      </c>
      <c r="W345" s="406">
        <v>46173</v>
      </c>
    </row>
    <row r="346" spans="1:38" customHeight="1" ht="22.5">
      <c r="A346" s="722" t="s">
        <v>1974</v>
      </c>
      <c r="B346" s="722" t="s">
        <v>1975</v>
      </c>
      <c r="D346" s="722" t="s">
        <v>1976</v>
      </c>
      <c r="E346" s="722" t="s">
        <v>1977</v>
      </c>
      <c r="F346" s="722" t="s">
        <v>1970</v>
      </c>
      <c r="G346" s="722" t="s">
        <v>421</v>
      </c>
      <c r="H346" s="308" t="str">
        <f>IF(ISBLANK(B346),"-",IF(ISERROR(FIND("вич",B346,1)),"ж","м"))</f>
        <v>м</v>
      </c>
      <c r="I346" s="308" t="e">
        <v>#REF!</v>
      </c>
      <c r="J346" s="308" t="e">
        <v>#REF!</v>
      </c>
      <c r="K346" s="313" t="s">
        <v>226</v>
      </c>
      <c r="L346" s="308"/>
      <c r="M346" s="308"/>
      <c r="N346" s="308"/>
      <c r="O346" s="733">
        <v>1</v>
      </c>
      <c r="P346" s="731" t="s">
        <v>618</v>
      </c>
      <c r="Q346" s="308" t="str">
        <f>IF(R346="","включаем","не включаем")</f>
        <v>включаем</v>
      </c>
      <c r="R346" s="732"/>
      <c r="S346" s="308"/>
      <c r="T346" s="308" t="s">
        <v>566</v>
      </c>
      <c r="V346" s="731" t="s">
        <v>996</v>
      </c>
      <c r="W346" s="406">
        <v>46173</v>
      </c>
    </row>
    <row r="347" spans="1:38" customHeight="1" ht="22.5">
      <c r="A347" s="722" t="s">
        <v>1978</v>
      </c>
      <c r="B347" s="722" t="s">
        <v>1979</v>
      </c>
      <c r="D347" s="722" t="s">
        <v>1980</v>
      </c>
      <c r="E347" s="722" t="s">
        <v>1981</v>
      </c>
      <c r="F347" s="722" t="s">
        <v>1970</v>
      </c>
      <c r="G347" s="722" t="s">
        <v>421</v>
      </c>
      <c r="H347" s="308" t="str">
        <f>IF(ISBLANK(B347),"-",IF(ISERROR(FIND("вич",B347,1)),"ж","м"))</f>
        <v>м</v>
      </c>
      <c r="I347" s="308" t="e">
        <v>#REF!</v>
      </c>
      <c r="J347" s="308" t="e">
        <v>#REF!</v>
      </c>
      <c r="K347" s="313" t="s">
        <v>226</v>
      </c>
      <c r="L347" s="308"/>
      <c r="M347" s="308"/>
      <c r="N347" s="308"/>
      <c r="O347" s="733">
        <v>1</v>
      </c>
      <c r="P347" s="731" t="s">
        <v>618</v>
      </c>
      <c r="Q347" s="308" t="str">
        <f>IF(R347="","включаем","не включаем")</f>
        <v>включаем</v>
      </c>
      <c r="R347" s="732"/>
      <c r="S347" s="308"/>
      <c r="T347" s="308" t="s">
        <v>566</v>
      </c>
      <c r="V347" s="731" t="s">
        <v>996</v>
      </c>
      <c r="W347" s="406">
        <v>46173</v>
      </c>
    </row>
    <row r="348" spans="1:38" customHeight="1" ht="22.5">
      <c r="A348" s="722" t="s">
        <v>1982</v>
      </c>
      <c r="B348" s="722" t="s">
        <v>1983</v>
      </c>
      <c r="D348" s="722" t="s">
        <v>1393</v>
      </c>
      <c r="E348" s="722" t="s">
        <v>1984</v>
      </c>
      <c r="F348" s="722" t="s">
        <v>1970</v>
      </c>
      <c r="G348" s="722" t="s">
        <v>421</v>
      </c>
      <c r="H348" s="308" t="str">
        <f>IF(ISBLANK(B348),"-",IF(ISERROR(FIND("вич",B348,1)),"ж","м"))</f>
        <v>м</v>
      </c>
      <c r="I348" s="308" t="e">
        <v>#REF!</v>
      </c>
      <c r="J348" s="308" t="e">
        <v>#REF!</v>
      </c>
      <c r="K348" s="313" t="s">
        <v>226</v>
      </c>
      <c r="L348" s="308"/>
      <c r="M348" s="308"/>
      <c r="N348" s="308"/>
      <c r="O348" s="733">
        <v>1</v>
      </c>
      <c r="P348" s="731" t="s">
        <v>618</v>
      </c>
      <c r="Q348" s="308" t="str">
        <f>IF(R348="","включаем","не включаем")</f>
        <v>включаем</v>
      </c>
      <c r="R348" s="732"/>
      <c r="S348" s="308"/>
      <c r="T348" s="308" t="s">
        <v>566</v>
      </c>
      <c r="V348" s="731" t="s">
        <v>996</v>
      </c>
      <c r="W348" s="406">
        <v>46173</v>
      </c>
    </row>
    <row r="349" spans="1:38" customHeight="1" ht="22.5">
      <c r="A349" s="722" t="s">
        <v>1985</v>
      </c>
      <c r="B349" s="722" t="s">
        <v>1986</v>
      </c>
      <c r="D349" s="722" t="s">
        <v>1219</v>
      </c>
      <c r="E349" s="722" t="s">
        <v>1987</v>
      </c>
      <c r="F349" s="722" t="s">
        <v>1970</v>
      </c>
      <c r="G349" s="722" t="s">
        <v>421</v>
      </c>
      <c r="H349" s="308" t="str">
        <f>IF(ISBLANK(B349),"-",IF(ISERROR(FIND("вич",B349,1)),"ж","м"))</f>
        <v>м</v>
      </c>
      <c r="I349" s="308" t="e">
        <v>#REF!</v>
      </c>
      <c r="J349" s="308" t="e">
        <v>#REF!</v>
      </c>
      <c r="K349" s="313" t="s">
        <v>226</v>
      </c>
      <c r="L349" s="308"/>
      <c r="M349" s="308"/>
      <c r="N349" s="308"/>
      <c r="O349" s="733">
        <v>1</v>
      </c>
      <c r="P349" s="731" t="s">
        <v>618</v>
      </c>
      <c r="Q349" s="308" t="str">
        <f>IF(R349="","включаем","не включаем")</f>
        <v>включаем</v>
      </c>
      <c r="R349" s="732"/>
      <c r="S349" s="308"/>
      <c r="T349" s="308" t="s">
        <v>566</v>
      </c>
      <c r="V349" s="731" t="s">
        <v>996</v>
      </c>
      <c r="W349" s="406">
        <v>46173</v>
      </c>
    </row>
    <row r="350" spans="1:38" customHeight="1" ht="22.5">
      <c r="A350" s="722" t="s">
        <v>1988</v>
      </c>
      <c r="B350" s="722" t="s">
        <v>1989</v>
      </c>
      <c r="D350" s="722" t="s">
        <v>1990</v>
      </c>
      <c r="E350" s="722" t="s">
        <v>1991</v>
      </c>
      <c r="F350" s="722" t="s">
        <v>1970</v>
      </c>
      <c r="G350" s="722" t="s">
        <v>499</v>
      </c>
      <c r="H350" s="308" t="str">
        <f>IF(ISBLANK(B350),"-",IF(ISERROR(FIND("вич",B350,1)),"ж","м"))</f>
        <v>м</v>
      </c>
      <c r="I350" s="308" t="e">
        <v>#REF!</v>
      </c>
      <c r="J350" s="308" t="e">
        <v>#REF!</v>
      </c>
      <c r="K350" s="313" t="s">
        <v>226</v>
      </c>
      <c r="L350" s="308"/>
      <c r="M350" s="308"/>
      <c r="N350" s="308"/>
      <c r="O350" s="733">
        <v>1</v>
      </c>
      <c r="P350" s="731" t="s">
        <v>618</v>
      </c>
      <c r="Q350" s="308" t="str">
        <f>IF(R350="","включаем","не включаем")</f>
        <v>включаем</v>
      </c>
      <c r="R350" s="732"/>
      <c r="S350" s="308"/>
      <c r="T350" s="308" t="s">
        <v>566</v>
      </c>
      <c r="V350" s="731" t="s">
        <v>996</v>
      </c>
      <c r="W350" s="406">
        <v>46173</v>
      </c>
    </row>
    <row r="351" spans="1:38" customHeight="1" ht="90">
      <c r="A351" s="722" t="s">
        <v>1992</v>
      </c>
      <c r="B351" s="722" t="s">
        <v>1993</v>
      </c>
      <c r="D351" s="722" t="s">
        <v>1994</v>
      </c>
      <c r="E351" s="722" t="s">
        <v>1995</v>
      </c>
      <c r="F351" s="722" t="s">
        <v>1996</v>
      </c>
      <c r="G351" s="722" t="s">
        <v>231</v>
      </c>
      <c r="H351" s="308" t="str">
        <f>IF(ISBLANK(B351),"-",IF(ISERROR(FIND("вич",B351,1)),"ж","м"))</f>
        <v>м</v>
      </c>
      <c r="I351" s="308" t="e">
        <v>#REF!</v>
      </c>
      <c r="J351" s="308" t="e">
        <v>#REF!</v>
      </c>
      <c r="K351" s="29" t="s">
        <v>226</v>
      </c>
      <c r="L351" s="308"/>
      <c r="M351" s="308"/>
      <c r="N351" s="308"/>
      <c r="O351" s="733">
        <v>1</v>
      </c>
      <c r="P351" s="731" t="s">
        <v>618</v>
      </c>
      <c r="Q351" s="308" t="str">
        <f>IF(R351="","включаем","не включаем")</f>
        <v>включаем</v>
      </c>
      <c r="R351" s="732"/>
      <c r="S351" s="308"/>
      <c r="T351" s="308" t="s">
        <v>566</v>
      </c>
      <c r="V351" s="731" t="s">
        <v>996</v>
      </c>
      <c r="W351" s="406">
        <v>46173</v>
      </c>
    </row>
    <row r="352" spans="1:38" customHeight="1" ht="90">
      <c r="A352" s="722" t="s">
        <v>1997</v>
      </c>
      <c r="B352" s="722" t="s">
        <v>1998</v>
      </c>
      <c r="D352" s="722" t="s">
        <v>1999</v>
      </c>
      <c r="E352" s="722" t="s">
        <v>2000</v>
      </c>
      <c r="F352" s="722" t="s">
        <v>1996</v>
      </c>
      <c r="G352" s="722" t="s">
        <v>231</v>
      </c>
      <c r="H352" s="308" t="str">
        <f>IF(ISBLANK(B352),"-",IF(ISERROR(FIND("вич",B352,1)),"ж","м"))</f>
        <v>м</v>
      </c>
      <c r="I352" s="308" t="e">
        <v>#REF!</v>
      </c>
      <c r="J352" s="308" t="e">
        <v>#REF!</v>
      </c>
      <c r="K352" s="29" t="s">
        <v>226</v>
      </c>
      <c r="L352" s="308"/>
      <c r="M352" s="308"/>
      <c r="N352" s="308"/>
      <c r="O352" s="733">
        <v>1</v>
      </c>
      <c r="P352" s="731" t="s">
        <v>618</v>
      </c>
      <c r="Q352" s="308" t="str">
        <f>IF(R352="","включаем","не включаем")</f>
        <v>включаем</v>
      </c>
      <c r="R352" s="732"/>
      <c r="S352" s="308"/>
      <c r="T352" s="308" t="s">
        <v>566</v>
      </c>
      <c r="V352" s="731" t="s">
        <v>996</v>
      </c>
      <c r="W352" s="406">
        <v>46173</v>
      </c>
    </row>
    <row r="353" spans="1:38" customHeight="1" ht="90">
      <c r="A353" s="722" t="s">
        <v>2001</v>
      </c>
      <c r="B353" s="722" t="s">
        <v>2002</v>
      </c>
      <c r="D353" s="722" t="s">
        <v>2003</v>
      </c>
      <c r="E353" s="722" t="s">
        <v>2004</v>
      </c>
      <c r="F353" s="722" t="s">
        <v>1996</v>
      </c>
      <c r="G353" s="722" t="s">
        <v>231</v>
      </c>
      <c r="H353" s="308" t="str">
        <f>IF(ISBLANK(B353),"-",IF(ISERROR(FIND("вич",B353,1)),"ж","м"))</f>
        <v>м</v>
      </c>
      <c r="I353" s="308" t="e">
        <v>#REF!</v>
      </c>
      <c r="J353" s="308" t="e">
        <v>#REF!</v>
      </c>
      <c r="K353" s="29" t="s">
        <v>226</v>
      </c>
      <c r="L353" s="308"/>
      <c r="M353" s="308"/>
      <c r="N353" s="308"/>
      <c r="O353" s="733">
        <v>1</v>
      </c>
      <c r="P353" s="731" t="s">
        <v>618</v>
      </c>
      <c r="Q353" s="308" t="str">
        <f>IF(R353="","включаем","не включаем")</f>
        <v>включаем</v>
      </c>
      <c r="R353" s="732"/>
      <c r="S353" s="308"/>
      <c r="T353" s="308" t="s">
        <v>566</v>
      </c>
      <c r="V353" s="731" t="s">
        <v>996</v>
      </c>
      <c r="W353" s="406">
        <v>46173</v>
      </c>
    </row>
    <row r="354" spans="1:38" customHeight="1" ht="67.5">
      <c r="A354" s="722" t="s">
        <v>2005</v>
      </c>
      <c r="B354" s="722" t="s">
        <v>2006</v>
      </c>
      <c r="D354" s="722" t="s">
        <v>1242</v>
      </c>
      <c r="E354" s="722" t="s">
        <v>2007</v>
      </c>
      <c r="F354" s="722" t="s">
        <v>1996</v>
      </c>
      <c r="G354" s="722" t="s">
        <v>492</v>
      </c>
      <c r="H354" s="308" t="str">
        <f>IF(ISBLANK(B354),"-",IF(ISERROR(FIND("вич",B354,1)),"ж","м"))</f>
        <v>м</v>
      </c>
      <c r="I354" s="308" t="e">
        <v>#REF!</v>
      </c>
      <c r="J354" s="308" t="e">
        <v>#REF!</v>
      </c>
      <c r="K354" s="29" t="s">
        <v>226</v>
      </c>
      <c r="L354" s="308"/>
      <c r="M354" s="308"/>
      <c r="N354" s="308"/>
      <c r="O354" s="733">
        <v>1</v>
      </c>
      <c r="P354" s="731" t="s">
        <v>618</v>
      </c>
      <c r="Q354" s="308" t="str">
        <f>IF(R354="","включаем","не включаем")</f>
        <v>включаем</v>
      </c>
      <c r="R354" s="732"/>
      <c r="S354" s="308"/>
      <c r="T354" s="308" t="s">
        <v>566</v>
      </c>
      <c r="V354" s="731" t="s">
        <v>996</v>
      </c>
      <c r="W354" s="406">
        <v>46173</v>
      </c>
    </row>
    <row r="355" spans="1:38" customHeight="1" ht="67.5">
      <c r="A355" s="722" t="s">
        <v>2008</v>
      </c>
      <c r="B355" s="722" t="s">
        <v>2009</v>
      </c>
      <c r="D355" s="722" t="s">
        <v>2010</v>
      </c>
      <c r="E355" s="722" t="s">
        <v>2011</v>
      </c>
      <c r="F355" s="722" t="s">
        <v>1996</v>
      </c>
      <c r="G355" s="722" t="s">
        <v>492</v>
      </c>
      <c r="H355" s="308" t="str">
        <f>IF(ISBLANK(B355),"-",IF(ISERROR(FIND("вич",B355,1)),"ж","м"))</f>
        <v>м</v>
      </c>
      <c r="I355" s="308" t="e">
        <v>#REF!</v>
      </c>
      <c r="J355" s="308" t="e">
        <v>#REF!</v>
      </c>
      <c r="K355" s="29" t="s">
        <v>226</v>
      </c>
      <c r="L355" s="308"/>
      <c r="M355" s="308"/>
      <c r="N355" s="308"/>
      <c r="O355" s="733">
        <v>1</v>
      </c>
      <c r="P355" s="731" t="s">
        <v>618</v>
      </c>
      <c r="Q355" s="308" t="str">
        <f>IF(R355="","включаем","не включаем")</f>
        <v>включаем</v>
      </c>
      <c r="R355" s="732"/>
      <c r="S355" s="308"/>
      <c r="T355" s="308" t="s">
        <v>566</v>
      </c>
      <c r="V355" s="731" t="s">
        <v>996</v>
      </c>
      <c r="W355" s="406">
        <v>46173</v>
      </c>
    </row>
    <row r="356" spans="1:38" customHeight="1" ht="67.5">
      <c r="A356" s="722" t="s">
        <v>2012</v>
      </c>
      <c r="B356" s="722" t="s">
        <v>2013</v>
      </c>
      <c r="D356" s="722" t="s">
        <v>1149</v>
      </c>
      <c r="E356" s="722" t="s">
        <v>2014</v>
      </c>
      <c r="F356" s="722" t="s">
        <v>1996</v>
      </c>
      <c r="G356" s="722" t="s">
        <v>492</v>
      </c>
      <c r="H356" s="308" t="str">
        <f>IF(ISBLANK(B356),"-",IF(ISERROR(FIND("вич",B356,1)),"ж","м"))</f>
        <v>м</v>
      </c>
      <c r="I356" s="308" t="e">
        <v>#REF!</v>
      </c>
      <c r="J356" s="308" t="e">
        <v>#REF!</v>
      </c>
      <c r="K356" s="29" t="s">
        <v>226</v>
      </c>
      <c r="L356" s="308"/>
      <c r="M356" s="308"/>
      <c r="N356" s="308"/>
      <c r="O356" s="733">
        <v>1</v>
      </c>
      <c r="P356" s="731" t="s">
        <v>618</v>
      </c>
      <c r="Q356" s="308" t="str">
        <f>IF(R356="","включаем","не включаем")</f>
        <v>включаем</v>
      </c>
      <c r="R356" s="732"/>
      <c r="S356" s="308"/>
      <c r="T356" s="308" t="s">
        <v>566</v>
      </c>
      <c r="V356" s="731" t="s">
        <v>996</v>
      </c>
      <c r="W356" s="406">
        <v>46173</v>
      </c>
    </row>
    <row r="357" spans="1:38" customHeight="1" ht="67.5">
      <c r="A357" s="722" t="s">
        <v>2015</v>
      </c>
      <c r="B357" s="722" t="s">
        <v>2016</v>
      </c>
      <c r="D357" s="722" t="s">
        <v>2017</v>
      </c>
      <c r="E357" s="723" t="s">
        <v>2018</v>
      </c>
      <c r="F357" s="722" t="s">
        <v>1996</v>
      </c>
      <c r="G357" s="722" t="s">
        <v>492</v>
      </c>
      <c r="H357" s="308" t="str">
        <f>IF(ISBLANK(B357),"-",IF(ISERROR(FIND("вич",B357,1)),"ж","м"))</f>
        <v>м</v>
      </c>
      <c r="I357" s="308" t="e">
        <v>#REF!</v>
      </c>
      <c r="J357" s="308" t="e">
        <v>#REF!</v>
      </c>
      <c r="K357" s="29" t="s">
        <v>226</v>
      </c>
      <c r="L357" s="308"/>
      <c r="M357" s="308"/>
      <c r="N357" s="308"/>
      <c r="O357" s="733">
        <v>1</v>
      </c>
      <c r="P357" s="731" t="s">
        <v>618</v>
      </c>
      <c r="Q357" s="308" t="str">
        <f>IF(R357="","включаем","не включаем")</f>
        <v>включаем</v>
      </c>
      <c r="R357" s="732"/>
      <c r="S357" s="308"/>
      <c r="T357" s="308" t="s">
        <v>566</v>
      </c>
      <c r="V357" s="731" t="s">
        <v>996</v>
      </c>
      <c r="W357" s="406">
        <v>46173</v>
      </c>
    </row>
    <row r="358" spans="1:38" customHeight="1" ht="67.5">
      <c r="A358" s="722" t="s">
        <v>2019</v>
      </c>
      <c r="B358" s="722" t="s">
        <v>2020</v>
      </c>
      <c r="D358" s="722" t="s">
        <v>2021</v>
      </c>
      <c r="E358" s="722" t="s">
        <v>2022</v>
      </c>
      <c r="F358" s="722" t="s">
        <v>1996</v>
      </c>
      <c r="G358" s="722" t="s">
        <v>492</v>
      </c>
      <c r="H358" s="308" t="str">
        <f>IF(ISBLANK(B358),"-",IF(ISERROR(FIND("вич",B358,1)),"ж","м"))</f>
        <v>м</v>
      </c>
      <c r="I358" s="308" t="e">
        <v>#REF!</v>
      </c>
      <c r="J358" s="308" t="e">
        <v>#REF!</v>
      </c>
      <c r="K358" s="29" t="s">
        <v>226</v>
      </c>
      <c r="L358" s="308"/>
      <c r="M358" s="308"/>
      <c r="N358" s="308"/>
      <c r="O358" s="733">
        <v>1</v>
      </c>
      <c r="P358" s="731" t="s">
        <v>618</v>
      </c>
      <c r="Q358" s="308" t="str">
        <f>IF(R358="","включаем","не включаем")</f>
        <v>включаем</v>
      </c>
      <c r="R358" s="732"/>
      <c r="S358" s="308"/>
      <c r="T358" s="308" t="s">
        <v>566</v>
      </c>
      <c r="V358" s="731" t="s">
        <v>996</v>
      </c>
      <c r="W358" s="406">
        <v>46173</v>
      </c>
    </row>
    <row r="359" spans="1:38" customHeight="1" ht="67.5">
      <c r="A359" s="722" t="s">
        <v>2023</v>
      </c>
      <c r="B359" s="722" t="s">
        <v>2024</v>
      </c>
      <c r="D359" s="722" t="s">
        <v>2025</v>
      </c>
      <c r="E359" s="722" t="s">
        <v>2026</v>
      </c>
      <c r="F359" s="722" t="s">
        <v>1996</v>
      </c>
      <c r="G359" s="722" t="s">
        <v>492</v>
      </c>
      <c r="H359" s="308" t="str">
        <f>IF(ISBLANK(B359),"-",IF(ISERROR(FIND("вич",B359,1)),"ж","м"))</f>
        <v>м</v>
      </c>
      <c r="I359" s="308" t="e">
        <v>#REF!</v>
      </c>
      <c r="J359" s="308" t="e">
        <v>#REF!</v>
      </c>
      <c r="K359" s="29" t="s">
        <v>226</v>
      </c>
      <c r="L359" s="308"/>
      <c r="M359" s="308"/>
      <c r="N359" s="308"/>
      <c r="O359" s="733">
        <v>1</v>
      </c>
      <c r="P359" s="731" t="s">
        <v>618</v>
      </c>
      <c r="Q359" s="308" t="str">
        <f>IF(R359="","включаем","не включаем")</f>
        <v>включаем</v>
      </c>
      <c r="R359" s="732"/>
      <c r="S359" s="308"/>
      <c r="T359" s="308" t="s">
        <v>566</v>
      </c>
      <c r="V359" s="731" t="s">
        <v>996</v>
      </c>
      <c r="W359" s="406">
        <v>46173</v>
      </c>
    </row>
    <row r="360" spans="1:38" customHeight="1" ht="45">
      <c r="A360" s="722" t="s">
        <v>2027</v>
      </c>
      <c r="B360" s="722" t="s">
        <v>2028</v>
      </c>
      <c r="D360" s="722" t="s">
        <v>2029</v>
      </c>
      <c r="E360" s="722" t="s">
        <v>2030</v>
      </c>
      <c r="F360" s="722" t="s">
        <v>322</v>
      </c>
      <c r="G360" s="722" t="s">
        <v>229</v>
      </c>
      <c r="H360" s="308" t="str">
        <f>IF(ISBLANK(B360),"-",IF(ISERROR(FIND("вич",B360,1)),"ж","м"))</f>
        <v>ж</v>
      </c>
      <c r="I360" s="308" t="e">
        <v>#REF!</v>
      </c>
      <c r="J360" s="308" t="e">
        <v>#REF!</v>
      </c>
      <c r="K360" s="313" t="s">
        <v>226</v>
      </c>
      <c r="L360" s="308"/>
      <c r="M360" s="308"/>
      <c r="N360" s="308"/>
      <c r="O360" s="733">
        <v>1</v>
      </c>
      <c r="P360" s="731" t="s">
        <v>618</v>
      </c>
      <c r="Q360" s="308" t="str">
        <f>IF(R360="","включаем","не включаем")</f>
        <v>включаем</v>
      </c>
      <c r="R360" s="732"/>
      <c r="S360" s="308"/>
      <c r="T360" s="308" t="s">
        <v>566</v>
      </c>
      <c r="V360" s="731" t="s">
        <v>996</v>
      </c>
      <c r="W360" s="406">
        <v>46173</v>
      </c>
    </row>
    <row r="361" spans="1:38" customHeight="1" ht="45">
      <c r="A361" s="722" t="s">
        <v>2031</v>
      </c>
      <c r="B361" s="722" t="s">
        <v>2032</v>
      </c>
      <c r="D361" s="722" t="s">
        <v>1744</v>
      </c>
      <c r="E361" s="722" t="s">
        <v>2033</v>
      </c>
      <c r="F361" s="722" t="s">
        <v>322</v>
      </c>
      <c r="G361" s="722" t="s">
        <v>229</v>
      </c>
      <c r="H361" s="308" t="str">
        <f>IF(ISBLANK(B361),"-",IF(ISERROR(FIND("вич",B361,1)),"ж","м"))</f>
        <v>ж</v>
      </c>
      <c r="I361" s="308" t="e">
        <v>#REF!</v>
      </c>
      <c r="J361" s="308" t="e">
        <v>#REF!</v>
      </c>
      <c r="K361" s="313" t="s">
        <v>226</v>
      </c>
      <c r="L361" s="308"/>
      <c r="M361" s="308"/>
      <c r="N361" s="308"/>
      <c r="O361" s="733">
        <v>1</v>
      </c>
      <c r="P361" s="731" t="s">
        <v>618</v>
      </c>
      <c r="Q361" s="308" t="str">
        <f>IF(R361="","включаем","не включаем")</f>
        <v>включаем</v>
      </c>
      <c r="R361" s="732"/>
      <c r="S361" s="308"/>
      <c r="T361" s="308" t="s">
        <v>566</v>
      </c>
      <c r="V361" s="731" t="s">
        <v>996</v>
      </c>
      <c r="W361" s="406">
        <v>46173</v>
      </c>
    </row>
    <row r="362" spans="1:38" customHeight="1" ht="22.5">
      <c r="A362" s="722" t="s">
        <v>2034</v>
      </c>
      <c r="B362" s="722" t="s">
        <v>2035</v>
      </c>
      <c r="D362" s="722" t="s">
        <v>1393</v>
      </c>
      <c r="E362" s="722" t="s">
        <v>2036</v>
      </c>
      <c r="F362" s="722" t="s">
        <v>322</v>
      </c>
      <c r="G362" s="722" t="s">
        <v>323</v>
      </c>
      <c r="H362" s="308" t="str">
        <f>IF(ISBLANK(B362),"-",IF(ISERROR(FIND("вич",B362,1)),"ж","м"))</f>
        <v>м</v>
      </c>
      <c r="I362" s="308" t="e">
        <v>#REF!</v>
      </c>
      <c r="J362" s="308" t="e">
        <v>#REF!</v>
      </c>
      <c r="K362" s="313" t="s">
        <v>226</v>
      </c>
      <c r="L362" s="308"/>
      <c r="M362" s="308"/>
      <c r="N362" s="308"/>
      <c r="O362" s="733">
        <v>1</v>
      </c>
      <c r="P362" s="731" t="s">
        <v>618</v>
      </c>
      <c r="Q362" s="308" t="str">
        <f>IF(R362="","включаем","не включаем")</f>
        <v>включаем</v>
      </c>
      <c r="R362" s="732"/>
      <c r="S362" s="308"/>
      <c r="T362" s="308" t="s">
        <v>566</v>
      </c>
      <c r="V362" s="731" t="s">
        <v>996</v>
      </c>
      <c r="W362" s="406">
        <v>46173</v>
      </c>
    </row>
    <row r="363" spans="1:38" customHeight="1" ht="22.5">
      <c r="A363" s="722" t="s">
        <v>2037</v>
      </c>
      <c r="B363" s="722" t="s">
        <v>2038</v>
      </c>
      <c r="D363" s="722" t="s">
        <v>2039</v>
      </c>
      <c r="E363" s="722" t="s">
        <v>2040</v>
      </c>
      <c r="F363" s="722" t="s">
        <v>216</v>
      </c>
      <c r="G363" s="722" t="s">
        <v>223</v>
      </c>
      <c r="H363" s="308" t="str">
        <f>IF(ISBLANK(B363),"-",IF(ISERROR(FIND("вич",B363,1)),"ж","м"))</f>
        <v>м</v>
      </c>
      <c r="I363" s="308" t="e">
        <v>#REF!</v>
      </c>
      <c r="J363" s="308" t="e">
        <v>#REF!</v>
      </c>
      <c r="K363" s="29" t="s">
        <v>219</v>
      </c>
      <c r="L363" s="308"/>
      <c r="M363" s="308"/>
      <c r="N363" s="308"/>
      <c r="O363" s="733">
        <v>1</v>
      </c>
      <c r="P363" s="731" t="s">
        <v>618</v>
      </c>
      <c r="Q363" s="308" t="str">
        <f>IF(R363="","включаем","не включаем")</f>
        <v>включаем</v>
      </c>
      <c r="R363" s="732"/>
      <c r="S363" s="308"/>
      <c r="T363" s="308" t="s">
        <v>566</v>
      </c>
      <c r="V363" s="731" t="s">
        <v>996</v>
      </c>
      <c r="W363" s="406">
        <v>46173</v>
      </c>
    </row>
    <row r="364" spans="1:38" customHeight="1" ht="22.5">
      <c r="A364" s="722" t="s">
        <v>2041</v>
      </c>
      <c r="B364" s="722" t="s">
        <v>2042</v>
      </c>
      <c r="D364" s="722" t="s">
        <v>2043</v>
      </c>
      <c r="E364" s="722" t="s">
        <v>2044</v>
      </c>
      <c r="F364" s="722" t="s">
        <v>216</v>
      </c>
      <c r="G364" s="722" t="s">
        <v>223</v>
      </c>
      <c r="H364" s="308" t="str">
        <f>IF(ISBLANK(B364),"-",IF(ISERROR(FIND("вич",B364,1)),"ж","м"))</f>
        <v>м</v>
      </c>
      <c r="I364" s="308" t="e">
        <v>#REF!</v>
      </c>
      <c r="J364" s="308" t="e">
        <v>#REF!</v>
      </c>
      <c r="K364" s="29" t="s">
        <v>219</v>
      </c>
      <c r="L364" s="308"/>
      <c r="M364" s="308"/>
      <c r="N364" s="308"/>
      <c r="O364" s="733">
        <v>1</v>
      </c>
      <c r="P364" s="731" t="s">
        <v>618</v>
      </c>
      <c r="Q364" s="308" t="str">
        <f>IF(R364="","включаем","не включаем")</f>
        <v>включаем</v>
      </c>
      <c r="R364" s="732"/>
      <c r="S364" s="308"/>
      <c r="T364" s="308" t="s">
        <v>566</v>
      </c>
      <c r="V364" s="731" t="s">
        <v>996</v>
      </c>
      <c r="W364" s="406">
        <v>46173</v>
      </c>
    </row>
    <row r="365" spans="1:38" customHeight="1" ht="22.5">
      <c r="A365" s="722" t="s">
        <v>2045</v>
      </c>
      <c r="B365" s="722" t="s">
        <v>2046</v>
      </c>
      <c r="D365" s="722" t="s">
        <v>2047</v>
      </c>
      <c r="E365" s="722" t="s">
        <v>2048</v>
      </c>
      <c r="F365" s="722" t="s">
        <v>216</v>
      </c>
      <c r="G365" s="722" t="s">
        <v>223</v>
      </c>
      <c r="H365" s="308" t="str">
        <f>IF(ISBLANK(B365),"-",IF(ISERROR(FIND("вич",B365,1)),"ж","м"))</f>
        <v>м</v>
      </c>
      <c r="I365" s="308" t="e">
        <v>#REF!</v>
      </c>
      <c r="J365" s="308" t="e">
        <v>#REF!</v>
      </c>
      <c r="K365" s="29" t="s">
        <v>219</v>
      </c>
      <c r="L365" s="308"/>
      <c r="M365" s="308"/>
      <c r="N365" s="308"/>
      <c r="O365" s="733">
        <v>1</v>
      </c>
      <c r="P365" s="731" t="s">
        <v>618</v>
      </c>
      <c r="Q365" s="308" t="str">
        <f>IF(R365="","включаем","не включаем")</f>
        <v>включаем</v>
      </c>
      <c r="R365" s="732"/>
      <c r="S365" s="308"/>
      <c r="T365" s="308" t="s">
        <v>566</v>
      </c>
      <c r="V365" s="731" t="s">
        <v>996</v>
      </c>
      <c r="W365" s="406">
        <v>46173</v>
      </c>
    </row>
    <row r="366" spans="1:38" customHeight="1" ht="22.5">
      <c r="A366" s="722" t="s">
        <v>2049</v>
      </c>
      <c r="B366" s="722" t="s">
        <v>2050</v>
      </c>
      <c r="D366" s="722" t="s">
        <v>1907</v>
      </c>
      <c r="E366" s="722" t="s">
        <v>2051</v>
      </c>
      <c r="F366" s="722" t="s">
        <v>216</v>
      </c>
      <c r="G366" s="722" t="s">
        <v>223</v>
      </c>
      <c r="H366" s="308" t="str">
        <f>IF(ISBLANK(B366),"-",IF(ISERROR(FIND("вич",B366,1)),"ж","м"))</f>
        <v>м</v>
      </c>
      <c r="I366" s="308" t="e">
        <v>#REF!</v>
      </c>
      <c r="J366" s="308" t="e">
        <v>#REF!</v>
      </c>
      <c r="K366" s="29" t="s">
        <v>219</v>
      </c>
      <c r="L366" s="308"/>
      <c r="M366" s="308"/>
      <c r="N366" s="308"/>
      <c r="O366" s="733">
        <v>1</v>
      </c>
      <c r="P366" s="731" t="s">
        <v>618</v>
      </c>
      <c r="Q366" s="308" t="str">
        <f>IF(R366="","включаем","не включаем")</f>
        <v>включаем</v>
      </c>
      <c r="R366" s="732"/>
      <c r="S366" s="308"/>
      <c r="T366" s="308" t="s">
        <v>566</v>
      </c>
      <c r="V366" s="731" t="s">
        <v>996</v>
      </c>
      <c r="W366" s="406">
        <v>46173</v>
      </c>
    </row>
    <row r="367" spans="1:38" customHeight="1" ht="22.5">
      <c r="A367" s="722" t="s">
        <v>2052</v>
      </c>
      <c r="B367" s="722" t="s">
        <v>2053</v>
      </c>
      <c r="D367" s="722" t="s">
        <v>2054</v>
      </c>
      <c r="E367" s="722" t="s">
        <v>2055</v>
      </c>
      <c r="F367" s="722" t="s">
        <v>216</v>
      </c>
      <c r="G367" s="722" t="s">
        <v>223</v>
      </c>
      <c r="H367" s="308" t="str">
        <f>IF(ISBLANK(B367),"-",IF(ISERROR(FIND("вич",B367,1)),"ж","м"))</f>
        <v>м</v>
      </c>
      <c r="I367" s="308" t="e">
        <v>#REF!</v>
      </c>
      <c r="J367" s="308" t="e">
        <v>#REF!</v>
      </c>
      <c r="K367" s="29" t="s">
        <v>219</v>
      </c>
      <c r="L367" s="308"/>
      <c r="M367" s="308"/>
      <c r="N367" s="308"/>
      <c r="O367" s="733">
        <v>1</v>
      </c>
      <c r="P367" s="731" t="s">
        <v>618</v>
      </c>
      <c r="Q367" s="308" t="str">
        <f>IF(R367="","включаем","не включаем")</f>
        <v>включаем</v>
      </c>
      <c r="R367" s="732"/>
      <c r="S367" s="308"/>
      <c r="T367" s="308" t="s">
        <v>566</v>
      </c>
      <c r="V367" s="731" t="s">
        <v>996</v>
      </c>
      <c r="W367" s="406">
        <v>46173</v>
      </c>
    </row>
    <row r="368" spans="1:38" customHeight="1" ht="22.5">
      <c r="A368" s="722" t="s">
        <v>2056</v>
      </c>
      <c r="B368" s="722" t="s">
        <v>2057</v>
      </c>
      <c r="D368" s="722" t="s">
        <v>2058</v>
      </c>
      <c r="E368" s="722" t="s">
        <v>2059</v>
      </c>
      <c r="F368" s="722" t="s">
        <v>216</v>
      </c>
      <c r="G368" s="722" t="s">
        <v>223</v>
      </c>
      <c r="H368" s="308" t="str">
        <f>IF(ISBLANK(B368),"-",IF(ISERROR(FIND("вич",B368,1)),"ж","м"))</f>
        <v>м</v>
      </c>
      <c r="I368" s="308" t="e">
        <v>#REF!</v>
      </c>
      <c r="J368" s="308" t="e">
        <v>#REF!</v>
      </c>
      <c r="K368" s="29" t="s">
        <v>219</v>
      </c>
      <c r="L368" s="308"/>
      <c r="M368" s="308"/>
      <c r="N368" s="308"/>
      <c r="O368" s="733">
        <v>1</v>
      </c>
      <c r="P368" s="731" t="s">
        <v>618</v>
      </c>
      <c r="Q368" s="308" t="str">
        <f>IF(R368="","включаем","не включаем")</f>
        <v>включаем</v>
      </c>
      <c r="R368" s="732"/>
      <c r="S368" s="308"/>
      <c r="T368" s="308" t="s">
        <v>566</v>
      </c>
      <c r="V368" s="731" t="s">
        <v>996</v>
      </c>
      <c r="W368" s="406">
        <v>46173</v>
      </c>
    </row>
    <row r="369" spans="1:38" customHeight="1" ht="22.5">
      <c r="A369" s="722" t="s">
        <v>2060</v>
      </c>
      <c r="B369" s="722" t="s">
        <v>2061</v>
      </c>
      <c r="D369" s="722" t="s">
        <v>2058</v>
      </c>
      <c r="E369" s="722" t="s">
        <v>2062</v>
      </c>
      <c r="F369" s="722" t="s">
        <v>216</v>
      </c>
      <c r="G369" s="722" t="s">
        <v>222</v>
      </c>
      <c r="H369" s="308" t="str">
        <f>IF(ISBLANK(B369),"-",IF(ISERROR(FIND("вич",B369,1)),"ж","м"))</f>
        <v>ж</v>
      </c>
      <c r="I369" s="308" t="e">
        <v>#REF!</v>
      </c>
      <c r="J369" s="308" t="e">
        <v>#REF!</v>
      </c>
      <c r="K369" s="29" t="s">
        <v>219</v>
      </c>
      <c r="L369" s="308"/>
      <c r="M369" s="308"/>
      <c r="N369" s="308"/>
      <c r="O369" s="733">
        <v>1</v>
      </c>
      <c r="P369" s="731" t="s">
        <v>618</v>
      </c>
      <c r="Q369" s="308" t="str">
        <f>IF(R369="","включаем","не включаем")</f>
        <v>включаем</v>
      </c>
      <c r="R369" s="732"/>
      <c r="S369" s="308"/>
      <c r="T369" s="308" t="s">
        <v>566</v>
      </c>
      <c r="V369" s="731" t="s">
        <v>996</v>
      </c>
      <c r="W369" s="406">
        <v>46173</v>
      </c>
    </row>
    <row r="370" spans="1:38" customHeight="1" ht="33.75">
      <c r="A370" s="722" t="s">
        <v>2063</v>
      </c>
      <c r="B370" s="722" t="s">
        <v>2064</v>
      </c>
      <c r="D370" s="722" t="s">
        <v>2065</v>
      </c>
      <c r="E370" s="722" t="s">
        <v>2066</v>
      </c>
      <c r="F370" s="722" t="s">
        <v>216</v>
      </c>
      <c r="G370" s="722" t="s">
        <v>183</v>
      </c>
      <c r="H370" s="308" t="str">
        <f>IF(ISBLANK(B370),"-",IF(ISERROR(FIND("вич",B370,1)),"ж","м"))</f>
        <v>м</v>
      </c>
      <c r="I370" s="308" t="e">
        <v>#REF!</v>
      </c>
      <c r="J370" s="308" t="e">
        <v>#REF!</v>
      </c>
      <c r="K370" s="29" t="s">
        <v>219</v>
      </c>
      <c r="L370" s="308"/>
      <c r="M370" s="308"/>
      <c r="N370" s="308"/>
      <c r="O370" s="733">
        <v>1</v>
      </c>
      <c r="P370" s="731" t="s">
        <v>618</v>
      </c>
      <c r="Q370" s="308" t="str">
        <f>IF(R370="","включаем","не включаем")</f>
        <v>включаем</v>
      </c>
      <c r="R370" s="732"/>
      <c r="S370" s="308"/>
      <c r="T370" s="308" t="s">
        <v>566</v>
      </c>
      <c r="V370" s="731" t="s">
        <v>996</v>
      </c>
      <c r="W370" s="406">
        <v>46173</v>
      </c>
    </row>
    <row r="371" spans="1:38" customHeight="1" ht="22.5">
      <c r="A371" s="722" t="s">
        <v>2067</v>
      </c>
      <c r="B371" s="722" t="s">
        <v>2068</v>
      </c>
      <c r="D371" s="722" t="s">
        <v>2058</v>
      </c>
      <c r="E371" s="722" t="s">
        <v>2069</v>
      </c>
      <c r="F371" s="722" t="s">
        <v>216</v>
      </c>
      <c r="G371" s="722" t="s">
        <v>220</v>
      </c>
      <c r="H371" s="308" t="str">
        <f>IF(ISBLANK(B371),"-",IF(ISERROR(FIND("вич",B371,1)),"ж","м"))</f>
        <v>м</v>
      </c>
      <c r="I371" s="308" t="e">
        <v>#REF!</v>
      </c>
      <c r="J371" s="308" t="e">
        <v>#REF!</v>
      </c>
      <c r="K371" s="29" t="s">
        <v>219</v>
      </c>
      <c r="L371" s="308"/>
      <c r="M371" s="308"/>
      <c r="N371" s="308"/>
      <c r="O371" s="733">
        <v>1</v>
      </c>
      <c r="P371" s="731" t="s">
        <v>618</v>
      </c>
      <c r="Q371" s="308" t="str">
        <f>IF(R371="","включаем","не включаем")</f>
        <v>включаем</v>
      </c>
      <c r="R371" s="732"/>
      <c r="S371" s="308"/>
      <c r="T371" s="308" t="s">
        <v>566</v>
      </c>
      <c r="V371" s="731" t="s">
        <v>996</v>
      </c>
      <c r="W371" s="406">
        <v>46173</v>
      </c>
    </row>
    <row r="372" spans="1:38" customHeight="1" ht="22.5">
      <c r="A372" s="722" t="s">
        <v>2070</v>
      </c>
      <c r="B372" s="722" t="s">
        <v>2071</v>
      </c>
      <c r="D372" s="722" t="s">
        <v>2072</v>
      </c>
      <c r="E372" s="722" t="s">
        <v>2073</v>
      </c>
      <c r="F372" s="722" t="s">
        <v>216</v>
      </c>
      <c r="G372" s="722" t="s">
        <v>470</v>
      </c>
      <c r="H372" s="308" t="str">
        <f>IF(ISBLANK(B372),"-",IF(ISERROR(FIND("вич",B372,1)),"ж","м"))</f>
        <v>м</v>
      </c>
      <c r="I372" s="308" t="e">
        <v>#REF!</v>
      </c>
      <c r="J372" s="308" t="e">
        <v>#REF!</v>
      </c>
      <c r="K372" s="29" t="s">
        <v>219</v>
      </c>
      <c r="L372" s="308"/>
      <c r="M372" s="308"/>
      <c r="N372" s="308"/>
      <c r="O372" s="733">
        <v>1</v>
      </c>
      <c r="P372" s="731" t="s">
        <v>618</v>
      </c>
      <c r="Q372" s="308" t="str">
        <f>IF(R372="","включаем","не включаем")</f>
        <v>включаем</v>
      </c>
      <c r="R372" s="732"/>
      <c r="S372" s="308"/>
      <c r="T372" s="308" t="s">
        <v>566</v>
      </c>
      <c r="V372" s="731" t="s">
        <v>996</v>
      </c>
      <c r="W372" s="406">
        <v>46173</v>
      </c>
    </row>
    <row r="373" spans="1:38" customHeight="1" ht="33.75">
      <c r="A373" s="722" t="s">
        <v>2074</v>
      </c>
      <c r="B373" s="722" t="s">
        <v>2075</v>
      </c>
      <c r="D373" s="722" t="s">
        <v>2058</v>
      </c>
      <c r="E373" s="722" t="s">
        <v>2076</v>
      </c>
      <c r="F373" s="722" t="s">
        <v>216</v>
      </c>
      <c r="G373" s="722" t="s">
        <v>221</v>
      </c>
      <c r="H373" s="308" t="str">
        <f>IF(ISBLANK(B373),"-",IF(ISERROR(FIND("вич",B373,1)),"ж","м"))</f>
        <v>м</v>
      </c>
      <c r="I373" s="308" t="e">
        <v>#REF!</v>
      </c>
      <c r="J373" s="308" t="e">
        <v>#REF!</v>
      </c>
      <c r="K373" s="29" t="s">
        <v>219</v>
      </c>
      <c r="L373" s="308"/>
      <c r="M373" s="308"/>
      <c r="N373" s="308"/>
      <c r="O373" s="733">
        <v>1</v>
      </c>
      <c r="P373" s="731" t="s">
        <v>618</v>
      </c>
      <c r="Q373" s="308" t="str">
        <f>IF(R373="","включаем","не включаем")</f>
        <v>включаем</v>
      </c>
      <c r="R373" s="732"/>
      <c r="S373" s="308"/>
      <c r="T373" s="308" t="s">
        <v>566</v>
      </c>
      <c r="V373" s="731" t="s">
        <v>996</v>
      </c>
      <c r="W373" s="406">
        <v>46173</v>
      </c>
    </row>
    <row r="374" spans="1:38" customHeight="1" ht="33.75">
      <c r="A374" s="722" t="s">
        <v>2077</v>
      </c>
      <c r="B374" s="722" t="s">
        <v>2078</v>
      </c>
      <c r="D374" s="722" t="s">
        <v>2079</v>
      </c>
      <c r="E374" s="722" t="s">
        <v>2080</v>
      </c>
      <c r="F374" s="722" t="s">
        <v>437</v>
      </c>
      <c r="G374" s="722" t="s">
        <v>439</v>
      </c>
      <c r="H374" s="308" t="str">
        <f>IF(ISBLANK(B374),"-",IF(ISERROR(FIND("вич",B374,1)),"ж","м"))</f>
        <v>м</v>
      </c>
      <c r="I374" s="308" t="e">
        <v>#REF!</v>
      </c>
      <c r="J374" s="308" t="e">
        <v>#REF!</v>
      </c>
      <c r="K374" s="29" t="s">
        <v>219</v>
      </c>
      <c r="L374" s="308"/>
      <c r="M374" s="308"/>
      <c r="N374" s="308"/>
      <c r="O374" s="733">
        <v>1</v>
      </c>
      <c r="P374" s="731" t="s">
        <v>618</v>
      </c>
      <c r="Q374" s="308" t="str">
        <f>IF(R374="","включаем","не включаем")</f>
        <v>включаем</v>
      </c>
      <c r="R374" s="732"/>
      <c r="S374" s="308"/>
      <c r="T374" s="308" t="s">
        <v>566</v>
      </c>
      <c r="V374" s="731" t="s">
        <v>996</v>
      </c>
      <c r="W374" s="406">
        <v>46173</v>
      </c>
    </row>
    <row r="375" spans="1:38" customHeight="1" ht="33.75">
      <c r="A375" s="722" t="s">
        <v>2081</v>
      </c>
      <c r="B375" s="722" t="s">
        <v>2082</v>
      </c>
      <c r="D375" s="722" t="s">
        <v>2083</v>
      </c>
      <c r="E375" s="722" t="s">
        <v>2084</v>
      </c>
      <c r="F375" s="722" t="s">
        <v>437</v>
      </c>
      <c r="G375" s="722" t="s">
        <v>439</v>
      </c>
      <c r="H375" s="308" t="str">
        <f>IF(ISBLANK(B375),"-",IF(ISERROR(FIND("вич",B375,1)),"ж","м"))</f>
        <v>ж</v>
      </c>
      <c r="I375" s="308" t="e">
        <v>#REF!</v>
      </c>
      <c r="J375" s="308" t="e">
        <v>#REF!</v>
      </c>
      <c r="K375" s="29" t="s">
        <v>219</v>
      </c>
      <c r="L375" s="308"/>
      <c r="M375" s="308"/>
      <c r="N375" s="308"/>
      <c r="O375" s="733">
        <v>1</v>
      </c>
      <c r="P375" s="731" t="s">
        <v>618</v>
      </c>
      <c r="Q375" s="308" t="str">
        <f>IF(R375="","включаем","не включаем")</f>
        <v>включаем</v>
      </c>
      <c r="R375" s="732"/>
      <c r="S375" s="308"/>
      <c r="T375" s="308" t="s">
        <v>566</v>
      </c>
      <c r="V375" s="731" t="s">
        <v>996</v>
      </c>
      <c r="W375" s="406">
        <v>46173</v>
      </c>
    </row>
    <row r="376" spans="1:38" customHeight="1" ht="33.75">
      <c r="A376" s="722" t="s">
        <v>2085</v>
      </c>
      <c r="B376" s="722" t="s">
        <v>2086</v>
      </c>
      <c r="D376" s="722" t="s">
        <v>2058</v>
      </c>
      <c r="E376" s="722" t="s">
        <v>2087</v>
      </c>
      <c r="F376" s="722" t="s">
        <v>437</v>
      </c>
      <c r="G376" s="722" t="s">
        <v>439</v>
      </c>
      <c r="H376" s="308" t="str">
        <f>IF(ISBLANK(B376),"-",IF(ISERROR(FIND("вич",B376,1)),"ж","м"))</f>
        <v>м</v>
      </c>
      <c r="I376" s="308" t="e">
        <v>#REF!</v>
      </c>
      <c r="J376" s="308" t="e">
        <v>#REF!</v>
      </c>
      <c r="K376" s="29" t="s">
        <v>219</v>
      </c>
      <c r="L376" s="308"/>
      <c r="M376" s="308"/>
      <c r="N376" s="308"/>
      <c r="O376" s="733">
        <v>1</v>
      </c>
      <c r="P376" s="731" t="s">
        <v>618</v>
      </c>
      <c r="Q376" s="308" t="str">
        <f>IF(R376="","включаем","не включаем")</f>
        <v>включаем</v>
      </c>
      <c r="R376" s="732"/>
      <c r="S376" s="308"/>
      <c r="T376" s="308" t="s">
        <v>566</v>
      </c>
      <c r="V376" s="731" t="s">
        <v>996</v>
      </c>
      <c r="W376" s="406">
        <v>46173</v>
      </c>
    </row>
    <row r="377" spans="1:38" customHeight="1" ht="33.75">
      <c r="A377" s="722" t="s">
        <v>2088</v>
      </c>
      <c r="B377" s="722" t="s">
        <v>2089</v>
      </c>
      <c r="D377" s="722" t="s">
        <v>2058</v>
      </c>
      <c r="E377" s="722" t="s">
        <v>2090</v>
      </c>
      <c r="F377" s="722" t="s">
        <v>437</v>
      </c>
      <c r="G377" s="722" t="s">
        <v>384</v>
      </c>
      <c r="H377" s="308" t="str">
        <f>IF(ISBLANK(B377),"-",IF(ISERROR(FIND("вич",B377,1)),"ж","м"))</f>
        <v>м</v>
      </c>
      <c r="I377" s="308" t="e">
        <v>#REF!</v>
      </c>
      <c r="J377" s="308" t="e">
        <v>#REF!</v>
      </c>
      <c r="K377" s="29" t="s">
        <v>219</v>
      </c>
      <c r="L377" s="308"/>
      <c r="M377" s="308"/>
      <c r="N377" s="308"/>
      <c r="O377" s="733">
        <v>1</v>
      </c>
      <c r="P377" s="731" t="s">
        <v>618</v>
      </c>
      <c r="Q377" s="308" t="str">
        <f>IF(R377="","включаем","не включаем")</f>
        <v>включаем</v>
      </c>
      <c r="R377" s="732"/>
      <c r="S377" s="308"/>
      <c r="T377" s="308" t="s">
        <v>566</v>
      </c>
      <c r="V377" s="731" t="s">
        <v>996</v>
      </c>
      <c r="W377" s="406">
        <v>46173</v>
      </c>
    </row>
    <row r="378" spans="1:38" customHeight="1" ht="33.75">
      <c r="A378" s="722" t="s">
        <v>2091</v>
      </c>
      <c r="B378" s="722" t="s">
        <v>2092</v>
      </c>
      <c r="D378" s="722" t="s">
        <v>2058</v>
      </c>
      <c r="E378" s="723" t="s">
        <v>2093</v>
      </c>
      <c r="F378" s="722" t="s">
        <v>437</v>
      </c>
      <c r="G378" s="722" t="s">
        <v>498</v>
      </c>
      <c r="H378" s="308" t="str">
        <f>IF(ISBLANK(B378),"-",IF(ISERROR(FIND("вич",B378,1)),"ж","м"))</f>
        <v>ж</v>
      </c>
      <c r="I378" s="308" t="e">
        <v>#REF!</v>
      </c>
      <c r="J378" s="308" t="e">
        <v>#REF!</v>
      </c>
      <c r="K378" s="29" t="s">
        <v>219</v>
      </c>
      <c r="L378" s="308"/>
      <c r="M378" s="308"/>
      <c r="N378" s="308"/>
      <c r="O378" s="733">
        <v>1</v>
      </c>
      <c r="P378" s="731" t="s">
        <v>618</v>
      </c>
      <c r="Q378" s="308" t="str">
        <f>IF(R378="","включаем","не включаем")</f>
        <v>включаем</v>
      </c>
      <c r="R378" s="732"/>
      <c r="S378" s="308"/>
      <c r="T378" s="308" t="s">
        <v>566</v>
      </c>
      <c r="V378" s="731" t="s">
        <v>996</v>
      </c>
      <c r="W378" s="406">
        <v>46173</v>
      </c>
    </row>
    <row r="379" spans="1:38" customHeight="1" ht="33.75">
      <c r="A379" s="722" t="s">
        <v>2094</v>
      </c>
      <c r="B379" s="722" t="s">
        <v>2095</v>
      </c>
      <c r="D379" s="722" t="s">
        <v>2096</v>
      </c>
      <c r="E379" s="722" t="s">
        <v>2097</v>
      </c>
      <c r="F379" s="722" t="s">
        <v>410</v>
      </c>
      <c r="G379" s="722" t="s">
        <v>232</v>
      </c>
      <c r="H379" s="308" t="str">
        <f>IF(ISBLANK(B379),"-",IF(ISERROR(FIND("вич",B379,1)),"ж","м"))</f>
        <v>м</v>
      </c>
      <c r="I379" s="308" t="e">
        <v>#REF!</v>
      </c>
      <c r="J379" s="308" t="e">
        <v>#REF!</v>
      </c>
      <c r="K379" s="313" t="s">
        <v>226</v>
      </c>
      <c r="L379" s="308"/>
      <c r="M379" s="308"/>
      <c r="N379" s="308"/>
      <c r="O379" s="733">
        <v>1</v>
      </c>
      <c r="P379" s="731" t="s">
        <v>618</v>
      </c>
      <c r="Q379" s="308" t="str">
        <f>IF(R379="","включаем","не включаем")</f>
        <v>включаем</v>
      </c>
      <c r="R379" s="732"/>
      <c r="S379" s="308"/>
      <c r="T379" s="308" t="s">
        <v>566</v>
      </c>
      <c r="V379" s="731" t="s">
        <v>996</v>
      </c>
      <c r="W379" s="406">
        <v>46173</v>
      </c>
    </row>
    <row r="380" spans="1:38" customHeight="1" ht="33.75">
      <c r="A380" s="722" t="s">
        <v>2098</v>
      </c>
      <c r="B380" s="722" t="s">
        <v>2099</v>
      </c>
      <c r="D380" s="722" t="s">
        <v>2100</v>
      </c>
      <c r="E380" s="722" t="s">
        <v>1952</v>
      </c>
      <c r="F380" s="722" t="s">
        <v>410</v>
      </c>
      <c r="G380" s="722" t="s">
        <v>232</v>
      </c>
      <c r="H380" s="308" t="str">
        <f>IF(ISBLANK(B380),"-",IF(ISERROR(FIND("вич",B380,1)),"ж","м"))</f>
        <v>м</v>
      </c>
      <c r="I380" s="308" t="e">
        <v>#REF!</v>
      </c>
      <c r="J380" s="308" t="e">
        <v>#REF!</v>
      </c>
      <c r="K380" s="313" t="s">
        <v>226</v>
      </c>
      <c r="L380" s="308"/>
      <c r="M380" s="308"/>
      <c r="N380" s="308"/>
      <c r="O380" s="733">
        <v>1</v>
      </c>
      <c r="P380" s="731" t="s">
        <v>618</v>
      </c>
      <c r="Q380" s="308" t="str">
        <f>IF(R380="","включаем","не включаем")</f>
        <v>включаем</v>
      </c>
      <c r="R380" s="732"/>
      <c r="S380" s="308"/>
      <c r="T380" s="308" t="s">
        <v>566</v>
      </c>
      <c r="V380" s="731" t="s">
        <v>996</v>
      </c>
      <c r="W380" s="406">
        <v>46173</v>
      </c>
    </row>
    <row r="381" spans="1:38" customHeight="1" ht="33.75">
      <c r="A381" s="722" t="s">
        <v>2101</v>
      </c>
      <c r="B381" s="722" t="s">
        <v>2102</v>
      </c>
      <c r="D381" s="722" t="s">
        <v>2103</v>
      </c>
      <c r="E381" s="722" t="s">
        <v>2104</v>
      </c>
      <c r="F381" s="722" t="s">
        <v>410</v>
      </c>
      <c r="G381" s="722" t="s">
        <v>497</v>
      </c>
      <c r="H381" s="308" t="str">
        <f>IF(ISBLANK(B381),"-",IF(ISERROR(FIND("вич",B381,1)),"ж","м"))</f>
        <v>м</v>
      </c>
      <c r="I381" s="308" t="e">
        <v>#REF!</v>
      </c>
      <c r="J381" s="308" t="e">
        <v>#REF!</v>
      </c>
      <c r="K381" s="313" t="s">
        <v>226</v>
      </c>
      <c r="L381" s="308"/>
      <c r="M381" s="308"/>
      <c r="N381" s="308"/>
      <c r="O381" s="733">
        <v>1</v>
      </c>
      <c r="P381" s="731" t="s">
        <v>618</v>
      </c>
      <c r="Q381" s="308" t="str">
        <f>IF(R381="","включаем","не включаем")</f>
        <v>включаем</v>
      </c>
      <c r="R381" s="732"/>
      <c r="S381" s="308"/>
      <c r="T381" s="308" t="s">
        <v>566</v>
      </c>
      <c r="V381" s="731" t="s">
        <v>996</v>
      </c>
      <c r="W381" s="406">
        <v>46173</v>
      </c>
    </row>
    <row r="382" spans="1:38" customHeight="1" ht="33.75">
      <c r="A382" s="722" t="s">
        <v>2105</v>
      </c>
      <c r="B382" s="722" t="s">
        <v>2106</v>
      </c>
      <c r="D382" s="722" t="s">
        <v>2107</v>
      </c>
      <c r="E382" s="722" t="s">
        <v>2108</v>
      </c>
      <c r="F382" s="722" t="s">
        <v>410</v>
      </c>
      <c r="G382" s="722" t="s">
        <v>411</v>
      </c>
      <c r="H382" s="308" t="str">
        <f>IF(ISBLANK(B382),"-",IF(ISERROR(FIND("вич",B382,1)),"ж","м"))</f>
        <v>м</v>
      </c>
      <c r="I382" s="308" t="e">
        <v>#REF!</v>
      </c>
      <c r="J382" s="308" t="e">
        <v>#REF!</v>
      </c>
      <c r="K382" s="313" t="s">
        <v>226</v>
      </c>
      <c r="L382" s="308"/>
      <c r="M382" s="308"/>
      <c r="N382" s="308"/>
      <c r="O382" s="733">
        <v>1</v>
      </c>
      <c r="P382" s="731" t="s">
        <v>618</v>
      </c>
      <c r="Q382" s="308" t="str">
        <f>IF(R382="","включаем","не включаем")</f>
        <v>включаем</v>
      </c>
      <c r="R382" s="732"/>
      <c r="S382" s="308"/>
      <c r="T382" s="308" t="s">
        <v>566</v>
      </c>
      <c r="V382" s="731" t="s">
        <v>996</v>
      </c>
      <c r="W382" s="406">
        <v>46173</v>
      </c>
    </row>
    <row r="383" spans="1:38" customHeight="1" ht="33.75">
      <c r="A383" s="722" t="s">
        <v>2109</v>
      </c>
      <c r="B383" s="722" t="s">
        <v>2110</v>
      </c>
      <c r="D383" s="722" t="s">
        <v>2111</v>
      </c>
      <c r="E383" s="722" t="s">
        <v>2112</v>
      </c>
      <c r="F383" s="722" t="s">
        <v>2113</v>
      </c>
      <c r="G383" s="722" t="s">
        <v>194</v>
      </c>
      <c r="H383" s="308" t="str">
        <f>IF(ISBLANK(B383),"-",IF(ISERROR(FIND("вич",B383,1)),"ж","м"))</f>
        <v>м</v>
      </c>
      <c r="I383" s="308" t="e">
        <v>#REF!</v>
      </c>
      <c r="J383" s="308" t="e">
        <v>#REF!</v>
      </c>
      <c r="K383" s="313" t="s">
        <v>226</v>
      </c>
      <c r="L383" s="308"/>
      <c r="M383" s="308"/>
      <c r="N383" s="308"/>
      <c r="O383" s="733">
        <v>1</v>
      </c>
      <c r="P383" s="731" t="s">
        <v>618</v>
      </c>
      <c r="Q383" s="308" t="str">
        <f>IF(R383="","включаем","не включаем")</f>
        <v>не включаем</v>
      </c>
      <c r="R383" s="732" t="s">
        <v>573</v>
      </c>
      <c r="S383" s="308"/>
      <c r="T383" s="308" t="s">
        <v>566</v>
      </c>
      <c r="V383" s="731" t="s">
        <v>996</v>
      </c>
      <c r="W383" s="406">
        <v>46173</v>
      </c>
    </row>
    <row r="384" spans="1:38" customHeight="1" ht="33.75">
      <c r="A384" s="722" t="s">
        <v>2114</v>
      </c>
      <c r="B384" s="722" t="s">
        <v>2115</v>
      </c>
      <c r="D384" s="722" t="s">
        <v>2116</v>
      </c>
      <c r="E384" s="722" t="s">
        <v>2117</v>
      </c>
      <c r="F384" s="722" t="s">
        <v>2113</v>
      </c>
      <c r="G384" s="722" t="s">
        <v>285</v>
      </c>
      <c r="H384" s="308" t="str">
        <f>IF(ISBLANK(B384),"-",IF(ISERROR(FIND("вич",B384,1)),"ж","м"))</f>
        <v>м</v>
      </c>
      <c r="I384" s="308" t="e">
        <v>#REF!</v>
      </c>
      <c r="J384" s="308" t="e">
        <v>#REF!</v>
      </c>
      <c r="K384" s="313" t="s">
        <v>226</v>
      </c>
      <c r="L384" s="308"/>
      <c r="M384" s="308"/>
      <c r="N384" s="308"/>
      <c r="O384" s="733">
        <v>1</v>
      </c>
      <c r="P384" s="731" t="s">
        <v>618</v>
      </c>
      <c r="Q384" s="308" t="str">
        <f>IF(R384="","включаем","не включаем")</f>
        <v>включаем</v>
      </c>
      <c r="R384" s="732"/>
      <c r="S384" s="308"/>
      <c r="T384" s="308" t="s">
        <v>566</v>
      </c>
      <c r="V384" s="731" t="s">
        <v>996</v>
      </c>
      <c r="W384" s="406">
        <v>46173</v>
      </c>
    </row>
    <row r="385" spans="1:38" customHeight="1" ht="45">
      <c r="A385" s="722" t="s">
        <v>2118</v>
      </c>
      <c r="B385" s="722" t="s">
        <v>2119</v>
      </c>
      <c r="D385" s="722" t="s">
        <v>1007</v>
      </c>
      <c r="E385" s="723" t="s">
        <v>2120</v>
      </c>
      <c r="F385" s="722" t="s">
        <v>2121</v>
      </c>
      <c r="G385" s="722" t="s">
        <v>458</v>
      </c>
      <c r="H385" s="308" t="str">
        <f>IF(ISBLANK(B385),"-",IF(ISERROR(FIND("вич",B385,1)),"ж","м"))</f>
        <v>ж</v>
      </c>
      <c r="I385" s="308" t="e">
        <v>#REF!</v>
      </c>
      <c r="J385" s="308" t="e">
        <v>#REF!</v>
      </c>
      <c r="K385" s="29" t="s">
        <v>226</v>
      </c>
      <c r="L385" s="308"/>
      <c r="M385" s="308"/>
      <c r="N385" s="308"/>
      <c r="O385" s="733">
        <v>1</v>
      </c>
      <c r="P385" s="731" t="s">
        <v>618</v>
      </c>
      <c r="Q385" s="308" t="str">
        <f>IF(R385="","включаем","не включаем")</f>
        <v>включаем</v>
      </c>
      <c r="R385" s="732"/>
      <c r="S385" s="308"/>
      <c r="T385" s="308" t="s">
        <v>566</v>
      </c>
      <c r="V385" s="731" t="s">
        <v>996</v>
      </c>
      <c r="W385" s="406">
        <v>46173</v>
      </c>
    </row>
    <row r="386" spans="1:38" customHeight="1" ht="56.25">
      <c r="A386" s="722" t="s">
        <v>2122</v>
      </c>
      <c r="B386" s="722" t="s">
        <v>2123</v>
      </c>
      <c r="D386" s="722" t="s">
        <v>1393</v>
      </c>
      <c r="E386" s="722" t="s">
        <v>2124</v>
      </c>
      <c r="F386" s="722" t="s">
        <v>2121</v>
      </c>
      <c r="G386" s="722" t="s">
        <v>2125</v>
      </c>
      <c r="H386" s="308" t="str">
        <f>IF(ISBLANK(B386),"-",IF(ISERROR(FIND("вич",B386,1)),"ж","м"))</f>
        <v>ж</v>
      </c>
      <c r="I386" s="308" t="e">
        <v>#REF!</v>
      </c>
      <c r="J386" s="308" t="e">
        <v>#REF!</v>
      </c>
      <c r="K386" s="29" t="s">
        <v>226</v>
      </c>
      <c r="L386" s="308"/>
      <c r="M386" s="308"/>
      <c r="N386" s="308"/>
      <c r="O386" s="733">
        <v>1</v>
      </c>
      <c r="P386" s="731" t="s">
        <v>618</v>
      </c>
      <c r="Q386" s="308" t="str">
        <f>IF(R386="","включаем","не включаем")</f>
        <v>включаем</v>
      </c>
      <c r="R386" s="732"/>
      <c r="S386" s="308"/>
      <c r="T386" s="308" t="s">
        <v>566</v>
      </c>
      <c r="V386" s="731" t="s">
        <v>996</v>
      </c>
      <c r="W386" s="406">
        <v>46173</v>
      </c>
    </row>
    <row r="387" spans="1:38" customHeight="1" ht="22.5">
      <c r="A387" s="722" t="s">
        <v>671</v>
      </c>
      <c r="B387" s="722" t="s">
        <v>2126</v>
      </c>
      <c r="D387" s="722" t="s">
        <v>2127</v>
      </c>
      <c r="E387" s="722" t="s">
        <v>2128</v>
      </c>
      <c r="F387" s="722" t="s">
        <v>2121</v>
      </c>
      <c r="G387" s="722" t="s">
        <v>2129</v>
      </c>
      <c r="H387" s="308" t="str">
        <f>IF(ISBLANK(B387),"-",IF(ISERROR(FIND("вич",B387,1)),"ж","м"))</f>
        <v>ж</v>
      </c>
      <c r="I387" s="308" t="e">
        <v>#REF!</v>
      </c>
      <c r="J387" s="308" t="e">
        <v>#REF!</v>
      </c>
      <c r="K387" s="29" t="s">
        <v>226</v>
      </c>
      <c r="L387" s="308"/>
      <c r="M387" s="308"/>
      <c r="N387" s="308"/>
      <c r="O387" s="733">
        <v>1</v>
      </c>
      <c r="P387" s="731" t="s">
        <v>618</v>
      </c>
      <c r="Q387" s="308" t="str">
        <f>IF(R387="","включаем","не включаем")</f>
        <v>включаем</v>
      </c>
      <c r="R387" s="732"/>
      <c r="S387" s="308"/>
      <c r="T387" s="308" t="s">
        <v>566</v>
      </c>
      <c r="V387" s="731" t="s">
        <v>996</v>
      </c>
      <c r="W387" s="406">
        <v>46173</v>
      </c>
    </row>
    <row r="388" spans="1:38" customHeight="1" ht="56.25">
      <c r="A388" s="722" t="s">
        <v>2130</v>
      </c>
      <c r="B388" s="722" t="s">
        <v>2131</v>
      </c>
      <c r="D388" s="722" t="s">
        <v>2132</v>
      </c>
      <c r="E388" s="722" t="s">
        <v>2133</v>
      </c>
      <c r="F388" s="722" t="s">
        <v>2121</v>
      </c>
      <c r="G388" s="722" t="s">
        <v>2134</v>
      </c>
      <c r="H388" s="308" t="str">
        <f>IF(ISBLANK(B388),"-",IF(ISERROR(FIND("вич",B388,1)),"ж","м"))</f>
        <v>ж</v>
      </c>
      <c r="I388" s="308" t="e">
        <v>#REF!</v>
      </c>
      <c r="J388" s="308" t="e">
        <v>#REF!</v>
      </c>
      <c r="K388" s="29" t="s">
        <v>226</v>
      </c>
      <c r="L388" s="308"/>
      <c r="M388" s="308"/>
      <c r="N388" s="308"/>
      <c r="O388" s="733">
        <v>1</v>
      </c>
      <c r="P388" s="731" t="s">
        <v>618</v>
      </c>
      <c r="Q388" s="308" t="str">
        <f>IF(R388="","включаем","не включаем")</f>
        <v>включаем</v>
      </c>
      <c r="R388" s="732"/>
      <c r="S388" s="308"/>
      <c r="T388" s="308" t="s">
        <v>566</v>
      </c>
      <c r="V388" s="731" t="s">
        <v>996</v>
      </c>
      <c r="W388" s="406">
        <v>46173</v>
      </c>
    </row>
    <row r="389" spans="1:38" customHeight="1" ht="56.25">
      <c r="A389" s="722" t="s">
        <v>2135</v>
      </c>
      <c r="B389" s="722" t="s">
        <v>2136</v>
      </c>
      <c r="D389" s="722" t="s">
        <v>1581</v>
      </c>
      <c r="E389" s="722" t="s">
        <v>2137</v>
      </c>
      <c r="F389" s="722" t="s">
        <v>2121</v>
      </c>
      <c r="G389" s="722" t="s">
        <v>2138</v>
      </c>
      <c r="H389" s="308" t="str">
        <f>IF(ISBLANK(B389),"-",IF(ISERROR(FIND("вич",B389,1)),"ж","м"))</f>
        <v>ж</v>
      </c>
      <c r="I389" s="308" t="e">
        <v>#REF!</v>
      </c>
      <c r="J389" s="308" t="e">
        <v>#REF!</v>
      </c>
      <c r="K389" s="29" t="s">
        <v>226</v>
      </c>
      <c r="L389" s="308"/>
      <c r="M389" s="308"/>
      <c r="N389" s="308"/>
      <c r="O389" s="733">
        <v>1</v>
      </c>
      <c r="P389" s="731" t="s">
        <v>618</v>
      </c>
      <c r="Q389" s="308" t="str">
        <f>IF(R389="","включаем","не включаем")</f>
        <v>включаем</v>
      </c>
      <c r="R389" s="732"/>
      <c r="S389" s="308"/>
      <c r="T389" s="308" t="s">
        <v>566</v>
      </c>
      <c r="V389" s="731" t="s">
        <v>996</v>
      </c>
      <c r="W389" s="406">
        <v>46173</v>
      </c>
    </row>
    <row r="390" spans="1:38" customHeight="1" ht="33.75">
      <c r="A390" s="722" t="s">
        <v>2139</v>
      </c>
      <c r="B390" s="722" t="s">
        <v>2140</v>
      </c>
      <c r="D390" s="722" t="s">
        <v>742</v>
      </c>
      <c r="E390" s="722" t="s">
        <v>2141</v>
      </c>
      <c r="F390" s="722" t="s">
        <v>2142</v>
      </c>
      <c r="G390" s="722" t="s">
        <v>194</v>
      </c>
      <c r="H390" s="308" t="str">
        <f>IF(ISBLANK(B390),"-",IF(ISERROR(FIND("вич",B390,1)),"ж","м"))</f>
        <v>м</v>
      </c>
      <c r="I390" s="308" t="e">
        <v>#REF!</v>
      </c>
      <c r="J390" s="308" t="e">
        <v>#REF!</v>
      </c>
      <c r="K390" s="29" t="s">
        <v>226</v>
      </c>
      <c r="L390" s="308"/>
      <c r="M390" s="308"/>
      <c r="N390" s="308"/>
      <c r="O390" s="733">
        <v>1</v>
      </c>
      <c r="P390" s="731" t="s">
        <v>612</v>
      </c>
      <c r="Q390" s="308" t="str">
        <f>IF(R390="","включаем","не включаем")</f>
        <v>не включаем</v>
      </c>
      <c r="R390" s="732" t="s">
        <v>582</v>
      </c>
      <c r="S390" s="308"/>
      <c r="T390" s="308" t="s">
        <v>566</v>
      </c>
      <c r="V390" s="731" t="s">
        <v>996</v>
      </c>
      <c r="W390" s="406">
        <v>46173</v>
      </c>
    </row>
    <row r="391" spans="1:38" customHeight="1" ht="33.75">
      <c r="A391" s="722" t="s">
        <v>2143</v>
      </c>
      <c r="B391" s="722" t="s">
        <v>2144</v>
      </c>
      <c r="D391" s="722" t="s">
        <v>1100</v>
      </c>
      <c r="E391" s="722" t="s">
        <v>2145</v>
      </c>
      <c r="F391" s="722" t="s">
        <v>2142</v>
      </c>
      <c r="G391" s="722" t="s">
        <v>194</v>
      </c>
      <c r="H391" s="308" t="str">
        <f>IF(ISBLANK(B391),"-",IF(ISERROR(FIND("вич",B391,1)),"ж","м"))</f>
        <v>ж</v>
      </c>
      <c r="I391" s="308" t="e">
        <v>#REF!</v>
      </c>
      <c r="J391" s="308" t="e">
        <v>#REF!</v>
      </c>
      <c r="K391" s="29" t="s">
        <v>226</v>
      </c>
      <c r="L391" s="308"/>
      <c r="M391" s="308"/>
      <c r="N391" s="308"/>
      <c r="O391" s="733">
        <v>1</v>
      </c>
      <c r="P391" s="731" t="s">
        <v>618</v>
      </c>
      <c r="Q391" s="308" t="str">
        <f>IF(R391="","включаем","не включаем")</f>
        <v>включаем</v>
      </c>
      <c r="R391" s="732"/>
      <c r="S391" s="308"/>
      <c r="T391" s="308" t="s">
        <v>566</v>
      </c>
      <c r="V391" s="731" t="s">
        <v>996</v>
      </c>
      <c r="W391" s="406">
        <v>46173</v>
      </c>
    </row>
    <row r="392" spans="1:38" customHeight="1" ht="33.75">
      <c r="A392" s="722" t="s">
        <v>2146</v>
      </c>
      <c r="B392" s="722" t="s">
        <v>2147</v>
      </c>
      <c r="D392" s="722" t="s">
        <v>2148</v>
      </c>
      <c r="E392" s="722" t="s">
        <v>2149</v>
      </c>
      <c r="F392" s="722" t="s">
        <v>2142</v>
      </c>
      <c r="G392" s="722" t="s">
        <v>195</v>
      </c>
      <c r="H392" s="308" t="str">
        <f>IF(ISBLANK(B392),"-",IF(ISERROR(FIND("вич",B392,1)),"ж","м"))</f>
        <v>ж</v>
      </c>
      <c r="I392" s="308" t="e">
        <v>#REF!</v>
      </c>
      <c r="J392" s="308" t="e">
        <v>#REF!</v>
      </c>
      <c r="K392" s="29" t="s">
        <v>226</v>
      </c>
      <c r="L392" s="308"/>
      <c r="M392" s="308"/>
      <c r="N392" s="308"/>
      <c r="O392" s="733">
        <v>1</v>
      </c>
      <c r="P392" s="731" t="s">
        <v>618</v>
      </c>
      <c r="Q392" s="308" t="str">
        <f>IF(R392="","включаем","не включаем")</f>
        <v>включаем</v>
      </c>
      <c r="R392" s="732"/>
      <c r="S392" s="308"/>
      <c r="T392" s="308" t="s">
        <v>566</v>
      </c>
      <c r="V392" s="731" t="s">
        <v>996</v>
      </c>
      <c r="W392" s="406">
        <v>46173</v>
      </c>
    </row>
    <row r="393" spans="1:38" customHeight="1" ht="33.75">
      <c r="A393" s="722" t="s">
        <v>2150</v>
      </c>
      <c r="B393" s="722" t="s">
        <v>2151</v>
      </c>
      <c r="D393" s="722" t="s">
        <v>2152</v>
      </c>
      <c r="E393" s="722" t="s">
        <v>2153</v>
      </c>
      <c r="F393" s="722" t="s">
        <v>2142</v>
      </c>
      <c r="G393" s="722" t="s">
        <v>2154</v>
      </c>
      <c r="H393" s="308" t="str">
        <f>IF(ISBLANK(B393),"-",IF(ISERROR(FIND("вич",B393,1)),"ж","м"))</f>
        <v>м</v>
      </c>
      <c r="I393" s="308" t="e">
        <v>#REF!</v>
      </c>
      <c r="J393" s="308" t="e">
        <v>#REF!</v>
      </c>
      <c r="K393" s="29" t="s">
        <v>226</v>
      </c>
      <c r="L393" s="308"/>
      <c r="M393" s="308"/>
      <c r="N393" s="308"/>
      <c r="O393" s="733">
        <v>1</v>
      </c>
      <c r="P393" s="731" t="s">
        <v>618</v>
      </c>
      <c r="Q393" s="308" t="str">
        <f>IF(R393="","включаем","не включаем")</f>
        <v>включаем</v>
      </c>
      <c r="R393" s="732"/>
      <c r="S393" s="308"/>
      <c r="T393" s="308" t="s">
        <v>566</v>
      </c>
      <c r="V393" s="731" t="s">
        <v>996</v>
      </c>
      <c r="W393" s="406">
        <v>46173</v>
      </c>
    </row>
    <row r="394" spans="1:38" customHeight="1" ht="33.75">
      <c r="A394" s="722" t="s">
        <v>2155</v>
      </c>
      <c r="B394" s="722" t="s">
        <v>2156</v>
      </c>
      <c r="D394" s="722" t="s">
        <v>2157</v>
      </c>
      <c r="E394" s="723" t="s">
        <v>2158</v>
      </c>
      <c r="F394" s="722" t="s">
        <v>2142</v>
      </c>
      <c r="G394" s="722" t="s">
        <v>1025</v>
      </c>
      <c r="H394" s="308" t="str">
        <f>IF(ISBLANK(B394),"-",IF(ISERROR(FIND("вич",B394,1)),"ж","м"))</f>
        <v>ж</v>
      </c>
      <c r="I394" s="308" t="e">
        <v>#REF!</v>
      </c>
      <c r="J394" s="308" t="e">
        <v>#REF!</v>
      </c>
      <c r="K394" s="29" t="s">
        <v>226</v>
      </c>
      <c r="L394" s="308"/>
      <c r="M394" s="308"/>
      <c r="N394" s="308"/>
      <c r="O394" s="733">
        <v>1</v>
      </c>
      <c r="P394" s="731" t="s">
        <v>618</v>
      </c>
      <c r="Q394" s="308" t="str">
        <f>IF(R394="","включаем","не включаем")</f>
        <v>включаем</v>
      </c>
      <c r="R394" s="732"/>
      <c r="S394" s="308"/>
      <c r="T394" s="308" t="s">
        <v>566</v>
      </c>
      <c r="V394" s="731" t="s">
        <v>996</v>
      </c>
      <c r="W394" s="406">
        <v>46173</v>
      </c>
    </row>
    <row r="395" spans="1:38" customHeight="1" ht="33.75">
      <c r="A395" s="722" t="s">
        <v>2159</v>
      </c>
      <c r="B395" s="722" t="s">
        <v>2160</v>
      </c>
      <c r="D395" s="722" t="s">
        <v>2161</v>
      </c>
      <c r="E395" s="722" t="s">
        <v>2162</v>
      </c>
      <c r="F395" s="722" t="s">
        <v>2142</v>
      </c>
      <c r="G395" s="722" t="s">
        <v>2129</v>
      </c>
      <c r="H395" s="308" t="str">
        <f>IF(ISBLANK(B395),"-",IF(ISERROR(FIND("вич",B395,1)),"ж","м"))</f>
        <v>м</v>
      </c>
      <c r="I395" s="308" t="e">
        <v>#REF!</v>
      </c>
      <c r="J395" s="308" t="e">
        <v>#REF!</v>
      </c>
      <c r="K395" s="29" t="s">
        <v>226</v>
      </c>
      <c r="L395" s="308"/>
      <c r="M395" s="308"/>
      <c r="N395" s="308"/>
      <c r="O395" s="733">
        <v>1</v>
      </c>
      <c r="P395" s="731" t="s">
        <v>618</v>
      </c>
      <c r="Q395" s="308" t="str">
        <f>IF(R395="","включаем","не включаем")</f>
        <v>включаем</v>
      </c>
      <c r="R395" s="732"/>
      <c r="S395" s="308"/>
      <c r="T395" s="308" t="s">
        <v>566</v>
      </c>
      <c r="V395" s="731" t="s">
        <v>996</v>
      </c>
      <c r="W395" s="406">
        <v>46173</v>
      </c>
    </row>
    <row r="396" spans="1:38" customHeight="1" ht="33.75">
      <c r="A396" s="722" t="s">
        <v>2163</v>
      </c>
      <c r="B396" s="722" t="s">
        <v>2164</v>
      </c>
      <c r="D396" s="722" t="s">
        <v>2165</v>
      </c>
      <c r="E396" s="722" t="s">
        <v>2166</v>
      </c>
      <c r="F396" s="722" t="s">
        <v>2142</v>
      </c>
      <c r="G396" s="722" t="s">
        <v>2167</v>
      </c>
      <c r="H396" s="308" t="str">
        <f>IF(ISBLANK(B396),"-",IF(ISERROR(FIND("вич",B396,1)),"ж","м"))</f>
        <v>м</v>
      </c>
      <c r="I396" s="308" t="e">
        <v>#REF!</v>
      </c>
      <c r="J396" s="308" t="e">
        <v>#REF!</v>
      </c>
      <c r="K396" s="29" t="s">
        <v>226</v>
      </c>
      <c r="L396" s="308"/>
      <c r="M396" s="308"/>
      <c r="N396" s="308"/>
      <c r="O396" s="733">
        <v>1</v>
      </c>
      <c r="P396" s="731" t="s">
        <v>618</v>
      </c>
      <c r="Q396" s="308" t="str">
        <f>IF(R396="","включаем","не включаем")</f>
        <v>включаем</v>
      </c>
      <c r="R396" s="732"/>
      <c r="S396" s="308"/>
      <c r="T396" s="308" t="s">
        <v>566</v>
      </c>
      <c r="V396" s="731" t="s">
        <v>996</v>
      </c>
      <c r="W396" s="406">
        <v>46173</v>
      </c>
    </row>
    <row r="397" spans="1:38" customHeight="1" ht="33.75">
      <c r="A397" s="722" t="s">
        <v>2168</v>
      </c>
      <c r="B397" s="722" t="s">
        <v>2169</v>
      </c>
      <c r="D397" s="722" t="s">
        <v>2170</v>
      </c>
      <c r="E397" s="722" t="s">
        <v>2171</v>
      </c>
      <c r="F397" s="722" t="s">
        <v>2172</v>
      </c>
      <c r="G397" s="722" t="s">
        <v>197</v>
      </c>
      <c r="H397" s="308" t="str">
        <f>IF(ISBLANK(B397),"-",IF(ISERROR(FIND("вич",B397,1)),"ж","м"))</f>
        <v>м</v>
      </c>
      <c r="I397" s="308" t="e">
        <v>#REF!</v>
      </c>
      <c r="J397" s="308" t="e">
        <v>#REF!</v>
      </c>
      <c r="K397" s="313" t="s">
        <v>226</v>
      </c>
      <c r="L397" s="308"/>
      <c r="M397" s="308"/>
      <c r="N397" s="308"/>
      <c r="O397" s="733">
        <v>1</v>
      </c>
      <c r="P397" s="731" t="s">
        <v>618</v>
      </c>
      <c r="Q397" s="308" t="str">
        <f>IF(R397="","включаем","не включаем")</f>
        <v>включаем</v>
      </c>
      <c r="R397" s="732"/>
      <c r="S397" s="308"/>
      <c r="T397" s="308" t="s">
        <v>566</v>
      </c>
      <c r="V397" s="731" t="s">
        <v>996</v>
      </c>
      <c r="W397" s="406">
        <v>46173</v>
      </c>
    </row>
    <row r="398" spans="1:38" customHeight="1" ht="67.5">
      <c r="A398" s="722" t="s">
        <v>2173</v>
      </c>
      <c r="B398" s="722" t="s">
        <v>2174</v>
      </c>
      <c r="D398" s="722" t="s">
        <v>1100</v>
      </c>
      <c r="E398" s="722" t="s">
        <v>2175</v>
      </c>
      <c r="F398" s="722" t="s">
        <v>2172</v>
      </c>
      <c r="G398" s="722" t="s">
        <v>203</v>
      </c>
      <c r="H398" s="308" t="str">
        <f>IF(ISBLANK(B398),"-",IF(ISERROR(FIND("вич",B398,1)),"ж","м"))</f>
        <v>м</v>
      </c>
      <c r="I398" s="308" t="e">
        <v>#REF!</v>
      </c>
      <c r="J398" s="308" t="e">
        <v>#REF!</v>
      </c>
      <c r="K398" s="313" t="s">
        <v>226</v>
      </c>
      <c r="L398" s="308"/>
      <c r="M398" s="308"/>
      <c r="N398" s="308"/>
      <c r="O398" s="733">
        <v>1</v>
      </c>
      <c r="P398" s="731" t="s">
        <v>618</v>
      </c>
      <c r="Q398" s="308" t="str">
        <f>IF(R398="","включаем","не включаем")</f>
        <v>включаем</v>
      </c>
      <c r="R398" s="732"/>
      <c r="S398" s="308"/>
      <c r="T398" s="308" t="s">
        <v>566</v>
      </c>
      <c r="V398" s="731" t="s">
        <v>996</v>
      </c>
      <c r="W398" s="406">
        <v>46173</v>
      </c>
    </row>
    <row r="399" spans="1:38" customHeight="1" ht="33.75">
      <c r="A399" s="722" t="s">
        <v>2176</v>
      </c>
      <c r="B399" s="722" t="s">
        <v>2177</v>
      </c>
      <c r="D399" s="722" t="s">
        <v>2178</v>
      </c>
      <c r="E399" s="723" t="s">
        <v>2179</v>
      </c>
      <c r="F399" s="722" t="s">
        <v>2172</v>
      </c>
      <c r="G399" s="722" t="s">
        <v>196</v>
      </c>
      <c r="H399" s="308" t="str">
        <f>IF(ISBLANK(B399),"-",IF(ISERROR(FIND("вич",B399,1)),"ж","м"))</f>
        <v>ж</v>
      </c>
      <c r="I399" s="308" t="e">
        <v>#REF!</v>
      </c>
      <c r="J399" s="308" t="e">
        <v>#REF!</v>
      </c>
      <c r="K399" s="313" t="s">
        <v>226</v>
      </c>
      <c r="L399" s="308"/>
      <c r="M399" s="308"/>
      <c r="N399" s="308"/>
      <c r="O399" s="733">
        <v>1</v>
      </c>
      <c r="P399" s="731" t="s">
        <v>618</v>
      </c>
      <c r="Q399" s="308" t="str">
        <f>IF(R399="","включаем","не включаем")</f>
        <v>включаем</v>
      </c>
      <c r="R399" s="732"/>
      <c r="S399" s="308"/>
      <c r="T399" s="308" t="s">
        <v>566</v>
      </c>
      <c r="V399" s="731" t="s">
        <v>996</v>
      </c>
      <c r="W399" s="406">
        <v>46173</v>
      </c>
    </row>
    <row r="400" spans="1:38" customHeight="1" ht="45">
      <c r="A400" s="722" t="s">
        <v>2180</v>
      </c>
      <c r="B400" s="722" t="s">
        <v>2181</v>
      </c>
      <c r="D400" s="722" t="s">
        <v>2182</v>
      </c>
      <c r="E400" s="723" t="s">
        <v>2183</v>
      </c>
      <c r="F400" s="722" t="s">
        <v>2172</v>
      </c>
      <c r="G400" s="722" t="s">
        <v>2184</v>
      </c>
      <c r="H400" s="308" t="str">
        <f>IF(ISBLANK(B400),"-",IF(ISERROR(FIND("вич",B400,1)),"ж","м"))</f>
        <v>м</v>
      </c>
      <c r="I400" s="308" t="e">
        <v>#REF!</v>
      </c>
      <c r="J400" s="308" t="e">
        <v>#REF!</v>
      </c>
      <c r="K400" s="313" t="s">
        <v>226</v>
      </c>
      <c r="L400" s="308"/>
      <c r="M400" s="308"/>
      <c r="N400" s="308"/>
      <c r="O400" s="733">
        <v>1</v>
      </c>
      <c r="P400" s="731" t="s">
        <v>618</v>
      </c>
      <c r="Q400" s="308" t="str">
        <f>IF(R400="","включаем","не включаем")</f>
        <v>включаем</v>
      </c>
      <c r="R400" s="732"/>
      <c r="S400" s="308"/>
      <c r="T400" s="308" t="s">
        <v>566</v>
      </c>
      <c r="V400" s="731" t="s">
        <v>996</v>
      </c>
      <c r="W400" s="406">
        <v>46173</v>
      </c>
    </row>
    <row r="401" spans="1:38" customHeight="1" ht="33.75">
      <c r="A401" s="722" t="s">
        <v>2185</v>
      </c>
      <c r="B401" s="722" t="s">
        <v>2186</v>
      </c>
      <c r="D401" s="722" t="s">
        <v>2187</v>
      </c>
      <c r="E401" s="723" t="s">
        <v>2188</v>
      </c>
      <c r="F401" s="722" t="s">
        <v>2172</v>
      </c>
      <c r="G401" s="722" t="s">
        <v>2129</v>
      </c>
      <c r="H401" s="308" t="str">
        <f>IF(ISBLANK(B401),"-",IF(ISERROR(FIND("вич",B401,1)),"ж","м"))</f>
        <v>м</v>
      </c>
      <c r="I401" s="308" t="e">
        <v>#REF!</v>
      </c>
      <c r="J401" s="308" t="e">
        <v>#REF!</v>
      </c>
      <c r="K401" s="313" t="s">
        <v>226</v>
      </c>
      <c r="L401" s="308"/>
      <c r="M401" s="308"/>
      <c r="N401" s="308"/>
      <c r="O401" s="733">
        <v>1</v>
      </c>
      <c r="P401" s="731" t="s">
        <v>618</v>
      </c>
      <c r="Q401" s="308" t="str">
        <f>IF(R401="","включаем","не включаем")</f>
        <v>включаем</v>
      </c>
      <c r="R401" s="732"/>
      <c r="S401" s="308"/>
      <c r="T401" s="308" t="s">
        <v>566</v>
      </c>
      <c r="V401" s="731" t="s">
        <v>996</v>
      </c>
      <c r="W401" s="406">
        <v>46173</v>
      </c>
    </row>
    <row r="402" spans="1:38" customHeight="1" ht="45">
      <c r="A402" s="722" t="s">
        <v>2189</v>
      </c>
      <c r="B402" s="722" t="s">
        <v>2190</v>
      </c>
      <c r="D402" s="722" t="s">
        <v>1100</v>
      </c>
      <c r="E402" s="722" t="s">
        <v>2191</v>
      </c>
      <c r="F402" s="722" t="s">
        <v>2192</v>
      </c>
      <c r="G402" s="722" t="s">
        <v>2193</v>
      </c>
      <c r="H402" s="308" t="str">
        <f>IF(ISBLANK(B402),"-",IF(ISERROR(FIND("вич",B402,1)),"ж","м"))</f>
        <v>м</v>
      </c>
      <c r="I402" s="308" t="e">
        <v>#REF!</v>
      </c>
      <c r="J402" s="308" t="e">
        <v>#REF!</v>
      </c>
      <c r="K402" s="29" t="s">
        <v>226</v>
      </c>
      <c r="L402" s="308"/>
      <c r="M402" s="308"/>
      <c r="N402" s="308"/>
      <c r="O402" s="733">
        <v>1</v>
      </c>
      <c r="P402" s="731" t="s">
        <v>618</v>
      </c>
      <c r="Q402" s="308" t="str">
        <f>IF(R402="","включаем","не включаем")</f>
        <v>включаем</v>
      </c>
      <c r="R402" s="732"/>
      <c r="S402" s="308"/>
      <c r="T402" s="308" t="s">
        <v>566</v>
      </c>
      <c r="V402" s="731" t="s">
        <v>996</v>
      </c>
      <c r="W402" s="406">
        <v>46173</v>
      </c>
    </row>
    <row r="403" spans="1:38" customHeight="1" ht="33.75">
      <c r="A403" s="722" t="s">
        <v>675</v>
      </c>
      <c r="B403" s="722" t="s">
        <v>2194</v>
      </c>
      <c r="D403" s="722" t="s">
        <v>621</v>
      </c>
      <c r="E403" s="722" t="s">
        <v>2195</v>
      </c>
      <c r="F403" s="722" t="s">
        <v>2192</v>
      </c>
      <c r="G403" s="722" t="s">
        <v>215</v>
      </c>
      <c r="H403" s="308" t="str">
        <f>IF(ISBLANK(B403),"-",IF(ISERROR(FIND("вич",B403,1)),"ж","м"))</f>
        <v>м</v>
      </c>
      <c r="I403" s="308" t="e">
        <v>#REF!</v>
      </c>
      <c r="J403" s="308" t="e">
        <v>#REF!</v>
      </c>
      <c r="K403" s="29" t="s">
        <v>226</v>
      </c>
      <c r="L403" s="308"/>
      <c r="M403" s="308"/>
      <c r="N403" s="308"/>
      <c r="O403" s="733">
        <v>1</v>
      </c>
      <c r="P403" s="731" t="s">
        <v>618</v>
      </c>
      <c r="Q403" s="308" t="str">
        <f>IF(R403="","включаем","не включаем")</f>
        <v>включаем</v>
      </c>
      <c r="R403" s="732"/>
      <c r="S403" s="308"/>
      <c r="T403" s="308" t="s">
        <v>566</v>
      </c>
      <c r="V403" s="731" t="s">
        <v>996</v>
      </c>
      <c r="W403" s="406">
        <v>46173</v>
      </c>
    </row>
    <row r="404" spans="1:38" customHeight="1" ht="33.75">
      <c r="A404" s="722" t="s">
        <v>2196</v>
      </c>
      <c r="B404" s="722" t="s">
        <v>2197</v>
      </c>
      <c r="D404" s="722" t="s">
        <v>2025</v>
      </c>
      <c r="E404" s="722" t="s">
        <v>2198</v>
      </c>
      <c r="F404" s="722" t="s">
        <v>2192</v>
      </c>
      <c r="G404" s="722" t="s">
        <v>2199</v>
      </c>
      <c r="H404" s="308" t="str">
        <f>IF(ISBLANK(B404),"-",IF(ISERROR(FIND("вич",B404,1)),"ж","м"))</f>
        <v>м</v>
      </c>
      <c r="I404" s="308" t="e">
        <v>#REF!</v>
      </c>
      <c r="J404" s="308" t="e">
        <v>#REF!</v>
      </c>
      <c r="K404" s="29" t="s">
        <v>226</v>
      </c>
      <c r="L404" s="308"/>
      <c r="M404" s="308"/>
      <c r="N404" s="308"/>
      <c r="O404" s="733">
        <v>1</v>
      </c>
      <c r="P404" s="731" t="s">
        <v>618</v>
      </c>
      <c r="Q404" s="308" t="str">
        <f>IF(R404="","включаем","не включаем")</f>
        <v>включаем</v>
      </c>
      <c r="R404" s="732"/>
      <c r="S404" s="308"/>
      <c r="T404" s="308" t="s">
        <v>566</v>
      </c>
      <c r="V404" s="731" t="s">
        <v>996</v>
      </c>
      <c r="W404" s="406">
        <v>46173</v>
      </c>
    </row>
    <row r="405" spans="1:38" customHeight="1" ht="33.75">
      <c r="A405" s="722" t="s">
        <v>2200</v>
      </c>
      <c r="B405" s="722" t="s">
        <v>2201</v>
      </c>
      <c r="D405" s="722" t="s">
        <v>1932</v>
      </c>
      <c r="E405" s="722" t="s">
        <v>2202</v>
      </c>
      <c r="F405" s="722" t="s">
        <v>2192</v>
      </c>
      <c r="G405" s="722" t="s">
        <v>2129</v>
      </c>
      <c r="H405" s="308" t="str">
        <f>IF(ISBLANK(B405),"-",IF(ISERROR(FIND("вич",B405,1)),"ж","м"))</f>
        <v>м</v>
      </c>
      <c r="I405" s="308" t="e">
        <v>#REF!</v>
      </c>
      <c r="J405" s="308" t="e">
        <v>#REF!</v>
      </c>
      <c r="K405" s="29" t="s">
        <v>226</v>
      </c>
      <c r="L405" s="308"/>
      <c r="M405" s="308"/>
      <c r="N405" s="308"/>
      <c r="O405" s="733">
        <v>1</v>
      </c>
      <c r="P405" s="731" t="s">
        <v>618</v>
      </c>
      <c r="Q405" s="308" t="str">
        <f>IF(R405="","включаем","не включаем")</f>
        <v>включаем</v>
      </c>
      <c r="R405" s="732"/>
      <c r="S405" s="308"/>
      <c r="T405" s="308" t="s">
        <v>566</v>
      </c>
      <c r="V405" s="731" t="s">
        <v>996</v>
      </c>
      <c r="W405" s="406">
        <v>46173</v>
      </c>
    </row>
    <row r="406" spans="1:38" customHeight="1" ht="45">
      <c r="A406" s="722" t="s">
        <v>2203</v>
      </c>
      <c r="B406" s="722" t="s">
        <v>2204</v>
      </c>
      <c r="D406" s="722" t="s">
        <v>2205</v>
      </c>
      <c r="E406" s="722" t="s">
        <v>2206</v>
      </c>
      <c r="F406" s="722" t="s">
        <v>2207</v>
      </c>
      <c r="G406" s="722" t="s">
        <v>227</v>
      </c>
      <c r="H406" s="308" t="str">
        <f>IF(ISBLANK(B406),"-",IF(ISERROR(FIND("вич",B406,1)),"ж","м"))</f>
        <v>ж</v>
      </c>
      <c r="I406" s="308" t="e">
        <v>#REF!</v>
      </c>
      <c r="J406" s="308" t="e">
        <v>#REF!</v>
      </c>
      <c r="K406" s="313" t="s">
        <v>226</v>
      </c>
      <c r="L406" s="308"/>
      <c r="M406" s="308"/>
      <c r="N406" s="308"/>
      <c r="O406" s="733">
        <v>1</v>
      </c>
      <c r="P406" s="731" t="s">
        <v>618</v>
      </c>
      <c r="Q406" s="308" t="str">
        <f>IF(R406="","включаем","не включаем")</f>
        <v>включаем</v>
      </c>
      <c r="R406" s="732"/>
      <c r="S406" s="308"/>
      <c r="T406" s="308" t="s">
        <v>566</v>
      </c>
      <c r="V406" s="731" t="s">
        <v>996</v>
      </c>
      <c r="W406" s="406">
        <v>46173</v>
      </c>
    </row>
    <row r="407" spans="1:38" customHeight="1" ht="45">
      <c r="A407" s="722" t="s">
        <v>2208</v>
      </c>
      <c r="B407" s="722" t="s">
        <v>2209</v>
      </c>
      <c r="D407" s="722" t="s">
        <v>2210</v>
      </c>
      <c r="E407" s="723" t="s">
        <v>2211</v>
      </c>
      <c r="F407" s="722" t="s">
        <v>2207</v>
      </c>
      <c r="G407" s="722" t="s">
        <v>227</v>
      </c>
      <c r="H407" s="308" t="str">
        <f>IF(ISBLANK(B407),"-",IF(ISERROR(FIND("вич",B407,1)),"ж","м"))</f>
        <v>ж</v>
      </c>
      <c r="I407" s="308" t="e">
        <v>#REF!</v>
      </c>
      <c r="J407" s="308" t="e">
        <v>#REF!</v>
      </c>
      <c r="K407" s="313" t="s">
        <v>226</v>
      </c>
      <c r="L407" s="308"/>
      <c r="M407" s="308"/>
      <c r="N407" s="308"/>
      <c r="O407" s="733">
        <v>1</v>
      </c>
      <c r="P407" s="731" t="s">
        <v>618</v>
      </c>
      <c r="Q407" s="308" t="str">
        <f>IF(R407="","включаем","не включаем")</f>
        <v>включаем</v>
      </c>
      <c r="R407" s="732"/>
      <c r="S407" s="308"/>
      <c r="T407" s="308" t="s">
        <v>566</v>
      </c>
      <c r="V407" s="731" t="s">
        <v>996</v>
      </c>
      <c r="W407" s="406">
        <v>46173</v>
      </c>
    </row>
    <row r="408" spans="1:38" customHeight="1" ht="22.5">
      <c r="A408" s="722" t="s">
        <v>2212</v>
      </c>
      <c r="B408" s="722" t="s">
        <v>2213</v>
      </c>
      <c r="D408" s="722" t="s">
        <v>1581</v>
      </c>
      <c r="E408" s="722" t="s">
        <v>2214</v>
      </c>
      <c r="F408" s="722" t="s">
        <v>2207</v>
      </c>
      <c r="G408" s="722" t="s">
        <v>411</v>
      </c>
      <c r="H408" s="308" t="str">
        <f>IF(ISBLANK(B408),"-",IF(ISERROR(FIND("вич",B408,1)),"ж","м"))</f>
        <v>ж</v>
      </c>
      <c r="I408" s="308" t="e">
        <v>#REF!</v>
      </c>
      <c r="J408" s="308" t="e">
        <v>#REF!</v>
      </c>
      <c r="K408" s="313" t="s">
        <v>226</v>
      </c>
      <c r="L408" s="308"/>
      <c r="M408" s="308"/>
      <c r="N408" s="308"/>
      <c r="O408" s="733">
        <v>1</v>
      </c>
      <c r="P408" s="731" t="s">
        <v>618</v>
      </c>
      <c r="Q408" s="308" t="str">
        <f>IF(R408="","включаем","не включаем")</f>
        <v>включаем</v>
      </c>
      <c r="R408" s="732"/>
      <c r="S408" s="308"/>
      <c r="T408" s="308" t="s">
        <v>566</v>
      </c>
      <c r="V408" s="731" t="s">
        <v>996</v>
      </c>
      <c r="W408" s="406">
        <v>46173</v>
      </c>
    </row>
    <row r="409" spans="1:38" customHeight="1" ht="33.75">
      <c r="A409" s="722" t="s">
        <v>2215</v>
      </c>
      <c r="B409" s="722" t="s">
        <v>2216</v>
      </c>
      <c r="D409" s="722" t="s">
        <v>2217</v>
      </c>
      <c r="E409" s="722" t="s">
        <v>2218</v>
      </c>
      <c r="F409" s="722" t="s">
        <v>2219</v>
      </c>
      <c r="G409" s="722" t="s">
        <v>330</v>
      </c>
      <c r="H409" s="308" t="str">
        <f>IF(ISBLANK(B409),"-",IF(ISERROR(FIND("вич",B409,1)),"ж","м"))</f>
        <v>м</v>
      </c>
      <c r="I409" s="308" t="e">
        <v>#REF!</v>
      </c>
      <c r="J409" s="308" t="e">
        <v>#REF!</v>
      </c>
      <c r="K409" s="313" t="s">
        <v>226</v>
      </c>
      <c r="L409" s="308"/>
      <c r="M409" s="308"/>
      <c r="N409" s="308"/>
      <c r="O409" s="733">
        <v>1</v>
      </c>
      <c r="P409" s="731" t="s">
        <v>618</v>
      </c>
      <c r="Q409" s="308" t="str">
        <f>IF(R409="","включаем","не включаем")</f>
        <v>включаем</v>
      </c>
      <c r="R409" s="732"/>
      <c r="S409" s="308"/>
      <c r="T409" s="308" t="s">
        <v>566</v>
      </c>
      <c r="V409" s="731" t="s">
        <v>996</v>
      </c>
      <c r="W409" s="406">
        <v>46173</v>
      </c>
    </row>
    <row r="410" spans="1:38" customHeight="1" ht="22.5">
      <c r="A410" s="722" t="s">
        <v>2220</v>
      </c>
      <c r="B410" s="722" t="s">
        <v>2221</v>
      </c>
      <c r="D410" s="722" t="s">
        <v>2222</v>
      </c>
      <c r="E410" s="722" t="s">
        <v>2223</v>
      </c>
      <c r="F410" s="722" t="s">
        <v>2219</v>
      </c>
      <c r="G410" s="722" t="s">
        <v>2224</v>
      </c>
      <c r="H410" s="308" t="str">
        <f>IF(ISBLANK(B410),"-",IF(ISERROR(FIND("вич",B410,1)),"ж","м"))</f>
        <v>м</v>
      </c>
      <c r="I410" s="308" t="e">
        <v>#REF!</v>
      </c>
      <c r="J410" s="308" t="e">
        <v>#REF!</v>
      </c>
      <c r="K410" s="313" t="s">
        <v>226</v>
      </c>
      <c r="L410" s="308"/>
      <c r="M410" s="308"/>
      <c r="N410" s="308"/>
      <c r="O410" s="733">
        <v>1</v>
      </c>
      <c r="P410" s="731" t="s">
        <v>618</v>
      </c>
      <c r="Q410" s="308" t="str">
        <f>IF(R410="","включаем","не включаем")</f>
        <v>включаем</v>
      </c>
      <c r="R410" s="732"/>
      <c r="S410" s="308"/>
      <c r="T410" s="308" t="s">
        <v>566</v>
      </c>
      <c r="V410" s="731" t="s">
        <v>996</v>
      </c>
      <c r="W410" s="406">
        <v>46173</v>
      </c>
    </row>
    <row r="411" spans="1:38" customHeight="1" ht="33.75">
      <c r="A411" s="722" t="s">
        <v>2225</v>
      </c>
      <c r="B411" s="722" t="s">
        <v>2226</v>
      </c>
      <c r="D411" s="722" t="s">
        <v>2227</v>
      </c>
      <c r="E411" s="722" t="s">
        <v>2228</v>
      </c>
      <c r="F411" s="722" t="s">
        <v>2229</v>
      </c>
      <c r="G411" s="722" t="s">
        <v>335</v>
      </c>
      <c r="H411" s="308" t="str">
        <f>IF(ISBLANK(B411),"-",IF(ISERROR(FIND("вич",B411,1)),"ж","м"))</f>
        <v>ж</v>
      </c>
      <c r="I411" s="308" t="e">
        <v>#REF!</v>
      </c>
      <c r="J411" s="308" t="e">
        <v>#REF!</v>
      </c>
      <c r="K411" s="29" t="s">
        <v>314</v>
      </c>
      <c r="L411" s="308"/>
      <c r="M411" s="308"/>
      <c r="N411" s="308"/>
      <c r="O411" s="733">
        <v>1</v>
      </c>
      <c r="P411" s="731" t="s">
        <v>618</v>
      </c>
      <c r="Q411" s="308" t="str">
        <f>IF(R411="","включаем","не включаем")</f>
        <v>включаем</v>
      </c>
      <c r="R411" s="732"/>
      <c r="S411" s="308"/>
      <c r="T411" s="308" t="s">
        <v>566</v>
      </c>
      <c r="V411" s="731" t="s">
        <v>996</v>
      </c>
      <c r="W411" s="406">
        <v>46173</v>
      </c>
    </row>
    <row r="412" spans="1:38" customHeight="1" ht="33.75">
      <c r="A412" s="722" t="s">
        <v>2230</v>
      </c>
      <c r="B412" s="722" t="s">
        <v>2231</v>
      </c>
      <c r="D412" s="722" t="s">
        <v>1885</v>
      </c>
      <c r="E412" s="722" t="s">
        <v>2232</v>
      </c>
      <c r="F412" s="722" t="s">
        <v>2229</v>
      </c>
      <c r="G412" s="722" t="s">
        <v>386</v>
      </c>
      <c r="H412" s="308" t="str">
        <f>IF(ISBLANK(B412),"-",IF(ISERROR(FIND("вич",B412,1)),"ж","м"))</f>
        <v>м</v>
      </c>
      <c r="I412" s="308" t="e">
        <v>#REF!</v>
      </c>
      <c r="J412" s="308" t="e">
        <v>#REF!</v>
      </c>
      <c r="K412" s="29" t="s">
        <v>314</v>
      </c>
      <c r="L412" s="308"/>
      <c r="M412" s="308"/>
      <c r="N412" s="308"/>
      <c r="O412" s="733">
        <v>1</v>
      </c>
      <c r="P412" s="731" t="s">
        <v>618</v>
      </c>
      <c r="Q412" s="308" t="str">
        <f>IF(R412="","включаем","не включаем")</f>
        <v>включаем</v>
      </c>
      <c r="R412" s="732"/>
      <c r="S412" s="308"/>
      <c r="T412" s="308" t="s">
        <v>566</v>
      </c>
      <c r="V412" s="731" t="s">
        <v>996</v>
      </c>
      <c r="W412" s="406">
        <v>46173</v>
      </c>
    </row>
    <row r="413" spans="1:38" customHeight="1" ht="33.75">
      <c r="A413" s="722" t="s">
        <v>2233</v>
      </c>
      <c r="B413" s="722" t="s">
        <v>2234</v>
      </c>
      <c r="D413" s="722" t="s">
        <v>1503</v>
      </c>
      <c r="E413" s="722" t="s">
        <v>2235</v>
      </c>
      <c r="F413" s="722" t="s">
        <v>2229</v>
      </c>
      <c r="G413" s="722" t="s">
        <v>386</v>
      </c>
      <c r="H413" s="308" t="str">
        <f>IF(ISBLANK(B413),"-",IF(ISERROR(FIND("вич",B413,1)),"ж","м"))</f>
        <v>м</v>
      </c>
      <c r="I413" s="308" t="e">
        <v>#REF!</v>
      </c>
      <c r="J413" s="308" t="e">
        <v>#REF!</v>
      </c>
      <c r="K413" s="29" t="s">
        <v>314</v>
      </c>
      <c r="L413" s="308"/>
      <c r="M413" s="308"/>
      <c r="N413" s="308"/>
      <c r="O413" s="733">
        <v>1</v>
      </c>
      <c r="P413" s="731" t="s">
        <v>618</v>
      </c>
      <c r="Q413" s="308" t="str">
        <f>IF(R413="","включаем","не включаем")</f>
        <v>включаем</v>
      </c>
      <c r="R413" s="732"/>
      <c r="S413" s="308"/>
      <c r="T413" s="308" t="s">
        <v>566</v>
      </c>
      <c r="V413" s="731" t="s">
        <v>996</v>
      </c>
      <c r="W413" s="406">
        <v>46173</v>
      </c>
    </row>
    <row r="414" spans="1:38" customHeight="1" ht="33.75">
      <c r="A414" s="722" t="s">
        <v>2236</v>
      </c>
      <c r="B414" s="722" t="s">
        <v>2237</v>
      </c>
      <c r="D414" s="722" t="s">
        <v>1503</v>
      </c>
      <c r="E414" s="722" t="s">
        <v>2238</v>
      </c>
      <c r="F414" s="722" t="s">
        <v>2229</v>
      </c>
      <c r="G414" s="722" t="s">
        <v>330</v>
      </c>
      <c r="H414" s="308" t="str">
        <f>IF(ISBLANK(B414),"-",IF(ISERROR(FIND("вич",B414,1)),"ж","м"))</f>
        <v>м</v>
      </c>
      <c r="I414" s="308" t="e">
        <v>#REF!</v>
      </c>
      <c r="J414" s="308" t="e">
        <v>#REF!</v>
      </c>
      <c r="K414" s="29" t="s">
        <v>314</v>
      </c>
      <c r="L414" s="308"/>
      <c r="M414" s="308"/>
      <c r="N414" s="308"/>
      <c r="O414" s="733">
        <v>1</v>
      </c>
      <c r="P414" s="731" t="s">
        <v>618</v>
      </c>
      <c r="Q414" s="308" t="str">
        <f>IF(R414="","включаем","не включаем")</f>
        <v>включаем</v>
      </c>
      <c r="R414" s="732"/>
      <c r="S414" s="308"/>
      <c r="T414" s="308" t="s">
        <v>566</v>
      </c>
      <c r="V414" s="731" t="s">
        <v>996</v>
      </c>
      <c r="W414" s="406">
        <v>46173</v>
      </c>
    </row>
    <row r="415" spans="1:38" customHeight="1" ht="33.75">
      <c r="A415" s="722" t="s">
        <v>2239</v>
      </c>
      <c r="B415" s="722" t="s">
        <v>2240</v>
      </c>
      <c r="D415" s="722" t="s">
        <v>2241</v>
      </c>
      <c r="E415" s="722" t="s">
        <v>2242</v>
      </c>
      <c r="F415" s="722" t="s">
        <v>2243</v>
      </c>
      <c r="G415" s="722" t="s">
        <v>2244</v>
      </c>
      <c r="H415" s="308" t="str">
        <f>IF(ISBLANK(B415),"-",IF(ISERROR(FIND("вич",B415,1)),"ж","м"))</f>
        <v>м</v>
      </c>
      <c r="I415" s="308" t="e">
        <v>#REF!</v>
      </c>
      <c r="J415" s="308" t="e">
        <v>#REF!</v>
      </c>
      <c r="K415" s="29" t="s">
        <v>593</v>
      </c>
      <c r="L415" s="308"/>
      <c r="M415" s="308"/>
      <c r="N415" s="308"/>
      <c r="O415" s="733">
        <v>1</v>
      </c>
      <c r="P415" s="731" t="s">
        <v>618</v>
      </c>
      <c r="Q415" s="308" t="str">
        <f>IF(R415="","включаем","не включаем")</f>
        <v>включаем</v>
      </c>
      <c r="R415" s="732"/>
      <c r="S415" s="308"/>
      <c r="T415" s="308" t="s">
        <v>566</v>
      </c>
      <c r="V415" s="731" t="s">
        <v>996</v>
      </c>
      <c r="W415" s="406">
        <v>46173</v>
      </c>
    </row>
    <row r="416" spans="1:38" customHeight="1" ht="33.75">
      <c r="A416" s="722" t="s">
        <v>2245</v>
      </c>
      <c r="B416" s="722" t="s">
        <v>2246</v>
      </c>
      <c r="D416" s="722" t="s">
        <v>2247</v>
      </c>
      <c r="E416" s="722" t="s">
        <v>2248</v>
      </c>
      <c r="F416" s="722" t="s">
        <v>2243</v>
      </c>
      <c r="G416" s="722" t="s">
        <v>386</v>
      </c>
      <c r="H416" s="308" t="str">
        <f>IF(ISBLANK(B416),"-",IF(ISERROR(FIND("вич",B416,1)),"ж","м"))</f>
        <v>м</v>
      </c>
      <c r="I416" s="308" t="e">
        <v>#REF!</v>
      </c>
      <c r="J416" s="308" t="e">
        <v>#REF!</v>
      </c>
      <c r="K416" s="29" t="s">
        <v>593</v>
      </c>
      <c r="L416" s="308"/>
      <c r="M416" s="308"/>
      <c r="N416" s="308"/>
      <c r="O416" s="733">
        <v>1</v>
      </c>
      <c r="P416" s="731" t="s">
        <v>618</v>
      </c>
      <c r="Q416" s="308" t="str">
        <f>IF(R416="","включаем","не включаем")</f>
        <v>включаем</v>
      </c>
      <c r="R416" s="732"/>
      <c r="S416" s="308"/>
      <c r="T416" s="308" t="s">
        <v>566</v>
      </c>
      <c r="V416" s="731" t="s">
        <v>996</v>
      </c>
      <c r="W416" s="406">
        <v>46173</v>
      </c>
    </row>
    <row r="417" spans="1:38" customHeight="1" ht="33.75">
      <c r="A417" s="722" t="s">
        <v>2249</v>
      </c>
      <c r="B417" s="722" t="s">
        <v>2250</v>
      </c>
      <c r="D417" s="722" t="s">
        <v>2251</v>
      </c>
      <c r="E417" s="722" t="s">
        <v>2252</v>
      </c>
      <c r="F417" s="722" t="s">
        <v>2243</v>
      </c>
      <c r="G417" s="722" t="s">
        <v>386</v>
      </c>
      <c r="H417" s="308" t="str">
        <f>IF(ISBLANK(B417),"-",IF(ISERROR(FIND("вич",B417,1)),"ж","м"))</f>
        <v>м</v>
      </c>
      <c r="I417" s="308" t="e">
        <v>#REF!</v>
      </c>
      <c r="J417" s="308" t="e">
        <v>#REF!</v>
      </c>
      <c r="K417" s="29" t="s">
        <v>593</v>
      </c>
      <c r="L417" s="308"/>
      <c r="M417" s="308"/>
      <c r="N417" s="308"/>
      <c r="O417" s="733">
        <v>1</v>
      </c>
      <c r="P417" s="731" t="s">
        <v>618</v>
      </c>
      <c r="Q417" s="308" t="str">
        <f>IF(R417="","включаем","не включаем")</f>
        <v>включаем</v>
      </c>
      <c r="R417" s="732"/>
      <c r="S417" s="308"/>
      <c r="T417" s="308" t="s">
        <v>566</v>
      </c>
      <c r="V417" s="731" t="s">
        <v>996</v>
      </c>
      <c r="W417" s="406">
        <v>46173</v>
      </c>
    </row>
    <row r="418" spans="1:38" customHeight="1" ht="22.5">
      <c r="A418" s="722" t="s">
        <v>2253</v>
      </c>
      <c r="B418" s="722" t="s">
        <v>2254</v>
      </c>
      <c r="D418" s="722" t="s">
        <v>2255</v>
      </c>
      <c r="E418" s="722" t="s">
        <v>2256</v>
      </c>
      <c r="F418" s="722" t="s">
        <v>2243</v>
      </c>
      <c r="G418" s="722" t="s">
        <v>735</v>
      </c>
      <c r="H418" s="308" t="str">
        <f>IF(ISBLANK(B418),"-",IF(ISERROR(FIND("вич",B418,1)),"ж","м"))</f>
        <v>м</v>
      </c>
      <c r="I418" s="308" t="e">
        <v>#REF!</v>
      </c>
      <c r="J418" s="308" t="e">
        <v>#REF!</v>
      </c>
      <c r="K418" s="29" t="s">
        <v>593</v>
      </c>
      <c r="L418" s="308"/>
      <c r="M418" s="308"/>
      <c r="N418" s="308"/>
      <c r="O418" s="733">
        <v>1</v>
      </c>
      <c r="P418" s="731" t="s">
        <v>618</v>
      </c>
      <c r="Q418" s="308" t="str">
        <f>IF(R418="","включаем","не включаем")</f>
        <v>включаем</v>
      </c>
      <c r="R418" s="732"/>
      <c r="S418" s="308"/>
      <c r="T418" s="308" t="s">
        <v>566</v>
      </c>
      <c r="V418" s="731" t="s">
        <v>996</v>
      </c>
      <c r="W418" s="406">
        <v>46173</v>
      </c>
    </row>
    <row r="419" spans="1:38" customHeight="1" ht="22.5">
      <c r="A419" s="722" t="s">
        <v>2257</v>
      </c>
      <c r="B419" s="722" t="s">
        <v>2258</v>
      </c>
      <c r="D419" s="722" t="s">
        <v>2259</v>
      </c>
      <c r="E419" s="722" t="s">
        <v>2260</v>
      </c>
      <c r="F419" s="722" t="s">
        <v>2243</v>
      </c>
      <c r="G419" s="722" t="s">
        <v>735</v>
      </c>
      <c r="H419" s="308" t="str">
        <f>IF(ISBLANK(B419),"-",IF(ISERROR(FIND("вич",B419,1)),"ж","м"))</f>
        <v>м</v>
      </c>
      <c r="I419" s="308" t="e">
        <v>#REF!</v>
      </c>
      <c r="J419" s="308" t="e">
        <v>#REF!</v>
      </c>
      <c r="K419" s="29" t="s">
        <v>593</v>
      </c>
      <c r="L419" s="308"/>
      <c r="M419" s="308"/>
      <c r="N419" s="308"/>
      <c r="O419" s="733">
        <v>1</v>
      </c>
      <c r="P419" s="731" t="s">
        <v>618</v>
      </c>
      <c r="Q419" s="308" t="str">
        <f>IF(R419="","включаем","не включаем")</f>
        <v>включаем</v>
      </c>
      <c r="R419" s="732"/>
      <c r="S419" s="308"/>
      <c r="T419" s="308" t="s">
        <v>566</v>
      </c>
      <c r="V419" s="731" t="s">
        <v>996</v>
      </c>
      <c r="W419" s="406">
        <v>46173</v>
      </c>
    </row>
    <row r="420" spans="1:38" customHeight="1" ht="22.5">
      <c r="A420" s="722" t="s">
        <v>2261</v>
      </c>
      <c r="B420" s="722" t="s">
        <v>2262</v>
      </c>
      <c r="D420" s="722" t="s">
        <v>2152</v>
      </c>
      <c r="E420" s="722" t="s">
        <v>2263</v>
      </c>
      <c r="F420" s="722" t="s">
        <v>2243</v>
      </c>
      <c r="G420" s="722" t="s">
        <v>477</v>
      </c>
      <c r="H420" s="308" t="str">
        <f>IF(ISBLANK(B420),"-",IF(ISERROR(FIND("вич",B420,1)),"ж","м"))</f>
        <v>м</v>
      </c>
      <c r="I420" s="308" t="e">
        <v>#REF!</v>
      </c>
      <c r="J420" s="308" t="e">
        <v>#REF!</v>
      </c>
      <c r="K420" s="29" t="s">
        <v>593</v>
      </c>
      <c r="L420" s="308"/>
      <c r="M420" s="308"/>
      <c r="N420" s="308"/>
      <c r="O420" s="733">
        <v>1</v>
      </c>
      <c r="P420" s="731" t="s">
        <v>618</v>
      </c>
      <c r="Q420" s="308" t="str">
        <f>IF(R420="","включаем","не включаем")</f>
        <v>включаем</v>
      </c>
      <c r="R420" s="732"/>
      <c r="S420" s="308"/>
      <c r="T420" s="308" t="s">
        <v>566</v>
      </c>
      <c r="V420" s="731" t="s">
        <v>996</v>
      </c>
      <c r="W420" s="406">
        <v>46173</v>
      </c>
    </row>
    <row r="421" spans="1:38" customHeight="1" ht="78.75">
      <c r="A421" s="722" t="s">
        <v>2264</v>
      </c>
      <c r="B421" s="722" t="s">
        <v>2265</v>
      </c>
      <c r="D421" s="722" t="s">
        <v>2266</v>
      </c>
      <c r="E421" s="722" t="s">
        <v>2267</v>
      </c>
      <c r="F421" s="722" t="s">
        <v>2243</v>
      </c>
      <c r="G421" s="722" t="s">
        <v>1945</v>
      </c>
      <c r="H421" s="308" t="str">
        <f>IF(ISBLANK(B421),"-",IF(ISERROR(FIND("вич",B421,1)),"ж","м"))</f>
        <v>м</v>
      </c>
      <c r="I421" s="308" t="e">
        <v>#REF!</v>
      </c>
      <c r="J421" s="308" t="e">
        <v>#REF!</v>
      </c>
      <c r="K421" s="29" t="s">
        <v>593</v>
      </c>
      <c r="L421" s="308"/>
      <c r="M421" s="308"/>
      <c r="N421" s="308"/>
      <c r="O421" s="733">
        <v>1</v>
      </c>
      <c r="P421" s="731" t="s">
        <v>618</v>
      </c>
      <c r="Q421" s="308" t="str">
        <f>IF(R421="","включаем","не включаем")</f>
        <v>включаем</v>
      </c>
      <c r="R421" s="732"/>
      <c r="S421" s="308"/>
      <c r="T421" s="308" t="s">
        <v>566</v>
      </c>
      <c r="V421" s="731" t="s">
        <v>996</v>
      </c>
      <c r="W421" s="406">
        <v>46173</v>
      </c>
    </row>
    <row r="422" spans="1:38" customHeight="1" ht="22.5">
      <c r="A422" s="722" t="s">
        <v>2268</v>
      </c>
      <c r="B422" s="722" t="s">
        <v>2269</v>
      </c>
      <c r="D422" s="722" t="s">
        <v>2270</v>
      </c>
      <c r="E422" s="722" t="s">
        <v>2271</v>
      </c>
      <c r="F422" s="722" t="s">
        <v>2243</v>
      </c>
      <c r="G422" s="722" t="s">
        <v>2272</v>
      </c>
      <c r="H422" s="308" t="str">
        <f>IF(ISBLANK(B422),"-",IF(ISERROR(FIND("вич",B422,1)),"ж","м"))</f>
        <v>м</v>
      </c>
      <c r="I422" s="308" t="e">
        <v>#REF!</v>
      </c>
      <c r="J422" s="308" t="e">
        <v>#REF!</v>
      </c>
      <c r="K422" s="29" t="s">
        <v>593</v>
      </c>
      <c r="L422" s="308"/>
      <c r="M422" s="308"/>
      <c r="N422" s="308"/>
      <c r="O422" s="733">
        <v>1</v>
      </c>
      <c r="P422" s="731" t="s">
        <v>618</v>
      </c>
      <c r="Q422" s="308" t="str">
        <f>IF(R422="","включаем","не включаем")</f>
        <v>включаем</v>
      </c>
      <c r="R422" s="732"/>
      <c r="S422" s="308"/>
      <c r="T422" s="308" t="s">
        <v>566</v>
      </c>
      <c r="V422" s="731" t="s">
        <v>996</v>
      </c>
      <c r="W422" s="406">
        <v>46173</v>
      </c>
    </row>
    <row r="423" spans="1:38" customHeight="1" ht="22.5">
      <c r="A423" s="722" t="s">
        <v>2273</v>
      </c>
      <c r="B423" s="722" t="s">
        <v>2274</v>
      </c>
      <c r="D423" s="722" t="s">
        <v>2275</v>
      </c>
      <c r="E423" s="722" t="s">
        <v>2276</v>
      </c>
      <c r="F423" s="722" t="s">
        <v>299</v>
      </c>
      <c r="G423" s="722" t="s">
        <v>256</v>
      </c>
      <c r="H423" s="308" t="str">
        <f>IF(ISBLANK(B423),"-",IF(ISERROR(FIND("вич",B423,1)),"ж","м"))</f>
        <v>ж</v>
      </c>
      <c r="I423" s="308" t="e">
        <v>#REF!</v>
      </c>
      <c r="J423" s="308" t="e">
        <v>#REF!</v>
      </c>
      <c r="K423" s="29" t="s">
        <v>594</v>
      </c>
      <c r="L423" s="308"/>
      <c r="M423" s="308"/>
      <c r="N423" s="308"/>
      <c r="O423" s="733">
        <v>1</v>
      </c>
      <c r="P423" s="731" t="s">
        <v>618</v>
      </c>
      <c r="Q423" s="308" t="str">
        <f>IF(R423="","включаем","не включаем")</f>
        <v>включаем</v>
      </c>
      <c r="R423" s="732"/>
      <c r="S423" s="308"/>
      <c r="T423" s="308" t="s">
        <v>566</v>
      </c>
      <c r="V423" s="731" t="s">
        <v>996</v>
      </c>
      <c r="W423" s="406">
        <v>46173</v>
      </c>
    </row>
    <row r="424" spans="1:38" customHeight="1" ht="33.75">
      <c r="A424" s="722" t="s">
        <v>2277</v>
      </c>
      <c r="B424" s="722" t="s">
        <v>2278</v>
      </c>
      <c r="D424" s="722" t="s">
        <v>2279</v>
      </c>
      <c r="E424" s="723" t="s">
        <v>2280</v>
      </c>
      <c r="F424" s="722" t="s">
        <v>299</v>
      </c>
      <c r="G424" s="722" t="s">
        <v>2281</v>
      </c>
      <c r="H424" s="308" t="str">
        <f>IF(ISBLANK(B424),"-",IF(ISERROR(FIND("вич",B424,1)),"ж","м"))</f>
        <v>ж</v>
      </c>
      <c r="I424" s="308" t="e">
        <v>#REF!</v>
      </c>
      <c r="J424" s="308" t="e">
        <v>#REF!</v>
      </c>
      <c r="K424" s="29" t="s">
        <v>594</v>
      </c>
      <c r="L424" s="308"/>
      <c r="M424" s="308"/>
      <c r="N424" s="308"/>
      <c r="O424" s="733">
        <v>1</v>
      </c>
      <c r="P424" s="731" t="s">
        <v>618</v>
      </c>
      <c r="Q424" s="308" t="str">
        <f>IF(R424="","включаем","не включаем")</f>
        <v>включаем</v>
      </c>
      <c r="R424" s="732"/>
      <c r="S424" s="308"/>
      <c r="T424" s="308" t="s">
        <v>566</v>
      </c>
      <c r="V424" s="731" t="s">
        <v>996</v>
      </c>
      <c r="W424" s="406">
        <v>46173</v>
      </c>
    </row>
    <row r="425" spans="1:38" customHeight="1" ht="33.75">
      <c r="A425" s="722" t="s">
        <v>2282</v>
      </c>
      <c r="B425" s="722" t="s">
        <v>2283</v>
      </c>
      <c r="D425" s="722" t="s">
        <v>2284</v>
      </c>
      <c r="E425" s="722" t="s">
        <v>2285</v>
      </c>
      <c r="F425" s="722" t="s">
        <v>299</v>
      </c>
      <c r="G425" s="722" t="s">
        <v>2286</v>
      </c>
      <c r="H425" s="308" t="str">
        <f>IF(ISBLANK(B425),"-",IF(ISERROR(FIND("вич",B425,1)),"ж","м"))</f>
        <v>ж</v>
      </c>
      <c r="I425" s="308" t="e">
        <v>#REF!</v>
      </c>
      <c r="J425" s="308" t="e">
        <v>#REF!</v>
      </c>
      <c r="K425" s="29" t="s">
        <v>594</v>
      </c>
      <c r="L425" s="308"/>
      <c r="M425" s="308"/>
      <c r="N425" s="308"/>
      <c r="O425" s="733">
        <v>1</v>
      </c>
      <c r="P425" s="731" t="s">
        <v>618</v>
      </c>
      <c r="Q425" s="308" t="str">
        <f>IF(R425="","включаем","не включаем")</f>
        <v>включаем</v>
      </c>
      <c r="R425" s="732"/>
      <c r="S425" s="308"/>
      <c r="T425" s="308" t="s">
        <v>566</v>
      </c>
      <c r="V425" s="731" t="s">
        <v>996</v>
      </c>
      <c r="W425" s="406">
        <v>46173</v>
      </c>
    </row>
    <row r="426" spans="1:38" customHeight="1" ht="45">
      <c r="A426" s="722" t="s">
        <v>2287</v>
      </c>
      <c r="B426" s="722" t="s">
        <v>2288</v>
      </c>
      <c r="D426" s="722" t="s">
        <v>2289</v>
      </c>
      <c r="E426" s="722" t="s">
        <v>2290</v>
      </c>
      <c r="F426" s="722" t="s">
        <v>257</v>
      </c>
      <c r="G426" s="722" t="s">
        <v>249</v>
      </c>
      <c r="H426" s="308" t="str">
        <f>IF(ISBLANK(B426),"-",IF(ISERROR(FIND("вич",B426,1)),"ж","м"))</f>
        <v>м</v>
      </c>
      <c r="I426" s="308" t="e">
        <v>#REF!</v>
      </c>
      <c r="J426" s="308" t="e">
        <v>#REF!</v>
      </c>
      <c r="K426" s="29" t="s">
        <v>594</v>
      </c>
      <c r="L426" s="308"/>
      <c r="M426" s="308"/>
      <c r="N426" s="308"/>
      <c r="O426" s="733">
        <v>1</v>
      </c>
      <c r="P426" s="731" t="s">
        <v>618</v>
      </c>
      <c r="Q426" s="308" t="str">
        <f>IF(R426="","включаем","не включаем")</f>
        <v>включаем</v>
      </c>
      <c r="R426" s="732"/>
      <c r="S426" s="308"/>
      <c r="T426" s="308" t="s">
        <v>566</v>
      </c>
      <c r="V426" s="731" t="s">
        <v>996</v>
      </c>
      <c r="W426" s="406">
        <v>46173</v>
      </c>
    </row>
    <row r="427" spans="1:38" customHeight="1" ht="33.75">
      <c r="A427" s="722" t="s">
        <v>962</v>
      </c>
      <c r="B427" s="722" t="s">
        <v>2291</v>
      </c>
      <c r="D427" s="722" t="s">
        <v>1100</v>
      </c>
      <c r="E427" s="722" t="s">
        <v>2292</v>
      </c>
      <c r="F427" s="722" t="s">
        <v>257</v>
      </c>
      <c r="G427" s="722" t="s">
        <v>256</v>
      </c>
      <c r="H427" s="308" t="str">
        <f>IF(ISBLANK(B427),"-",IF(ISERROR(FIND("вич",B427,1)),"ж","м"))</f>
        <v>м</v>
      </c>
      <c r="I427" s="308" t="e">
        <v>#REF!</v>
      </c>
      <c r="J427" s="308" t="e">
        <v>#REF!</v>
      </c>
      <c r="K427" s="29" t="s">
        <v>594</v>
      </c>
      <c r="L427" s="308"/>
      <c r="M427" s="308"/>
      <c r="N427" s="308"/>
      <c r="O427" s="734">
        <v>0.335</v>
      </c>
      <c r="P427" s="731" t="s">
        <v>618</v>
      </c>
      <c r="Q427" s="308" t="str">
        <f>IF(R427="","включаем","не включаем")</f>
        <v>включаем</v>
      </c>
      <c r="R427" s="732"/>
      <c r="S427" s="308"/>
      <c r="T427" s="308" t="s">
        <v>566</v>
      </c>
      <c r="V427" s="731" t="s">
        <v>996</v>
      </c>
      <c r="W427" s="406">
        <v>46173</v>
      </c>
    </row>
    <row r="428" spans="1:38" customHeight="1" ht="45">
      <c r="A428" s="722" t="s">
        <v>2293</v>
      </c>
      <c r="B428" s="722" t="s">
        <v>2294</v>
      </c>
      <c r="D428" s="722" t="s">
        <v>1100</v>
      </c>
      <c r="E428" s="722" t="s">
        <v>2295</v>
      </c>
      <c r="F428" s="722" t="s">
        <v>2296</v>
      </c>
      <c r="G428" s="722" t="s">
        <v>2297</v>
      </c>
      <c r="H428" s="308" t="str">
        <f>IF(ISBLANK(B428),"-",IF(ISERROR(FIND("вич",B428,1)),"ж","м"))</f>
        <v>ж</v>
      </c>
      <c r="I428" s="308" t="e">
        <v>#REF!</v>
      </c>
      <c r="J428" s="308" t="e">
        <v>#REF!</v>
      </c>
      <c r="K428" s="29" t="s">
        <v>594</v>
      </c>
      <c r="L428" s="308"/>
      <c r="M428" s="308"/>
      <c r="N428" s="308"/>
      <c r="O428" s="733">
        <v>1</v>
      </c>
      <c r="P428" s="731" t="s">
        <v>618</v>
      </c>
      <c r="Q428" s="308" t="str">
        <f>IF(R428="","включаем","не включаем")</f>
        <v>включаем</v>
      </c>
      <c r="R428" s="732"/>
      <c r="S428" s="308"/>
      <c r="T428" s="308" t="s">
        <v>566</v>
      </c>
      <c r="V428" s="731" t="s">
        <v>996</v>
      </c>
      <c r="W428" s="406">
        <v>46173</v>
      </c>
    </row>
    <row r="429" spans="1:38" customHeight="1" ht="33.75">
      <c r="A429" s="722" t="s">
        <v>2298</v>
      </c>
      <c r="B429" s="722" t="s">
        <v>2299</v>
      </c>
      <c r="D429" s="722" t="s">
        <v>2300</v>
      </c>
      <c r="E429" s="722" t="s">
        <v>2301</v>
      </c>
      <c r="F429" s="722" t="s">
        <v>2302</v>
      </c>
      <c r="G429" s="722" t="s">
        <v>2303</v>
      </c>
      <c r="H429" s="308" t="str">
        <f>IF(ISBLANK(B429),"-",IF(ISERROR(FIND("вич",B429,1)),"ж","м"))</f>
        <v>ж</v>
      </c>
      <c r="I429" s="308" t="e">
        <v>#REF!</v>
      </c>
      <c r="J429" s="308" t="e">
        <v>#REF!</v>
      </c>
      <c r="K429" s="29" t="s">
        <v>349</v>
      </c>
      <c r="L429" s="308"/>
      <c r="M429" s="308"/>
      <c r="N429" s="308"/>
      <c r="O429" s="733">
        <v>1</v>
      </c>
      <c r="P429" s="731" t="s">
        <v>618</v>
      </c>
      <c r="Q429" s="308" t="str">
        <f>IF(R429="","включаем","не включаем")</f>
        <v>включаем</v>
      </c>
      <c r="R429" s="732"/>
      <c r="S429" s="308"/>
      <c r="T429" s="308" t="s">
        <v>566</v>
      </c>
      <c r="V429" s="731" t="s">
        <v>996</v>
      </c>
      <c r="W429" s="406">
        <v>46173</v>
      </c>
    </row>
    <row r="430" spans="1:38" customHeight="1" ht="45">
      <c r="A430" s="722" t="s">
        <v>2304</v>
      </c>
      <c r="B430" s="722" t="s">
        <v>2305</v>
      </c>
      <c r="D430" s="722" t="s">
        <v>2306</v>
      </c>
      <c r="E430" s="722" t="s">
        <v>2307</v>
      </c>
      <c r="F430" s="722" t="s">
        <v>2302</v>
      </c>
      <c r="G430" s="722" t="s">
        <v>2308</v>
      </c>
      <c r="H430" s="308" t="str">
        <f>IF(ISBLANK(B430),"-",IF(ISERROR(FIND("вич",B430,1)),"ж","м"))</f>
        <v>ж</v>
      </c>
      <c r="I430" s="308" t="e">
        <v>#REF!</v>
      </c>
      <c r="J430" s="308" t="e">
        <v>#REF!</v>
      </c>
      <c r="K430" s="29" t="s">
        <v>349</v>
      </c>
      <c r="L430" s="308"/>
      <c r="M430" s="308"/>
      <c r="N430" s="308"/>
      <c r="O430" s="733">
        <v>1</v>
      </c>
      <c r="P430" s="731" t="s">
        <v>618</v>
      </c>
      <c r="Q430" s="308" t="str">
        <f>IF(R430="","включаем","не включаем")</f>
        <v>включаем</v>
      </c>
      <c r="R430" s="732"/>
      <c r="S430" s="308"/>
      <c r="T430" s="308" t="s">
        <v>566</v>
      </c>
      <c r="V430" s="731" t="s">
        <v>996</v>
      </c>
      <c r="W430" s="406">
        <v>46173</v>
      </c>
    </row>
    <row r="431" spans="1:38" customHeight="1" ht="33.75">
      <c r="A431" s="722" t="s">
        <v>2309</v>
      </c>
      <c r="B431" s="722" t="s">
        <v>2310</v>
      </c>
      <c r="D431" s="722" t="s">
        <v>2311</v>
      </c>
      <c r="E431" s="722" t="s">
        <v>2312</v>
      </c>
      <c r="F431" s="722" t="s">
        <v>456</v>
      </c>
      <c r="G431" s="722" t="s">
        <v>394</v>
      </c>
      <c r="H431" s="308" t="str">
        <f>IF(ISBLANK(B431),"-",IF(ISERROR(FIND("вич",B431,1)),"ж","м"))</f>
        <v>ж</v>
      </c>
      <c r="I431" s="308" t="e">
        <v>#REF!</v>
      </c>
      <c r="J431" s="308" t="e">
        <v>#REF!</v>
      </c>
      <c r="K431" s="29" t="s">
        <v>349</v>
      </c>
      <c r="L431" s="308"/>
      <c r="M431" s="308"/>
      <c r="N431" s="308"/>
      <c r="O431" s="733">
        <v>1</v>
      </c>
      <c r="P431" s="731" t="s">
        <v>618</v>
      </c>
      <c r="Q431" s="308" t="str">
        <f>IF(R431="","включаем","не включаем")</f>
        <v>включаем</v>
      </c>
      <c r="R431" s="732"/>
      <c r="S431" s="308"/>
      <c r="T431" s="308" t="s">
        <v>566</v>
      </c>
      <c r="V431" s="731" t="s">
        <v>996</v>
      </c>
      <c r="W431" s="406">
        <v>46173</v>
      </c>
    </row>
    <row r="432" spans="1:38" customHeight="1" ht="22.5">
      <c r="A432" s="722" t="s">
        <v>2313</v>
      </c>
      <c r="B432" s="722" t="s">
        <v>2314</v>
      </c>
      <c r="D432" s="722" t="s">
        <v>1117</v>
      </c>
      <c r="E432" s="723" t="s">
        <v>2315</v>
      </c>
      <c r="F432" s="722" t="s">
        <v>456</v>
      </c>
      <c r="G432" s="722" t="s">
        <v>462</v>
      </c>
      <c r="H432" s="308" t="str">
        <f>IF(ISBLANK(B432),"-",IF(ISERROR(FIND("вич",B432,1)),"ж","м"))</f>
        <v>ж</v>
      </c>
      <c r="I432" s="308" t="e">
        <v>#REF!</v>
      </c>
      <c r="J432" s="308" t="e">
        <v>#REF!</v>
      </c>
      <c r="K432" s="29" t="s">
        <v>349</v>
      </c>
      <c r="L432" s="308"/>
      <c r="M432" s="308"/>
      <c r="N432" s="308"/>
      <c r="O432" s="733">
        <v>1</v>
      </c>
      <c r="P432" s="731" t="s">
        <v>618</v>
      </c>
      <c r="Q432" s="308" t="str">
        <f>IF(R432="","включаем","не включаем")</f>
        <v>включаем</v>
      </c>
      <c r="R432" s="732"/>
      <c r="S432" s="308"/>
      <c r="T432" s="308" t="s">
        <v>566</v>
      </c>
      <c r="V432" s="731" t="s">
        <v>996</v>
      </c>
      <c r="W432" s="406">
        <v>46173</v>
      </c>
    </row>
    <row r="433" spans="1:38" customHeight="1" ht="33.75">
      <c r="A433" s="724" t="s">
        <v>2316</v>
      </c>
      <c r="B433" s="724" t="s">
        <v>2317</v>
      </c>
      <c r="D433" s="724" t="s">
        <v>2318</v>
      </c>
      <c r="E433" s="724" t="s">
        <v>2319</v>
      </c>
      <c r="F433" s="724" t="s">
        <v>240</v>
      </c>
      <c r="G433" s="724" t="s">
        <v>239</v>
      </c>
      <c r="H433" s="308" t="str">
        <f>IF(ISBLANK(B433),"-",IF(ISERROR(FIND("вич",B433,1)),"ж","м"))</f>
        <v>ж</v>
      </c>
      <c r="I433" s="308" t="e">
        <v>#REF!</v>
      </c>
      <c r="J433" s="308" t="e">
        <v>#REF!</v>
      </c>
      <c r="K433" s="29" t="s">
        <v>135</v>
      </c>
      <c r="L433" s="308"/>
      <c r="M433" s="308"/>
      <c r="N433" s="308"/>
      <c r="O433" s="735" t="s">
        <v>2320</v>
      </c>
      <c r="P433" s="729" t="s">
        <v>618</v>
      </c>
      <c r="Q433" s="308" t="str">
        <f>IF(R433="","включаем","не включаем")</f>
        <v>включаем</v>
      </c>
      <c r="R433" s="732"/>
      <c r="S433" s="308"/>
      <c r="T433" s="308" t="s">
        <v>566</v>
      </c>
      <c r="V433" s="729" t="s">
        <v>2321</v>
      </c>
      <c r="W433" s="406">
        <v>46173</v>
      </c>
    </row>
    <row r="434" spans="1:38" customHeight="1" ht="33.75">
      <c r="A434" s="724" t="s">
        <v>2322</v>
      </c>
      <c r="B434" s="724" t="s">
        <v>2323</v>
      </c>
      <c r="D434" s="724" t="s">
        <v>2324</v>
      </c>
      <c r="E434" s="724" t="s">
        <v>2325</v>
      </c>
      <c r="F434" s="724" t="s">
        <v>240</v>
      </c>
      <c r="G434" s="724" t="s">
        <v>239</v>
      </c>
      <c r="H434" s="308" t="str">
        <f>IF(ISBLANK(B434),"-",IF(ISERROR(FIND("вич",B434,1)),"ж","м"))</f>
        <v>ж</v>
      </c>
      <c r="I434" s="308" t="e">
        <v>#REF!</v>
      </c>
      <c r="J434" s="308" t="e">
        <v>#REF!</v>
      </c>
      <c r="K434" s="29" t="s">
        <v>135</v>
      </c>
      <c r="L434" s="308"/>
      <c r="M434" s="308"/>
      <c r="N434" s="308"/>
      <c r="O434" s="735" t="s">
        <v>2320</v>
      </c>
      <c r="P434" s="729" t="s">
        <v>618</v>
      </c>
      <c r="Q434" s="308" t="str">
        <f>IF(R434="","включаем","не включаем")</f>
        <v>включаем</v>
      </c>
      <c r="R434" s="732"/>
      <c r="S434" s="308"/>
      <c r="T434" s="308" t="s">
        <v>566</v>
      </c>
      <c r="V434" s="729" t="s">
        <v>2321</v>
      </c>
      <c r="W434" s="406">
        <v>46173</v>
      </c>
    </row>
    <row r="435" spans="1:38" customHeight="1" ht="22.5">
      <c r="A435" s="724" t="s">
        <v>2326</v>
      </c>
      <c r="B435" s="724" t="s">
        <v>2327</v>
      </c>
      <c r="D435" s="724" t="s">
        <v>2328</v>
      </c>
      <c r="E435" s="724" t="s">
        <v>2329</v>
      </c>
      <c r="F435" s="724" t="s">
        <v>504</v>
      </c>
      <c r="G435" s="724" t="s">
        <v>1665</v>
      </c>
      <c r="H435" s="308" t="str">
        <f>IF(ISBLANK(B435),"-",IF(ISERROR(FIND("вич",B435,1)),"ж","м"))</f>
        <v>м</v>
      </c>
      <c r="I435" s="308" t="e">
        <v>#REF!</v>
      </c>
      <c r="J435" s="308" t="e">
        <v>#REF!</v>
      </c>
      <c r="K435" s="29" t="s">
        <v>135</v>
      </c>
      <c r="L435" s="308"/>
      <c r="M435" s="308"/>
      <c r="N435" s="308"/>
      <c r="O435" s="736">
        <v>1</v>
      </c>
      <c r="P435" s="729" t="s">
        <v>618</v>
      </c>
      <c r="Q435" s="308" t="str">
        <f>IF(R435="","включаем","не включаем")</f>
        <v>включаем</v>
      </c>
      <c r="R435" s="732"/>
      <c r="S435" s="308"/>
      <c r="T435" s="308" t="s">
        <v>566</v>
      </c>
      <c r="V435" s="729" t="s">
        <v>2321</v>
      </c>
      <c r="W435" s="406">
        <v>46173</v>
      </c>
    </row>
    <row r="436" spans="1:38" customHeight="1" ht="22.5">
      <c r="A436" s="724" t="s">
        <v>2330</v>
      </c>
      <c r="B436" s="726" t="s">
        <v>2331</v>
      </c>
      <c r="D436" s="724" t="s">
        <v>2332</v>
      </c>
      <c r="E436" s="724" t="s">
        <v>2333</v>
      </c>
      <c r="F436" s="724" t="s">
        <v>504</v>
      </c>
      <c r="G436" s="724" t="s">
        <v>1665</v>
      </c>
      <c r="H436" s="308" t="str">
        <f>IF(ISBLANK(B436),"-",IF(ISERROR(FIND("вич",B436,1)),"ж","м"))</f>
        <v>м</v>
      </c>
      <c r="I436" s="308" t="e">
        <v>#REF!</v>
      </c>
      <c r="J436" s="308" t="e">
        <v>#REF!</v>
      </c>
      <c r="K436" s="29" t="s">
        <v>135</v>
      </c>
      <c r="L436" s="308"/>
      <c r="M436" s="308"/>
      <c r="N436" s="308"/>
      <c r="O436" s="736">
        <v>1</v>
      </c>
      <c r="P436" s="729" t="s">
        <v>618</v>
      </c>
      <c r="Q436" s="308" t="str">
        <f>IF(R436="","включаем","не включаем")</f>
        <v>включаем</v>
      </c>
      <c r="R436" s="732"/>
      <c r="S436" s="308"/>
      <c r="T436" s="308" t="s">
        <v>566</v>
      </c>
      <c r="V436" s="729" t="s">
        <v>2321</v>
      </c>
      <c r="W436" s="406">
        <v>46173</v>
      </c>
    </row>
    <row r="437" spans="1:38" customHeight="1" ht="33.75">
      <c r="A437" s="724" t="s">
        <v>2334</v>
      </c>
      <c r="B437" s="724" t="s">
        <v>2335</v>
      </c>
      <c r="C437" s="728"/>
      <c r="D437" s="724" t="s">
        <v>2336</v>
      </c>
      <c r="E437" s="724" t="s">
        <v>2337</v>
      </c>
      <c r="F437" s="724" t="s">
        <v>2338</v>
      </c>
      <c r="G437" s="724" t="s">
        <v>284</v>
      </c>
      <c r="H437" s="308" t="str">
        <f>IF(ISBLANK(B437),"-",IF(ISERROR(FIND("вич",B437,1)),"ж","м"))</f>
        <v>ж</v>
      </c>
      <c r="I437" s="308" t="e">
        <v>#REF!</v>
      </c>
      <c r="J437" s="308" t="e">
        <v>#REF!</v>
      </c>
      <c r="K437" s="29" t="s">
        <v>135</v>
      </c>
      <c r="L437" s="308"/>
      <c r="M437" s="308"/>
      <c r="N437" s="308"/>
      <c r="O437" s="736">
        <v>1</v>
      </c>
      <c r="P437" s="729" t="s">
        <v>618</v>
      </c>
      <c r="Q437" s="308" t="str">
        <f>IF(R437="","включаем","не включаем")</f>
        <v>включаем</v>
      </c>
      <c r="R437" s="732"/>
      <c r="S437" s="308"/>
      <c r="T437" s="308" t="s">
        <v>566</v>
      </c>
      <c r="V437" s="729" t="s">
        <v>2321</v>
      </c>
      <c r="W437" s="406">
        <v>46173</v>
      </c>
    </row>
    <row r="438" spans="1:38" customHeight="1" ht="22.5">
      <c r="A438" s="724" t="s">
        <v>2339</v>
      </c>
      <c r="B438" s="724" t="s">
        <v>2340</v>
      </c>
      <c r="C438" s="728"/>
      <c r="D438" s="724" t="s">
        <v>993</v>
      </c>
      <c r="E438" s="724" t="s">
        <v>2341</v>
      </c>
      <c r="F438" s="724" t="s">
        <v>2342</v>
      </c>
      <c r="G438" s="724" t="s">
        <v>132</v>
      </c>
      <c r="H438" s="308" t="str">
        <f>IF(ISBLANK(B438),"-",IF(ISERROR(FIND("вич",B438,1)),"ж","м"))</f>
        <v>ж</v>
      </c>
      <c r="I438" s="308" t="e">
        <v>#REF!</v>
      </c>
      <c r="J438" s="308" t="e">
        <v>#REF!</v>
      </c>
      <c r="K438" s="29" t="s">
        <v>135</v>
      </c>
      <c r="L438" s="308"/>
      <c r="M438" s="308"/>
      <c r="N438" s="308"/>
      <c r="O438" s="736">
        <v>1</v>
      </c>
      <c r="P438" s="729" t="s">
        <v>618</v>
      </c>
      <c r="Q438" s="308" t="str">
        <f>IF(R438="","включаем","не включаем")</f>
        <v>включаем</v>
      </c>
      <c r="R438" s="732"/>
      <c r="S438" s="308"/>
      <c r="T438" s="308" t="s">
        <v>566</v>
      </c>
      <c r="V438" s="729" t="s">
        <v>2321</v>
      </c>
      <c r="W438" s="406">
        <v>46173</v>
      </c>
    </row>
    <row r="439" spans="1:38" customHeight="1" ht="22.5">
      <c r="A439" s="724" t="s">
        <v>908</v>
      </c>
      <c r="B439" s="724" t="s">
        <v>2343</v>
      </c>
      <c r="C439" s="728"/>
      <c r="D439" s="724" t="s">
        <v>2344</v>
      </c>
      <c r="E439" s="724" t="s">
        <v>2345</v>
      </c>
      <c r="F439" s="724" t="s">
        <v>152</v>
      </c>
      <c r="G439" s="724" t="s">
        <v>162</v>
      </c>
      <c r="H439" s="308" t="str">
        <f>IF(ISBLANK(B439),"-",IF(ISERROR(FIND("вич",B439,1)),"ж","м"))</f>
        <v>ж</v>
      </c>
      <c r="I439" s="308" t="e">
        <v>#REF!</v>
      </c>
      <c r="J439" s="308" t="e">
        <v>#REF!</v>
      </c>
      <c r="K439" s="29" t="s">
        <v>135</v>
      </c>
      <c r="L439" s="308"/>
      <c r="M439" s="308"/>
      <c r="N439" s="308"/>
      <c r="O439" s="736">
        <v>1</v>
      </c>
      <c r="P439" s="729" t="s">
        <v>618</v>
      </c>
      <c r="Q439" s="308" t="str">
        <f>IF(R439="","включаем","не включаем")</f>
        <v>включаем</v>
      </c>
      <c r="R439" s="732"/>
      <c r="S439" s="308"/>
      <c r="T439" s="308" t="s">
        <v>566</v>
      </c>
      <c r="V439" s="729" t="s">
        <v>2321</v>
      </c>
      <c r="W439" s="406">
        <v>46173</v>
      </c>
    </row>
    <row r="440" spans="1:38" customHeight="1" ht="22.5">
      <c r="A440" s="724" t="s">
        <v>2346</v>
      </c>
      <c r="B440" s="724" t="s">
        <v>2347</v>
      </c>
      <c r="C440" s="728"/>
      <c r="D440" s="724" t="s">
        <v>914</v>
      </c>
      <c r="E440" s="724" t="s">
        <v>2348</v>
      </c>
      <c r="F440" s="724" t="s">
        <v>152</v>
      </c>
      <c r="G440" s="724" t="s">
        <v>163</v>
      </c>
      <c r="H440" s="308" t="str">
        <f>IF(ISBLANK(B440),"-",IF(ISERROR(FIND("вич",B440,1)),"ж","м"))</f>
        <v>ж</v>
      </c>
      <c r="I440" s="308" t="e">
        <v>#REF!</v>
      </c>
      <c r="J440" s="308" t="e">
        <v>#REF!</v>
      </c>
      <c r="K440" s="29" t="s">
        <v>135</v>
      </c>
      <c r="L440" s="308"/>
      <c r="M440" s="308"/>
      <c r="N440" s="308"/>
      <c r="O440" s="736">
        <v>1</v>
      </c>
      <c r="P440" s="729" t="s">
        <v>618</v>
      </c>
      <c r="Q440" s="308" t="str">
        <f>IF(R440="","включаем","не включаем")</f>
        <v>включаем</v>
      </c>
      <c r="R440" s="732"/>
      <c r="S440" s="308"/>
      <c r="T440" s="308" t="s">
        <v>566</v>
      </c>
      <c r="V440" s="729" t="s">
        <v>2321</v>
      </c>
      <c r="W440" s="406">
        <v>46173</v>
      </c>
    </row>
    <row r="441" spans="1:38" customHeight="1" ht="33.75">
      <c r="A441" s="724" t="s">
        <v>2349</v>
      </c>
      <c r="B441" s="724" t="s">
        <v>2350</v>
      </c>
      <c r="C441" s="728"/>
      <c r="D441" s="724" t="s">
        <v>2351</v>
      </c>
      <c r="E441" s="724" t="s">
        <v>2352</v>
      </c>
      <c r="F441" s="724" t="s">
        <v>152</v>
      </c>
      <c r="G441" s="724" t="s">
        <v>157</v>
      </c>
      <c r="H441" s="308" t="str">
        <f>IF(ISBLANK(B441),"-",IF(ISERROR(FIND("вич",B441,1)),"ж","м"))</f>
        <v>ж</v>
      </c>
      <c r="I441" s="308" t="e">
        <v>#REF!</v>
      </c>
      <c r="J441" s="308" t="e">
        <v>#REF!</v>
      </c>
      <c r="K441" s="29" t="s">
        <v>135</v>
      </c>
      <c r="L441" s="308"/>
      <c r="M441" s="308"/>
      <c r="N441" s="308"/>
      <c r="O441" s="736">
        <v>1</v>
      </c>
      <c r="P441" s="729" t="s">
        <v>618</v>
      </c>
      <c r="Q441" s="308" t="str">
        <f>IF(R441="","включаем","не включаем")</f>
        <v>включаем</v>
      </c>
      <c r="R441" s="732"/>
      <c r="S441" s="308"/>
      <c r="T441" s="308" t="s">
        <v>566</v>
      </c>
      <c r="V441" s="729" t="s">
        <v>2321</v>
      </c>
      <c r="W441" s="406">
        <v>46173</v>
      </c>
    </row>
    <row r="442" spans="1:38" customHeight="1" ht="33.75">
      <c r="A442" s="724" t="s">
        <v>2353</v>
      </c>
      <c r="B442" s="724" t="s">
        <v>2354</v>
      </c>
      <c r="C442" s="728"/>
      <c r="D442" s="724" t="s">
        <v>968</v>
      </c>
      <c r="E442" s="724" t="s">
        <v>2355</v>
      </c>
      <c r="F442" s="724" t="s">
        <v>464</v>
      </c>
      <c r="G442" s="724" t="s">
        <v>284</v>
      </c>
      <c r="H442" s="308" t="str">
        <f>IF(ISBLANK(B442),"-",IF(ISERROR(FIND("вич",B442,1)),"ж","м"))</f>
        <v>ж</v>
      </c>
      <c r="I442" s="308" t="e">
        <v>#REF!</v>
      </c>
      <c r="J442" s="308" t="e">
        <v>#REF!</v>
      </c>
      <c r="K442" s="29" t="s">
        <v>135</v>
      </c>
      <c r="L442" s="308"/>
      <c r="M442" s="308"/>
      <c r="N442" s="308"/>
      <c r="O442" s="736">
        <v>1</v>
      </c>
      <c r="P442" s="729" t="s">
        <v>618</v>
      </c>
      <c r="Q442" s="308" t="str">
        <f>IF(R442="","включаем","не включаем")</f>
        <v>включаем</v>
      </c>
      <c r="R442" s="732"/>
      <c r="S442" s="308"/>
      <c r="T442" s="308" t="s">
        <v>566</v>
      </c>
      <c r="V442" s="729" t="s">
        <v>2321</v>
      </c>
      <c r="W442" s="406">
        <v>46173</v>
      </c>
    </row>
    <row r="443" spans="1:38" customHeight="1" ht="33.75">
      <c r="A443" s="724" t="s">
        <v>2356</v>
      </c>
      <c r="B443" s="724" t="s">
        <v>2357</v>
      </c>
      <c r="C443" s="728"/>
      <c r="D443" s="724" t="s">
        <v>2358</v>
      </c>
      <c r="E443" s="724" t="s">
        <v>2359</v>
      </c>
      <c r="F443" s="724" t="s">
        <v>464</v>
      </c>
      <c r="G443" s="724" t="s">
        <v>461</v>
      </c>
      <c r="H443" s="308" t="str">
        <f>IF(ISBLANK(B443),"-",IF(ISERROR(FIND("вич",B443,1)),"ж","м"))</f>
        <v>м</v>
      </c>
      <c r="I443" s="308" t="e">
        <v>#REF!</v>
      </c>
      <c r="J443" s="308" t="e">
        <v>#REF!</v>
      </c>
      <c r="K443" s="29" t="s">
        <v>135</v>
      </c>
      <c r="L443" s="308"/>
      <c r="M443" s="308"/>
      <c r="N443" s="308"/>
      <c r="O443" s="736">
        <v>1</v>
      </c>
      <c r="P443" s="729" t="s">
        <v>618</v>
      </c>
      <c r="Q443" s="308" t="str">
        <f>IF(R443="","включаем","не включаем")</f>
        <v>включаем</v>
      </c>
      <c r="R443" s="732"/>
      <c r="S443" s="308"/>
      <c r="T443" s="308" t="s">
        <v>566</v>
      </c>
      <c r="V443" s="729" t="s">
        <v>2321</v>
      </c>
      <c r="W443" s="406">
        <v>46173</v>
      </c>
    </row>
    <row r="444" spans="1:38" customHeight="1" ht="56.25">
      <c r="A444" s="724" t="s">
        <v>2360</v>
      </c>
      <c r="B444" s="724" t="s">
        <v>2361</v>
      </c>
      <c r="C444" s="728"/>
      <c r="D444" s="724" t="s">
        <v>2362</v>
      </c>
      <c r="E444" s="724" t="s">
        <v>2363</v>
      </c>
      <c r="F444" s="724" t="s">
        <v>464</v>
      </c>
      <c r="G444" s="724" t="s">
        <v>465</v>
      </c>
      <c r="H444" s="308" t="str">
        <f>IF(ISBLANK(B444),"-",IF(ISERROR(FIND("вич",B444,1)),"ж","м"))</f>
        <v>м</v>
      </c>
      <c r="I444" s="308" t="e">
        <v>#REF!</v>
      </c>
      <c r="J444" s="308" t="e">
        <v>#REF!</v>
      </c>
      <c r="K444" s="29" t="s">
        <v>135</v>
      </c>
      <c r="L444" s="308"/>
      <c r="M444" s="308"/>
      <c r="N444" s="308"/>
      <c r="O444" s="735" t="s">
        <v>2364</v>
      </c>
      <c r="P444" s="729" t="s">
        <v>618</v>
      </c>
      <c r="Q444" s="308" t="str">
        <f>IF(R444="","включаем","не включаем")</f>
        <v>включаем</v>
      </c>
      <c r="R444" s="732"/>
      <c r="S444" s="308"/>
      <c r="T444" s="308" t="s">
        <v>566</v>
      </c>
      <c r="V444" s="729" t="s">
        <v>2321</v>
      </c>
      <c r="W444" s="406">
        <v>46173</v>
      </c>
    </row>
    <row r="445" spans="1:38" customHeight="1" ht="45">
      <c r="A445" s="724" t="s">
        <v>2365</v>
      </c>
      <c r="B445" s="724" t="s">
        <v>2366</v>
      </c>
      <c r="C445" s="728"/>
      <c r="D445" s="724" t="s">
        <v>2367</v>
      </c>
      <c r="E445" s="724" t="s">
        <v>2368</v>
      </c>
      <c r="F445" s="724" t="s">
        <v>464</v>
      </c>
      <c r="G445" s="724" t="s">
        <v>503</v>
      </c>
      <c r="H445" s="308" t="str">
        <f>IF(ISBLANK(B445),"-",IF(ISERROR(FIND("вич",B445,1)),"ж","м"))</f>
        <v>ж</v>
      </c>
      <c r="I445" s="308" t="e">
        <v>#REF!</v>
      </c>
      <c r="J445" s="308" t="e">
        <v>#REF!</v>
      </c>
      <c r="K445" s="29" t="s">
        <v>135</v>
      </c>
      <c r="L445" s="308"/>
      <c r="M445" s="308"/>
      <c r="N445" s="308"/>
      <c r="O445" s="736">
        <v>1</v>
      </c>
      <c r="P445" s="729" t="s">
        <v>618</v>
      </c>
      <c r="Q445" s="308" t="str">
        <f>IF(R445="","включаем","не включаем")</f>
        <v>включаем</v>
      </c>
      <c r="R445" s="732"/>
      <c r="S445" s="308"/>
      <c r="T445" s="308" t="s">
        <v>566</v>
      </c>
      <c r="V445" s="729" t="s">
        <v>2321</v>
      </c>
      <c r="W445" s="406">
        <v>46173</v>
      </c>
    </row>
    <row r="446" spans="1:38" customHeight="1" ht="45">
      <c r="A446" s="724" t="s">
        <v>2369</v>
      </c>
      <c r="B446" s="724" t="s">
        <v>2370</v>
      </c>
      <c r="C446" s="728"/>
      <c r="D446" s="724" t="s">
        <v>2371</v>
      </c>
      <c r="E446" s="724" t="s">
        <v>2372</v>
      </c>
      <c r="F446" s="724" t="s">
        <v>464</v>
      </c>
      <c r="G446" s="724" t="s">
        <v>503</v>
      </c>
      <c r="H446" s="308" t="str">
        <f>IF(ISBLANK(B446),"-",IF(ISERROR(FIND("вич",B446,1)),"ж","м"))</f>
        <v>ж</v>
      </c>
      <c r="I446" s="308" t="e">
        <v>#REF!</v>
      </c>
      <c r="J446" s="308" t="e">
        <v>#REF!</v>
      </c>
      <c r="K446" s="29" t="s">
        <v>135</v>
      </c>
      <c r="L446" s="308"/>
      <c r="M446" s="308"/>
      <c r="N446" s="308"/>
      <c r="O446" s="736">
        <v>1</v>
      </c>
      <c r="P446" s="729" t="s">
        <v>618</v>
      </c>
      <c r="Q446" s="308" t="str">
        <f>IF(R446="","включаем","не включаем")</f>
        <v>включаем</v>
      </c>
      <c r="R446" s="732"/>
      <c r="S446" s="308"/>
      <c r="T446" s="308" t="s">
        <v>566</v>
      </c>
      <c r="V446" s="729" t="s">
        <v>2321</v>
      </c>
      <c r="W446" s="406">
        <v>46173</v>
      </c>
    </row>
    <row r="447" spans="1:38" customHeight="1" ht="22.5">
      <c r="A447" s="724" t="s">
        <v>2373</v>
      </c>
      <c r="B447" s="724" t="s">
        <v>2374</v>
      </c>
      <c r="C447" s="728"/>
      <c r="D447" s="724" t="s">
        <v>2375</v>
      </c>
      <c r="E447" s="724" t="s">
        <v>1890</v>
      </c>
      <c r="F447" s="724" t="s">
        <v>464</v>
      </c>
      <c r="G447" s="724" t="s">
        <v>254</v>
      </c>
      <c r="H447" s="308" t="str">
        <f>IF(ISBLANK(B447),"-",IF(ISERROR(FIND("вич",B447,1)),"ж","м"))</f>
        <v>ж</v>
      </c>
      <c r="I447" s="308" t="e">
        <v>#REF!</v>
      </c>
      <c r="J447" s="308" t="e">
        <v>#REF!</v>
      </c>
      <c r="K447" s="29" t="s">
        <v>135</v>
      </c>
      <c r="L447" s="308"/>
      <c r="M447" s="308"/>
      <c r="N447" s="308"/>
      <c r="O447" s="736">
        <v>1</v>
      </c>
      <c r="P447" s="729" t="s">
        <v>618</v>
      </c>
      <c r="Q447" s="308" t="str">
        <f>IF(R447="","включаем","не включаем")</f>
        <v>не включаем</v>
      </c>
      <c r="R447" s="732" t="s">
        <v>544</v>
      </c>
      <c r="S447" s="308"/>
      <c r="T447" s="308" t="s">
        <v>566</v>
      </c>
      <c r="V447" s="729" t="s">
        <v>2321</v>
      </c>
      <c r="W447" s="406">
        <v>46173</v>
      </c>
    </row>
    <row r="448" spans="1:38" customHeight="1" ht="22.5">
      <c r="A448" s="724" t="s">
        <v>2376</v>
      </c>
      <c r="B448" s="724" t="s">
        <v>2377</v>
      </c>
      <c r="C448" s="728"/>
      <c r="D448" s="724" t="s">
        <v>2378</v>
      </c>
      <c r="E448" s="724" t="s">
        <v>2379</v>
      </c>
      <c r="F448" s="724" t="s">
        <v>464</v>
      </c>
      <c r="G448" s="724" t="s">
        <v>254</v>
      </c>
      <c r="H448" s="308" t="str">
        <f>IF(ISBLANK(B448),"-",IF(ISERROR(FIND("вич",B448,1)),"ж","м"))</f>
        <v>ж</v>
      </c>
      <c r="I448" s="308" t="e">
        <v>#REF!</v>
      </c>
      <c r="J448" s="308" t="e">
        <v>#REF!</v>
      </c>
      <c r="K448" s="29" t="s">
        <v>135</v>
      </c>
      <c r="L448" s="308"/>
      <c r="M448" s="308"/>
      <c r="N448" s="308"/>
      <c r="O448" s="736">
        <v>1</v>
      </c>
      <c r="P448" s="729" t="s">
        <v>618</v>
      </c>
      <c r="Q448" s="308" t="str">
        <f>IF(R448="","включаем","не включаем")</f>
        <v>включаем</v>
      </c>
      <c r="R448" s="732"/>
      <c r="S448" s="308"/>
      <c r="T448" s="308" t="s">
        <v>566</v>
      </c>
      <c r="V448" s="729" t="s">
        <v>2321</v>
      </c>
      <c r="W448" s="406">
        <v>46173</v>
      </c>
    </row>
    <row r="449" spans="1:38" customHeight="1" ht="45">
      <c r="A449" s="724" t="s">
        <v>2091</v>
      </c>
      <c r="B449" s="724" t="s">
        <v>2380</v>
      </c>
      <c r="C449" s="728"/>
      <c r="D449" s="724" t="s">
        <v>2381</v>
      </c>
      <c r="E449" s="724" t="s">
        <v>2382</v>
      </c>
      <c r="F449" s="724" t="s">
        <v>464</v>
      </c>
      <c r="G449" s="724" t="s">
        <v>2383</v>
      </c>
      <c r="H449" s="308" t="str">
        <f>IF(ISBLANK(B449),"-",IF(ISERROR(FIND("вич",B449,1)),"ж","м"))</f>
        <v>м</v>
      </c>
      <c r="I449" s="308" t="e">
        <v>#REF!</v>
      </c>
      <c r="J449" s="308" t="e">
        <v>#REF!</v>
      </c>
      <c r="K449" s="29" t="s">
        <v>135</v>
      </c>
      <c r="L449" s="308"/>
      <c r="M449" s="308"/>
      <c r="N449" s="308"/>
      <c r="O449" s="736">
        <v>1</v>
      </c>
      <c r="P449" s="729" t="s">
        <v>618</v>
      </c>
      <c r="Q449" s="308" t="str">
        <f>IF(R449="","включаем","не включаем")</f>
        <v>включаем</v>
      </c>
      <c r="R449" s="732"/>
      <c r="S449" s="308"/>
      <c r="T449" s="308" t="s">
        <v>566</v>
      </c>
      <c r="V449" s="729" t="s">
        <v>2321</v>
      </c>
      <c r="W449" s="406">
        <v>46173</v>
      </c>
    </row>
    <row r="450" spans="1:38" customHeight="1" ht="33.75">
      <c r="A450" s="724" t="s">
        <v>2384</v>
      </c>
      <c r="B450" s="727" t="s">
        <v>1655</v>
      </c>
      <c r="D450" s="724" t="s">
        <v>1656</v>
      </c>
      <c r="E450" s="724" t="s">
        <v>1657</v>
      </c>
      <c r="F450" s="724" t="s">
        <v>504</v>
      </c>
      <c r="G450" s="724" t="s">
        <v>428</v>
      </c>
      <c r="H450" s="308" t="str">
        <f>IF(ISBLANK(B450),"-",IF(ISERROR(FIND("вич",B450,1)),"ж","м"))</f>
        <v>м</v>
      </c>
      <c r="I450" s="308" t="e">
        <v>#REF!</v>
      </c>
      <c r="J450" s="308" t="e">
        <v>#REF!</v>
      </c>
      <c r="K450" s="29" t="s">
        <v>130</v>
      </c>
      <c r="L450" s="308"/>
      <c r="M450" s="308"/>
      <c r="N450" s="308"/>
      <c r="O450" s="735" t="s">
        <v>953</v>
      </c>
      <c r="P450" s="729" t="s">
        <v>618</v>
      </c>
      <c r="Q450" s="308" t="str">
        <f>IF(R450="","включаем","не включаем")</f>
        <v>включаем</v>
      </c>
      <c r="R450" s="732"/>
      <c r="S450" s="308"/>
      <c r="T450" s="308" t="s">
        <v>566</v>
      </c>
      <c r="V450" s="729" t="s">
        <v>2321</v>
      </c>
      <c r="W450" s="406">
        <v>46173</v>
      </c>
    </row>
    <row r="451" spans="1:38" customHeight="1" ht="22.5">
      <c r="A451" s="724" t="s">
        <v>2385</v>
      </c>
      <c r="B451" s="724" t="s">
        <v>2386</v>
      </c>
      <c r="D451" s="724" t="s">
        <v>2387</v>
      </c>
      <c r="E451" s="724" t="s">
        <v>2388</v>
      </c>
      <c r="F451" s="724" t="s">
        <v>504</v>
      </c>
      <c r="G451" s="724" t="s">
        <v>327</v>
      </c>
      <c r="H451" s="308" t="str">
        <f>IF(ISBLANK(B451),"-",IF(ISERROR(FIND("вич",B451,1)),"ж","м"))</f>
        <v>м</v>
      </c>
      <c r="I451" s="308" t="e">
        <v>#REF!</v>
      </c>
      <c r="J451" s="308" t="e">
        <v>#REF!</v>
      </c>
      <c r="K451" s="29" t="s">
        <v>135</v>
      </c>
      <c r="L451" s="308"/>
      <c r="M451" s="308"/>
      <c r="N451" s="308"/>
      <c r="O451" s="736">
        <v>1</v>
      </c>
      <c r="P451" s="729" t="s">
        <v>618</v>
      </c>
      <c r="Q451" s="308" t="str">
        <f>IF(R451="","включаем","не включаем")</f>
        <v>включаем</v>
      </c>
      <c r="R451" s="732"/>
      <c r="S451" s="308"/>
      <c r="T451" s="308" t="s">
        <v>566</v>
      </c>
      <c r="V451" s="729" t="s">
        <v>2321</v>
      </c>
      <c r="W451" s="406">
        <v>46173</v>
      </c>
    </row>
    <row r="452" spans="1:38" customHeight="1" ht="22.5">
      <c r="A452" s="724" t="s">
        <v>2389</v>
      </c>
      <c r="B452" s="724" t="s">
        <v>2390</v>
      </c>
      <c r="D452" s="724" t="s">
        <v>2391</v>
      </c>
      <c r="E452" s="725" t="s">
        <v>2392</v>
      </c>
      <c r="F452" s="724" t="s">
        <v>504</v>
      </c>
      <c r="G452" s="724" t="s">
        <v>1665</v>
      </c>
      <c r="H452" s="308" t="str">
        <f>IF(ISBLANK(B452),"-",IF(ISERROR(FIND("вич",B452,1)),"ж","м"))</f>
        <v>м</v>
      </c>
      <c r="I452" s="308" t="e">
        <v>#REF!</v>
      </c>
      <c r="J452" s="308" t="e">
        <v>#REF!</v>
      </c>
      <c r="K452" s="29" t="s">
        <v>135</v>
      </c>
      <c r="L452" s="308"/>
      <c r="M452" s="308"/>
      <c r="N452" s="308"/>
      <c r="O452" s="736">
        <v>1</v>
      </c>
      <c r="P452" s="729" t="s">
        <v>618</v>
      </c>
      <c r="Q452" s="308" t="str">
        <f>IF(R452="","включаем","не включаем")</f>
        <v>включаем</v>
      </c>
      <c r="R452" s="732"/>
      <c r="S452" s="308"/>
      <c r="T452" s="308" t="s">
        <v>566</v>
      </c>
      <c r="V452" s="729" t="s">
        <v>2321</v>
      </c>
      <c r="W452" s="406">
        <v>46173</v>
      </c>
    </row>
    <row r="453" spans="1:38" customHeight="1" ht="22.5">
      <c r="A453" s="724" t="s">
        <v>1693</v>
      </c>
      <c r="B453" s="724" t="s">
        <v>2393</v>
      </c>
      <c r="D453" s="724" t="s">
        <v>2394</v>
      </c>
      <c r="E453" s="724" t="s">
        <v>2395</v>
      </c>
      <c r="F453" s="724" t="s">
        <v>504</v>
      </c>
      <c r="G453" s="724" t="s">
        <v>1665</v>
      </c>
      <c r="H453" s="308" t="str">
        <f>IF(ISBLANK(B453),"-",IF(ISERROR(FIND("вич",B453,1)),"ж","м"))</f>
        <v>м</v>
      </c>
      <c r="I453" s="308" t="e">
        <v>#REF!</v>
      </c>
      <c r="J453" s="308" t="e">
        <v>#REF!</v>
      </c>
      <c r="K453" s="29" t="s">
        <v>135</v>
      </c>
      <c r="L453" s="308"/>
      <c r="M453" s="308"/>
      <c r="N453" s="308"/>
      <c r="O453" s="736">
        <v>1</v>
      </c>
      <c r="P453" s="729" t="s">
        <v>618</v>
      </c>
      <c r="Q453" s="308" t="str">
        <f>IF(R453="","включаем","не включаем")</f>
        <v>включаем</v>
      </c>
      <c r="R453" s="732"/>
      <c r="S453" s="308"/>
      <c r="T453" s="308" t="s">
        <v>566</v>
      </c>
      <c r="V453" s="729" t="s">
        <v>2321</v>
      </c>
      <c r="W453" s="406">
        <v>46173</v>
      </c>
    </row>
    <row r="454" spans="1:38" customHeight="1" ht="22.5">
      <c r="A454" s="724" t="s">
        <v>1988</v>
      </c>
      <c r="B454" s="724" t="s">
        <v>2396</v>
      </c>
      <c r="D454" s="724" t="s">
        <v>1336</v>
      </c>
      <c r="E454" s="724" t="s">
        <v>2397</v>
      </c>
      <c r="F454" s="724" t="s">
        <v>504</v>
      </c>
      <c r="G454" s="724" t="s">
        <v>1665</v>
      </c>
      <c r="H454" s="308" t="str">
        <f>IF(ISBLANK(B454),"-",IF(ISERROR(FIND("вич",B454,1)),"ж","м"))</f>
        <v>м</v>
      </c>
      <c r="I454" s="308" t="e">
        <v>#REF!</v>
      </c>
      <c r="J454" s="308" t="e">
        <v>#REF!</v>
      </c>
      <c r="K454" s="29" t="s">
        <v>135</v>
      </c>
      <c r="L454" s="308"/>
      <c r="M454" s="308"/>
      <c r="N454" s="308"/>
      <c r="O454" s="736">
        <v>1</v>
      </c>
      <c r="P454" s="729" t="s">
        <v>618</v>
      </c>
      <c r="Q454" s="308" t="str">
        <f>IF(R454="","включаем","не включаем")</f>
        <v>включаем</v>
      </c>
      <c r="R454" s="732"/>
      <c r="S454" s="308"/>
      <c r="T454" s="308" t="s">
        <v>566</v>
      </c>
      <c r="V454" s="729" t="s">
        <v>2321</v>
      </c>
      <c r="W454" s="406">
        <v>46173</v>
      </c>
    </row>
    <row r="455" spans="1:38" customHeight="1" ht="22.5">
      <c r="A455" s="724" t="s">
        <v>916</v>
      </c>
      <c r="B455" s="724" t="s">
        <v>2398</v>
      </c>
      <c r="D455" s="724" t="s">
        <v>2399</v>
      </c>
      <c r="E455" s="725" t="s">
        <v>2400</v>
      </c>
      <c r="F455" s="724" t="s">
        <v>504</v>
      </c>
      <c r="G455" s="724" t="s">
        <v>1665</v>
      </c>
      <c r="H455" s="308" t="str">
        <f>IF(ISBLANK(B455),"-",IF(ISERROR(FIND("вич",B455,1)),"ж","м"))</f>
        <v>м</v>
      </c>
      <c r="I455" s="308" t="e">
        <v>#REF!</v>
      </c>
      <c r="J455" s="308" t="e">
        <v>#REF!</v>
      </c>
      <c r="K455" s="29" t="s">
        <v>135</v>
      </c>
      <c r="L455" s="308"/>
      <c r="M455" s="308"/>
      <c r="N455" s="308"/>
      <c r="O455" s="736">
        <v>1</v>
      </c>
      <c r="P455" s="729" t="s">
        <v>618</v>
      </c>
      <c r="Q455" s="308" t="str">
        <f>IF(R455="","включаем","не включаем")</f>
        <v>включаем</v>
      </c>
      <c r="R455" s="732"/>
      <c r="S455" s="308"/>
      <c r="T455" s="308" t="s">
        <v>566</v>
      </c>
      <c r="V455" s="729" t="s">
        <v>2321</v>
      </c>
      <c r="W455" s="406">
        <v>46173</v>
      </c>
    </row>
    <row r="456" spans="1:38" customHeight="1" ht="22.5">
      <c r="A456" s="724" t="s">
        <v>2056</v>
      </c>
      <c r="B456" s="724" t="s">
        <v>2401</v>
      </c>
      <c r="D456" s="724" t="s">
        <v>2402</v>
      </c>
      <c r="E456" s="724" t="s">
        <v>2403</v>
      </c>
      <c r="F456" s="724" t="s">
        <v>504</v>
      </c>
      <c r="G456" s="724" t="s">
        <v>1665</v>
      </c>
      <c r="H456" s="308" t="str">
        <f>IF(ISBLANK(B456),"-",IF(ISERROR(FIND("вич",B456,1)),"ж","м"))</f>
        <v>м</v>
      </c>
      <c r="I456" s="308" t="e">
        <v>#REF!</v>
      </c>
      <c r="J456" s="308" t="e">
        <v>#REF!</v>
      </c>
      <c r="K456" s="29" t="s">
        <v>135</v>
      </c>
      <c r="L456" s="308"/>
      <c r="M456" s="308"/>
      <c r="N456" s="308"/>
      <c r="O456" s="735" t="s">
        <v>953</v>
      </c>
      <c r="P456" s="729" t="s">
        <v>1004</v>
      </c>
      <c r="Q456" s="308" t="str">
        <f>IF(R456="","включаем","не включаем")</f>
        <v>не включаем</v>
      </c>
      <c r="R456" s="732" t="s">
        <v>578</v>
      </c>
      <c r="S456" s="308"/>
      <c r="T456" s="308" t="s">
        <v>566</v>
      </c>
      <c r="V456" s="729" t="s">
        <v>2321</v>
      </c>
      <c r="W456" s="406">
        <v>46173</v>
      </c>
    </row>
    <row r="457" spans="1:38" customHeight="1" ht="22.5">
      <c r="A457" s="724" t="s">
        <v>2404</v>
      </c>
      <c r="B457" s="724" t="s">
        <v>2405</v>
      </c>
      <c r="D457" s="724" t="s">
        <v>2406</v>
      </c>
      <c r="E457" s="724" t="s">
        <v>2407</v>
      </c>
      <c r="F457" s="724" t="s">
        <v>504</v>
      </c>
      <c r="G457" s="724" t="s">
        <v>1665</v>
      </c>
      <c r="H457" s="308" t="str">
        <f>IF(ISBLANK(B457),"-",IF(ISERROR(FIND("вич",B457,1)),"ж","м"))</f>
        <v>м</v>
      </c>
      <c r="I457" s="308" t="e">
        <v>#REF!</v>
      </c>
      <c r="J457" s="308" t="e">
        <v>#REF!</v>
      </c>
      <c r="K457" s="29" t="s">
        <v>135</v>
      </c>
      <c r="L457" s="308"/>
      <c r="M457" s="308"/>
      <c r="N457" s="308"/>
      <c r="O457" s="736">
        <v>1</v>
      </c>
      <c r="P457" s="729" t="s">
        <v>618</v>
      </c>
      <c r="Q457" s="308" t="str">
        <f>IF(R457="","включаем","не включаем")</f>
        <v>включаем</v>
      </c>
      <c r="R457" s="732"/>
      <c r="S457" s="308"/>
      <c r="T457" s="308" t="s">
        <v>566</v>
      </c>
      <c r="V457" s="729" t="s">
        <v>2321</v>
      </c>
      <c r="W457" s="406">
        <v>46173</v>
      </c>
    </row>
    <row r="458" spans="1:38" customHeight="1" ht="22.5">
      <c r="A458" s="724" t="s">
        <v>619</v>
      </c>
      <c r="B458" s="724" t="s">
        <v>2408</v>
      </c>
      <c r="D458" s="724" t="s">
        <v>2409</v>
      </c>
      <c r="E458" s="724" t="s">
        <v>2410</v>
      </c>
      <c r="F458" s="724" t="s">
        <v>504</v>
      </c>
      <c r="G458" s="724" t="s">
        <v>1665</v>
      </c>
      <c r="H458" s="308" t="str">
        <f>IF(ISBLANK(B458),"-",IF(ISERROR(FIND("вич",B458,1)),"ж","м"))</f>
        <v>м</v>
      </c>
      <c r="I458" s="308" t="e">
        <v>#REF!</v>
      </c>
      <c r="J458" s="308" t="e">
        <v>#REF!</v>
      </c>
      <c r="K458" s="29" t="s">
        <v>135</v>
      </c>
      <c r="L458" s="308"/>
      <c r="M458" s="308"/>
      <c r="N458" s="308"/>
      <c r="O458" s="736">
        <v>1</v>
      </c>
      <c r="P458" s="729" t="s">
        <v>618</v>
      </c>
      <c r="Q458" s="308" t="str">
        <f>IF(R458="","включаем","не включаем")</f>
        <v>включаем</v>
      </c>
      <c r="R458" s="732"/>
      <c r="S458" s="308"/>
      <c r="T458" s="308" t="s">
        <v>566</v>
      </c>
      <c r="V458" s="729" t="s">
        <v>2321</v>
      </c>
      <c r="W458" s="406">
        <v>46173</v>
      </c>
    </row>
    <row r="459" spans="1:38" customHeight="1" ht="22.5">
      <c r="A459" s="724" t="s">
        <v>2411</v>
      </c>
      <c r="B459" s="724" t="s">
        <v>2412</v>
      </c>
      <c r="D459" s="724" t="s">
        <v>2413</v>
      </c>
      <c r="E459" s="725" t="s">
        <v>2414</v>
      </c>
      <c r="F459" s="724" t="s">
        <v>504</v>
      </c>
      <c r="G459" s="724" t="s">
        <v>1665</v>
      </c>
      <c r="H459" s="308" t="str">
        <f>IF(ISBLANK(B459),"-",IF(ISERROR(FIND("вич",B459,1)),"ж","м"))</f>
        <v>м</v>
      </c>
      <c r="I459" s="308" t="e">
        <v>#REF!</v>
      </c>
      <c r="J459" s="308" t="e">
        <v>#REF!</v>
      </c>
      <c r="K459" s="29" t="s">
        <v>135</v>
      </c>
      <c r="L459" s="308"/>
      <c r="M459" s="308"/>
      <c r="N459" s="308"/>
      <c r="O459" s="736">
        <v>1</v>
      </c>
      <c r="P459" s="729" t="s">
        <v>618</v>
      </c>
      <c r="Q459" s="308" t="str">
        <f>IF(R459="","включаем","не включаем")</f>
        <v>включаем</v>
      </c>
      <c r="R459" s="732"/>
      <c r="S459" s="308"/>
      <c r="T459" s="308" t="s">
        <v>566</v>
      </c>
      <c r="V459" s="729" t="s">
        <v>2321</v>
      </c>
      <c r="W459" s="406">
        <v>46173</v>
      </c>
    </row>
    <row r="460" spans="1:38" customHeight="1" ht="22.5">
      <c r="A460" s="724" t="s">
        <v>736</v>
      </c>
      <c r="B460" s="724" t="s">
        <v>2415</v>
      </c>
      <c r="D460" s="724" t="s">
        <v>2416</v>
      </c>
      <c r="E460" s="724" t="s">
        <v>2417</v>
      </c>
      <c r="F460" s="724" t="s">
        <v>504</v>
      </c>
      <c r="G460" s="724" t="s">
        <v>1665</v>
      </c>
      <c r="H460" s="308" t="str">
        <f>IF(ISBLANK(B460),"-",IF(ISERROR(FIND("вич",B460,1)),"ж","м"))</f>
        <v>м</v>
      </c>
      <c r="I460" s="308" t="e">
        <v>#REF!</v>
      </c>
      <c r="J460" s="308" t="e">
        <v>#REF!</v>
      </c>
      <c r="K460" s="29" t="s">
        <v>135</v>
      </c>
      <c r="L460" s="308"/>
      <c r="M460" s="308"/>
      <c r="N460" s="308"/>
      <c r="O460" s="736">
        <v>1</v>
      </c>
      <c r="P460" s="729" t="s">
        <v>618</v>
      </c>
      <c r="Q460" s="308" t="str">
        <f>IF(R460="","включаем","не включаем")</f>
        <v>включаем</v>
      </c>
      <c r="R460" s="732"/>
      <c r="S460" s="308"/>
      <c r="T460" s="308" t="s">
        <v>566</v>
      </c>
      <c r="V460" s="729" t="s">
        <v>2321</v>
      </c>
      <c r="W460" s="406">
        <v>46173</v>
      </c>
    </row>
    <row r="461" spans="1:38" customHeight="1" ht="22.5">
      <c r="A461" s="724" t="s">
        <v>2418</v>
      </c>
      <c r="B461" s="724" t="s">
        <v>2419</v>
      </c>
      <c r="D461" s="724" t="s">
        <v>2420</v>
      </c>
      <c r="E461" s="724" t="s">
        <v>2421</v>
      </c>
      <c r="F461" s="724" t="s">
        <v>504</v>
      </c>
      <c r="G461" s="724" t="s">
        <v>1665</v>
      </c>
      <c r="H461" s="308" t="str">
        <f>IF(ISBLANK(B461),"-",IF(ISERROR(FIND("вич",B461,1)),"ж","м"))</f>
        <v>м</v>
      </c>
      <c r="I461" s="308" t="e">
        <v>#REF!</v>
      </c>
      <c r="J461" s="308" t="e">
        <v>#REF!</v>
      </c>
      <c r="K461" s="29" t="s">
        <v>135</v>
      </c>
      <c r="L461" s="308"/>
      <c r="M461" s="308"/>
      <c r="N461" s="308"/>
      <c r="O461" s="736">
        <v>1</v>
      </c>
      <c r="P461" s="729" t="s">
        <v>618</v>
      </c>
      <c r="Q461" s="308" t="str">
        <f>IF(R461="","включаем","не включаем")</f>
        <v>включаем</v>
      </c>
      <c r="R461" s="732"/>
      <c r="S461" s="308"/>
      <c r="T461" s="308" t="s">
        <v>566</v>
      </c>
      <c r="V461" s="729" t="s">
        <v>2321</v>
      </c>
      <c r="W461" s="406">
        <v>46173</v>
      </c>
    </row>
    <row r="462" spans="1:38" customHeight="1" ht="22.5">
      <c r="A462" s="724" t="s">
        <v>2293</v>
      </c>
      <c r="B462" s="724" t="s">
        <v>2422</v>
      </c>
      <c r="D462" s="724" t="s">
        <v>701</v>
      </c>
      <c r="E462" s="724" t="s">
        <v>2423</v>
      </c>
      <c r="F462" s="724" t="s">
        <v>504</v>
      </c>
      <c r="G462" s="724" t="s">
        <v>1665</v>
      </c>
      <c r="H462" s="308" t="str">
        <f>IF(ISBLANK(B462),"-",IF(ISERROR(FIND("вич",B462,1)),"ж","м"))</f>
        <v>м</v>
      </c>
      <c r="I462" s="308" t="e">
        <v>#REF!</v>
      </c>
      <c r="J462" s="308" t="e">
        <v>#REF!</v>
      </c>
      <c r="K462" s="29" t="s">
        <v>135</v>
      </c>
      <c r="L462" s="308"/>
      <c r="M462" s="308"/>
      <c r="N462" s="308"/>
      <c r="O462" s="736">
        <v>1</v>
      </c>
      <c r="P462" s="729" t="s">
        <v>618</v>
      </c>
      <c r="Q462" s="308" t="str">
        <f>IF(R462="","включаем","не включаем")</f>
        <v>включаем</v>
      </c>
      <c r="R462" s="732"/>
      <c r="S462" s="308"/>
      <c r="T462" s="308" t="s">
        <v>566</v>
      </c>
      <c r="V462" s="729" t="s">
        <v>2321</v>
      </c>
      <c r="W462" s="406">
        <v>46173</v>
      </c>
    </row>
    <row r="463" spans="1:38" customHeight="1" ht="22.5">
      <c r="A463" s="724" t="s">
        <v>2424</v>
      </c>
      <c r="B463" s="724" t="s">
        <v>2425</v>
      </c>
      <c r="D463" s="724" t="s">
        <v>2426</v>
      </c>
      <c r="E463" s="724" t="s">
        <v>2427</v>
      </c>
      <c r="F463" s="724" t="s">
        <v>504</v>
      </c>
      <c r="G463" s="724" t="s">
        <v>1665</v>
      </c>
      <c r="H463" s="308" t="str">
        <f>IF(ISBLANK(B463),"-",IF(ISERROR(FIND("вич",B463,1)),"ж","м"))</f>
        <v>м</v>
      </c>
      <c r="I463" s="308" t="e">
        <v>#REF!</v>
      </c>
      <c r="J463" s="308" t="e">
        <v>#REF!</v>
      </c>
      <c r="K463" s="29" t="s">
        <v>135</v>
      </c>
      <c r="L463" s="308"/>
      <c r="M463" s="308"/>
      <c r="N463" s="308"/>
      <c r="O463" s="736">
        <v>1</v>
      </c>
      <c r="P463" s="729" t="s">
        <v>618</v>
      </c>
      <c r="Q463" s="308" t="str">
        <f>IF(R463="","включаем","не включаем")</f>
        <v>включаем</v>
      </c>
      <c r="R463" s="732"/>
      <c r="S463" s="308"/>
      <c r="T463" s="308" t="s">
        <v>566</v>
      </c>
      <c r="V463" s="729" t="s">
        <v>2321</v>
      </c>
      <c r="W463" s="406">
        <v>46173</v>
      </c>
    </row>
    <row r="464" spans="1:38" customHeight="1" ht="22.5">
      <c r="A464" s="724" t="s">
        <v>2428</v>
      </c>
      <c r="B464" s="724" t="s">
        <v>2401</v>
      </c>
      <c r="D464" s="724" t="s">
        <v>2402</v>
      </c>
      <c r="E464" s="724" t="s">
        <v>2403</v>
      </c>
      <c r="F464" s="724" t="s">
        <v>326</v>
      </c>
      <c r="G464" s="724" t="s">
        <v>329</v>
      </c>
      <c r="H464" s="308" t="str">
        <f>IF(ISBLANK(B464),"-",IF(ISERROR(FIND("вич",B464,1)),"ж","м"))</f>
        <v>м</v>
      </c>
      <c r="I464" s="308" t="e">
        <v>#REF!</v>
      </c>
      <c r="J464" s="308" t="e">
        <v>#REF!</v>
      </c>
      <c r="K464" s="29" t="s">
        <v>135</v>
      </c>
      <c r="L464" s="308"/>
      <c r="M464" s="308"/>
      <c r="N464" s="308"/>
      <c r="O464" s="736">
        <v>1</v>
      </c>
      <c r="P464" s="729" t="s">
        <v>618</v>
      </c>
      <c r="Q464" s="308" t="str">
        <f>IF(R464="","включаем","не включаем")</f>
        <v>включаем</v>
      </c>
      <c r="R464" s="732"/>
      <c r="S464" s="308"/>
      <c r="T464" s="308" t="s">
        <v>566</v>
      </c>
      <c r="V464" s="729" t="s">
        <v>2321</v>
      </c>
      <c r="W464" s="406">
        <v>46173</v>
      </c>
    </row>
    <row r="465" spans="1:38" customHeight="1" ht="22.5">
      <c r="A465" s="724" t="s">
        <v>2429</v>
      </c>
      <c r="B465" s="724" t="s">
        <v>2430</v>
      </c>
      <c r="D465" s="724" t="s">
        <v>2431</v>
      </c>
      <c r="E465" s="724" t="s">
        <v>2432</v>
      </c>
      <c r="F465" s="724" t="s">
        <v>326</v>
      </c>
      <c r="G465" s="724" t="s">
        <v>329</v>
      </c>
      <c r="H465" s="308" t="str">
        <f>IF(ISBLANK(B465),"-",IF(ISERROR(FIND("вич",B465,1)),"ж","м"))</f>
        <v>м</v>
      </c>
      <c r="I465" s="308" t="e">
        <v>#REF!</v>
      </c>
      <c r="J465" s="308" t="e">
        <v>#REF!</v>
      </c>
      <c r="K465" s="29" t="s">
        <v>135</v>
      </c>
      <c r="L465" s="308"/>
      <c r="M465" s="308"/>
      <c r="N465" s="308"/>
      <c r="O465" s="736">
        <v>1</v>
      </c>
      <c r="P465" s="729" t="s">
        <v>618</v>
      </c>
      <c r="Q465" s="308" t="str">
        <f>IF(R465="","включаем","не включаем")</f>
        <v>включаем</v>
      </c>
      <c r="R465" s="732"/>
      <c r="S465" s="308"/>
      <c r="T465" s="308" t="s">
        <v>566</v>
      </c>
      <c r="V465" s="729" t="s">
        <v>2321</v>
      </c>
      <c r="W465" s="406">
        <v>46173</v>
      </c>
    </row>
    <row r="466" spans="1:38" customHeight="1" ht="33.75">
      <c r="A466" s="724" t="s">
        <v>2433</v>
      </c>
      <c r="B466" s="724" t="s">
        <v>2434</v>
      </c>
      <c r="D466" s="724" t="s">
        <v>2165</v>
      </c>
      <c r="E466" s="725" t="s">
        <v>2435</v>
      </c>
      <c r="F466" s="724" t="s">
        <v>326</v>
      </c>
      <c r="G466" s="724" t="s">
        <v>331</v>
      </c>
      <c r="H466" s="308" t="str">
        <f>IF(ISBLANK(B466),"-",IF(ISERROR(FIND("вич",B466,1)),"ж","м"))</f>
        <v>ж</v>
      </c>
      <c r="I466" s="308" t="e">
        <v>#REF!</v>
      </c>
      <c r="J466" s="308" t="e">
        <v>#REF!</v>
      </c>
      <c r="K466" s="29" t="s">
        <v>135</v>
      </c>
      <c r="L466" s="308"/>
      <c r="M466" s="308"/>
      <c r="N466" s="308"/>
      <c r="O466" s="736">
        <v>1</v>
      </c>
      <c r="P466" s="729" t="s">
        <v>618</v>
      </c>
      <c r="Q466" s="308" t="str">
        <f>IF(R466="","включаем","не включаем")</f>
        <v>включаем</v>
      </c>
      <c r="R466" s="732"/>
      <c r="S466" s="308"/>
      <c r="T466" s="308" t="s">
        <v>566</v>
      </c>
      <c r="V466" s="729" t="s">
        <v>2321</v>
      </c>
      <c r="W466" s="406">
        <v>46173</v>
      </c>
    </row>
    <row r="467" spans="1:38" customHeight="1" ht="33.75">
      <c r="A467" s="724" t="s">
        <v>984</v>
      </c>
      <c r="B467" s="724" t="s">
        <v>2436</v>
      </c>
      <c r="D467" s="724" t="s">
        <v>2431</v>
      </c>
      <c r="E467" s="725" t="s">
        <v>2437</v>
      </c>
      <c r="F467" s="724" t="s">
        <v>326</v>
      </c>
      <c r="G467" s="724" t="s">
        <v>331</v>
      </c>
      <c r="H467" s="308" t="str">
        <f>IF(ISBLANK(B467),"-",IF(ISERROR(FIND("вич",B467,1)),"ж","м"))</f>
        <v>ж</v>
      </c>
      <c r="I467" s="308" t="e">
        <v>#REF!</v>
      </c>
      <c r="J467" s="308" t="e">
        <v>#REF!</v>
      </c>
      <c r="K467" s="29" t="s">
        <v>135</v>
      </c>
      <c r="L467" s="308"/>
      <c r="M467" s="308"/>
      <c r="N467" s="308"/>
      <c r="O467" s="736">
        <v>1</v>
      </c>
      <c r="P467" s="729" t="s">
        <v>618</v>
      </c>
      <c r="Q467" s="308" t="str">
        <f>IF(R467="","включаем","не включаем")</f>
        <v>включаем</v>
      </c>
      <c r="R467" s="732"/>
      <c r="S467" s="308"/>
      <c r="T467" s="308" t="s">
        <v>566</v>
      </c>
      <c r="V467" s="729" t="s">
        <v>2321</v>
      </c>
      <c r="W467" s="406">
        <v>46173</v>
      </c>
    </row>
    <row r="468" spans="1:38" customHeight="1" ht="33.75">
      <c r="A468" s="724" t="s">
        <v>2438</v>
      </c>
      <c r="B468" s="724" t="s">
        <v>2439</v>
      </c>
      <c r="D468" s="724" t="s">
        <v>705</v>
      </c>
      <c r="E468" s="724" t="s">
        <v>706</v>
      </c>
      <c r="F468" s="724" t="s">
        <v>326</v>
      </c>
      <c r="G468" s="724" t="s">
        <v>331</v>
      </c>
      <c r="H468" s="308" t="str">
        <f>IF(ISBLANK(B468),"-",IF(ISERROR(FIND("вич",B468,1)),"ж","м"))</f>
        <v>ж</v>
      </c>
      <c r="I468" s="308" t="e">
        <v>#REF!</v>
      </c>
      <c r="J468" s="308" t="e">
        <v>#REF!</v>
      </c>
      <c r="K468" s="29" t="s">
        <v>135</v>
      </c>
      <c r="L468" s="308"/>
      <c r="M468" s="308"/>
      <c r="N468" s="308"/>
      <c r="O468" s="736">
        <v>1</v>
      </c>
      <c r="P468" s="729" t="s">
        <v>618</v>
      </c>
      <c r="Q468" s="308" t="str">
        <f>IF(R468="","включаем","не включаем")</f>
        <v>включаем</v>
      </c>
      <c r="R468" s="732"/>
      <c r="S468" s="308"/>
      <c r="T468" s="308" t="s">
        <v>566</v>
      </c>
      <c r="V468" s="729" t="s">
        <v>2321</v>
      </c>
      <c r="W468" s="406">
        <v>46173</v>
      </c>
    </row>
    <row r="469" spans="1:38" customHeight="1" ht="22.5">
      <c r="A469" s="724" t="s">
        <v>2440</v>
      </c>
      <c r="B469" s="724" t="s">
        <v>2441</v>
      </c>
      <c r="D469" s="724" t="s">
        <v>2442</v>
      </c>
      <c r="E469" s="724" t="s">
        <v>2443</v>
      </c>
      <c r="F469" s="724" t="s">
        <v>326</v>
      </c>
      <c r="G469" s="724" t="s">
        <v>327</v>
      </c>
      <c r="H469" s="308" t="str">
        <f>IF(ISBLANK(B469),"-",IF(ISERROR(FIND("вич",B469,1)),"ж","м"))</f>
        <v>м</v>
      </c>
      <c r="I469" s="308" t="e">
        <v>#REF!</v>
      </c>
      <c r="J469" s="308" t="e">
        <v>#REF!</v>
      </c>
      <c r="K469" s="29" t="s">
        <v>135</v>
      </c>
      <c r="L469" s="308"/>
      <c r="M469" s="308"/>
      <c r="N469" s="308"/>
      <c r="O469" s="736">
        <v>1</v>
      </c>
      <c r="P469" s="729" t="s">
        <v>618</v>
      </c>
      <c r="Q469" s="308" t="str">
        <f>IF(R469="","включаем","не включаем")</f>
        <v>включаем</v>
      </c>
      <c r="R469" s="732"/>
      <c r="S469" s="308"/>
      <c r="T469" s="308" t="s">
        <v>566</v>
      </c>
      <c r="V469" s="729" t="s">
        <v>2321</v>
      </c>
      <c r="W469" s="406">
        <v>46173</v>
      </c>
    </row>
    <row r="470" spans="1:38" customHeight="1" ht="33.75">
      <c r="A470" s="724" t="s">
        <v>2444</v>
      </c>
      <c r="B470" s="724" t="s">
        <v>2445</v>
      </c>
      <c r="D470" s="724" t="s">
        <v>2446</v>
      </c>
      <c r="E470" s="724" t="s">
        <v>2447</v>
      </c>
      <c r="F470" s="724" t="s">
        <v>326</v>
      </c>
      <c r="G470" s="724" t="s">
        <v>330</v>
      </c>
      <c r="H470" s="308" t="str">
        <f>IF(ISBLANK(B470),"-",IF(ISERROR(FIND("вич",B470,1)),"ж","м"))</f>
        <v>ж</v>
      </c>
      <c r="I470" s="308" t="e">
        <v>#REF!</v>
      </c>
      <c r="J470" s="308" t="e">
        <v>#REF!</v>
      </c>
      <c r="K470" s="29" t="s">
        <v>135</v>
      </c>
      <c r="L470" s="308"/>
      <c r="M470" s="308"/>
      <c r="N470" s="308"/>
      <c r="O470" s="735" t="s">
        <v>953</v>
      </c>
      <c r="P470" s="729" t="s">
        <v>1004</v>
      </c>
      <c r="Q470" s="308" t="str">
        <f>IF(R470="","включаем","не включаем")</f>
        <v>не включаем</v>
      </c>
      <c r="R470" s="732" t="s">
        <v>563</v>
      </c>
      <c r="S470" s="308"/>
      <c r="T470" s="308" t="s">
        <v>566</v>
      </c>
      <c r="V470" s="729" t="s">
        <v>2321</v>
      </c>
      <c r="W470" s="406">
        <v>46173</v>
      </c>
    </row>
    <row r="471" spans="1:38" customHeight="1" ht="22.5">
      <c r="A471" s="724" t="s">
        <v>957</v>
      </c>
      <c r="B471" s="724" t="s">
        <v>2448</v>
      </c>
      <c r="D471" s="724" t="s">
        <v>2431</v>
      </c>
      <c r="E471" s="724" t="s">
        <v>2449</v>
      </c>
      <c r="F471" s="724" t="s">
        <v>326</v>
      </c>
      <c r="G471" s="724" t="s">
        <v>332</v>
      </c>
      <c r="H471" s="308" t="str">
        <f>IF(ISBLANK(B471),"-",IF(ISERROR(FIND("вич",B471,1)),"ж","м"))</f>
        <v>м</v>
      </c>
      <c r="I471" s="308" t="e">
        <v>#REF!</v>
      </c>
      <c r="J471" s="308" t="e">
        <v>#REF!</v>
      </c>
      <c r="K471" s="29" t="s">
        <v>135</v>
      </c>
      <c r="L471" s="308"/>
      <c r="M471" s="308"/>
      <c r="N471" s="308"/>
      <c r="O471" s="736">
        <v>1</v>
      </c>
      <c r="P471" s="729" t="s">
        <v>618</v>
      </c>
      <c r="Q471" s="308" t="str">
        <f>IF(R471="","включаем","не включаем")</f>
        <v>включаем</v>
      </c>
      <c r="R471" s="732"/>
      <c r="S471" s="308"/>
      <c r="T471" s="308" t="s">
        <v>566</v>
      </c>
      <c r="V471" s="729" t="s">
        <v>2321</v>
      </c>
      <c r="W471" s="406">
        <v>46173</v>
      </c>
    </row>
    <row r="472" spans="1:38" customHeight="1" ht="67.5">
      <c r="A472" s="724" t="s">
        <v>2450</v>
      </c>
      <c r="B472" s="724" t="s">
        <v>2445</v>
      </c>
      <c r="D472" s="724" t="s">
        <v>2451</v>
      </c>
      <c r="E472" s="724" t="s">
        <v>2447</v>
      </c>
      <c r="F472" s="724" t="s">
        <v>326</v>
      </c>
      <c r="G472" s="724" t="s">
        <v>328</v>
      </c>
      <c r="H472" s="308" t="str">
        <f>IF(ISBLANK(B472),"-",IF(ISERROR(FIND("вич",B472,1)),"ж","м"))</f>
        <v>ж</v>
      </c>
      <c r="I472" s="308" t="e">
        <v>#REF!</v>
      </c>
      <c r="J472" s="308" t="e">
        <v>#REF!</v>
      </c>
      <c r="K472" s="29" t="s">
        <v>135</v>
      </c>
      <c r="L472" s="308"/>
      <c r="M472" s="308"/>
      <c r="N472" s="308"/>
      <c r="O472" s="735" t="s">
        <v>953</v>
      </c>
      <c r="P472" s="729" t="s">
        <v>618</v>
      </c>
      <c r="Q472" s="308" t="str">
        <f>IF(R472="","включаем","не включаем")</f>
        <v>включаем</v>
      </c>
      <c r="R472" s="732"/>
      <c r="S472" s="308"/>
      <c r="T472" s="308" t="s">
        <v>566</v>
      </c>
      <c r="V472" s="729" t="s">
        <v>2321</v>
      </c>
      <c r="W472" s="406">
        <v>46173</v>
      </c>
    </row>
    <row r="473" spans="1:38" customHeight="1" ht="22.5">
      <c r="A473" s="724" t="s">
        <v>2452</v>
      </c>
      <c r="B473" s="724" t="s">
        <v>2453</v>
      </c>
      <c r="D473" s="724" t="s">
        <v>2454</v>
      </c>
      <c r="E473" s="724" t="s">
        <v>2455</v>
      </c>
      <c r="F473" s="724" t="s">
        <v>326</v>
      </c>
      <c r="G473" s="724" t="s">
        <v>124</v>
      </c>
      <c r="H473" s="308" t="str">
        <f>IF(ISBLANK(B473),"-",IF(ISERROR(FIND("вич",B473,1)),"ж","м"))</f>
        <v>ж</v>
      </c>
      <c r="I473" s="308" t="e">
        <v>#REF!</v>
      </c>
      <c r="J473" s="308" t="e">
        <v>#REF!</v>
      </c>
      <c r="K473" s="29" t="s">
        <v>135</v>
      </c>
      <c r="L473" s="308"/>
      <c r="M473" s="308"/>
      <c r="N473" s="308"/>
      <c r="O473" s="736">
        <v>1</v>
      </c>
      <c r="P473" s="729" t="s">
        <v>618</v>
      </c>
      <c r="Q473" s="308" t="str">
        <f>IF(R473="","включаем","не включаем")</f>
        <v>включаем</v>
      </c>
      <c r="R473" s="732"/>
      <c r="S473" s="308"/>
      <c r="T473" s="308" t="s">
        <v>566</v>
      </c>
      <c r="V473" s="729" t="s">
        <v>2321</v>
      </c>
      <c r="W473" s="406">
        <v>46173</v>
      </c>
    </row>
    <row r="474" spans="1:38" customHeight="1" ht="22.5">
      <c r="A474" s="724" t="s">
        <v>2456</v>
      </c>
      <c r="B474" s="724" t="s">
        <v>2457</v>
      </c>
      <c r="D474" s="724" t="s">
        <v>2458</v>
      </c>
      <c r="E474" s="724" t="s">
        <v>2459</v>
      </c>
      <c r="F474" s="724" t="s">
        <v>2342</v>
      </c>
      <c r="G474" s="724" t="s">
        <v>132</v>
      </c>
      <c r="H474" s="308" t="str">
        <f>IF(ISBLANK(B474),"-",IF(ISERROR(FIND("вич",B474,1)),"ж","м"))</f>
        <v>м</v>
      </c>
      <c r="I474" s="308" t="e">
        <v>#REF!</v>
      </c>
      <c r="J474" s="308" t="e">
        <v>#REF!</v>
      </c>
      <c r="K474" s="29" t="s">
        <v>509</v>
      </c>
      <c r="L474" s="308"/>
      <c r="M474" s="308"/>
      <c r="N474" s="308"/>
      <c r="O474" s="736">
        <v>1</v>
      </c>
      <c r="P474" s="729" t="s">
        <v>618</v>
      </c>
      <c r="Q474" s="308" t="str">
        <f>IF(R474="","включаем","не включаем")</f>
        <v>включаем</v>
      </c>
      <c r="R474" s="732"/>
      <c r="S474" s="308"/>
      <c r="T474" s="308" t="s">
        <v>566</v>
      </c>
      <c r="V474" s="313" t="s">
        <v>2460</v>
      </c>
      <c r="W474" s="406">
        <v>46173</v>
      </c>
    </row>
    <row r="475" spans="1:38" customHeight="1" ht="22.5">
      <c r="A475" s="724" t="s">
        <v>2461</v>
      </c>
      <c r="B475" s="724" t="s">
        <v>620</v>
      </c>
      <c r="D475" s="724" t="s">
        <v>621</v>
      </c>
      <c r="E475" s="724" t="s">
        <v>622</v>
      </c>
      <c r="F475" s="724" t="s">
        <v>2342</v>
      </c>
      <c r="G475" s="724" t="s">
        <v>163</v>
      </c>
      <c r="H475" s="308" t="str">
        <f>IF(ISBLANK(B475),"-",IF(ISERROR(FIND("вич",B475,1)),"ж","м"))</f>
        <v>ж</v>
      </c>
      <c r="I475" s="308" t="e">
        <v>#REF!</v>
      </c>
      <c r="J475" s="308" t="e">
        <v>#REF!</v>
      </c>
      <c r="K475" s="29" t="s">
        <v>509</v>
      </c>
      <c r="L475" s="308"/>
      <c r="M475" s="308"/>
      <c r="N475" s="308"/>
      <c r="O475" s="735" t="s">
        <v>953</v>
      </c>
      <c r="P475" s="729" t="s">
        <v>618</v>
      </c>
      <c r="Q475" s="308" t="str">
        <f>IF(R475="","включаем","не включаем")</f>
        <v>включаем</v>
      </c>
      <c r="R475" s="732"/>
      <c r="S475" s="308"/>
      <c r="T475" s="308" t="s">
        <v>566</v>
      </c>
      <c r="V475" s="313" t="s">
        <v>2460</v>
      </c>
      <c r="W475" s="406">
        <v>46173</v>
      </c>
    </row>
    <row r="476" spans="1:38" customHeight="1" ht="33.75">
      <c r="A476" s="724" t="s">
        <v>2462</v>
      </c>
      <c r="B476" s="724" t="s">
        <v>2463</v>
      </c>
      <c r="D476" s="724" t="s">
        <v>2464</v>
      </c>
      <c r="E476" s="724" t="s">
        <v>1894</v>
      </c>
      <c r="F476" s="724" t="s">
        <v>2342</v>
      </c>
      <c r="G476" s="724" t="s">
        <v>353</v>
      </c>
      <c r="H476" s="308" t="str">
        <f>IF(ISBLANK(B476),"-",IF(ISERROR(FIND("вич",B476,1)),"ж","м"))</f>
        <v>ж</v>
      </c>
      <c r="I476" s="308" t="e">
        <v>#REF!</v>
      </c>
      <c r="J476" s="308" t="e">
        <v>#REF!</v>
      </c>
      <c r="K476" s="29" t="s">
        <v>509</v>
      </c>
      <c r="L476" s="308"/>
      <c r="M476" s="308"/>
      <c r="N476" s="308"/>
      <c r="O476" s="736">
        <v>1</v>
      </c>
      <c r="P476" s="729" t="s">
        <v>618</v>
      </c>
      <c r="Q476" s="308" t="str">
        <f>IF(R476="","включаем","не включаем")</f>
        <v>включаем</v>
      </c>
      <c r="R476" s="732"/>
      <c r="S476" s="308"/>
      <c r="T476" s="308" t="s">
        <v>566</v>
      </c>
      <c r="V476" s="313" t="s">
        <v>2460</v>
      </c>
      <c r="W476" s="406">
        <v>46173</v>
      </c>
    </row>
    <row r="477" spans="1:38" customHeight="1" ht="22.5">
      <c r="A477" s="724" t="s">
        <v>2465</v>
      </c>
      <c r="B477" s="724" t="s">
        <v>2466</v>
      </c>
      <c r="D477" s="724" t="s">
        <v>2467</v>
      </c>
      <c r="E477" s="724" t="s">
        <v>2468</v>
      </c>
      <c r="F477" s="724" t="s">
        <v>506</v>
      </c>
      <c r="G477" s="724" t="s">
        <v>507</v>
      </c>
      <c r="H477" s="308" t="str">
        <f>IF(ISBLANK(B477),"-",IF(ISERROR(FIND("вич",B477,1)),"ж","м"))</f>
        <v>ж</v>
      </c>
      <c r="I477" s="308" t="e">
        <v>#REF!</v>
      </c>
      <c r="J477" s="308" t="e">
        <v>#REF!</v>
      </c>
      <c r="K477" s="29" t="s">
        <v>509</v>
      </c>
      <c r="L477" s="308"/>
      <c r="M477" s="308"/>
      <c r="N477" s="308"/>
      <c r="O477" s="736">
        <v>1</v>
      </c>
      <c r="P477" s="729" t="s">
        <v>618</v>
      </c>
      <c r="Q477" s="308" t="str">
        <f>IF(R477="","включаем","не включаем")</f>
        <v>включаем</v>
      </c>
      <c r="R477" s="732"/>
      <c r="S477" s="308"/>
      <c r="T477" s="308" t="s">
        <v>566</v>
      </c>
      <c r="V477" s="313" t="s">
        <v>2460</v>
      </c>
      <c r="W477" s="406">
        <v>46173</v>
      </c>
    </row>
    <row r="478" spans="1:38" customHeight="1" ht="22.5">
      <c r="A478" s="724" t="s">
        <v>2469</v>
      </c>
      <c r="B478" s="724" t="s">
        <v>2470</v>
      </c>
      <c r="D478" s="724" t="s">
        <v>2471</v>
      </c>
      <c r="E478" s="724" t="s">
        <v>2472</v>
      </c>
      <c r="F478" s="724" t="s">
        <v>506</v>
      </c>
      <c r="G478" s="724" t="s">
        <v>510</v>
      </c>
      <c r="H478" s="308" t="str">
        <f>IF(ISBLANK(B478),"-",IF(ISERROR(FIND("вич",B478,1)),"ж","м"))</f>
        <v>ж</v>
      </c>
      <c r="I478" s="308" t="e">
        <v>#REF!</v>
      </c>
      <c r="J478" s="308" t="e">
        <v>#REF!</v>
      </c>
      <c r="K478" s="29" t="s">
        <v>509</v>
      </c>
      <c r="L478" s="308"/>
      <c r="M478" s="308"/>
      <c r="N478" s="308"/>
      <c r="O478" s="736">
        <v>1</v>
      </c>
      <c r="P478" s="729" t="s">
        <v>618</v>
      </c>
      <c r="Q478" s="308" t="str">
        <f>IF(R478="","включаем","не включаем")</f>
        <v>включаем</v>
      </c>
      <c r="R478" s="732"/>
      <c r="S478" s="308"/>
      <c r="T478" s="308" t="s">
        <v>566</v>
      </c>
      <c r="V478" s="313" t="s">
        <v>2460</v>
      </c>
      <c r="W478" s="406">
        <v>46173</v>
      </c>
    </row>
    <row r="479" spans="1:38" customHeight="1" ht="22.5">
      <c r="A479" s="724" t="s">
        <v>2473</v>
      </c>
      <c r="B479" s="724" t="s">
        <v>2474</v>
      </c>
      <c r="D479" s="724" t="s">
        <v>2475</v>
      </c>
      <c r="E479" s="724" t="s">
        <v>2476</v>
      </c>
      <c r="F479" s="724" t="s">
        <v>506</v>
      </c>
      <c r="G479" s="724" t="s">
        <v>510</v>
      </c>
      <c r="H479" s="308" t="str">
        <f>IF(ISBLANK(B479),"-",IF(ISERROR(FIND("вич",B479,1)),"ж","м"))</f>
        <v>ж</v>
      </c>
      <c r="I479" s="308" t="e">
        <v>#REF!</v>
      </c>
      <c r="J479" s="308" t="e">
        <v>#REF!</v>
      </c>
      <c r="K479" s="29" t="s">
        <v>509</v>
      </c>
      <c r="L479" s="308"/>
      <c r="M479" s="308"/>
      <c r="N479" s="308"/>
      <c r="O479" s="736">
        <v>1</v>
      </c>
      <c r="P479" s="729" t="s">
        <v>618</v>
      </c>
      <c r="Q479" s="308" t="str">
        <f>IF(R479="","включаем","не включаем")</f>
        <v>не включаем</v>
      </c>
      <c r="R479" s="732" t="s">
        <v>544</v>
      </c>
      <c r="S479" s="308"/>
      <c r="T479" s="308" t="s">
        <v>566</v>
      </c>
      <c r="V479" s="313" t="s">
        <v>2460</v>
      </c>
      <c r="W479" s="406">
        <v>46173</v>
      </c>
    </row>
    <row r="480" spans="1:38" customHeight="1" ht="22.5">
      <c r="A480" s="724" t="s">
        <v>2477</v>
      </c>
      <c r="B480" s="724" t="s">
        <v>2478</v>
      </c>
      <c r="D480" s="724" t="s">
        <v>1573</v>
      </c>
      <c r="E480" s="725" t="s">
        <v>2479</v>
      </c>
      <c r="F480" s="724" t="s">
        <v>506</v>
      </c>
      <c r="G480" s="724" t="s">
        <v>510</v>
      </c>
      <c r="H480" s="308" t="str">
        <f>IF(ISBLANK(B480),"-",IF(ISERROR(FIND("вич",B480,1)),"ж","м"))</f>
        <v>м</v>
      </c>
      <c r="I480" s="308" t="e">
        <v>#REF!</v>
      </c>
      <c r="J480" s="308" t="e">
        <v>#REF!</v>
      </c>
      <c r="K480" s="29" t="s">
        <v>509</v>
      </c>
      <c r="L480" s="308"/>
      <c r="M480" s="308"/>
      <c r="N480" s="308"/>
      <c r="O480" s="736">
        <v>1</v>
      </c>
      <c r="P480" s="729" t="s">
        <v>618</v>
      </c>
      <c r="Q480" s="308" t="str">
        <f>IF(R480="","включаем","не включаем")</f>
        <v>включаем</v>
      </c>
      <c r="R480" s="732"/>
      <c r="S480" s="308"/>
      <c r="T480" s="308" t="s">
        <v>566</v>
      </c>
      <c r="V480" s="313" t="s">
        <v>2460</v>
      </c>
      <c r="W480" s="406">
        <v>46173</v>
      </c>
    </row>
    <row r="481" spans="1:38" customHeight="1" ht="22.5">
      <c r="A481" s="724" t="s">
        <v>2480</v>
      </c>
      <c r="B481" s="724" t="s">
        <v>2481</v>
      </c>
      <c r="D481" s="724" t="s">
        <v>1705</v>
      </c>
      <c r="E481" s="724" t="s">
        <v>2482</v>
      </c>
      <c r="F481" s="724" t="s">
        <v>506</v>
      </c>
      <c r="G481" s="724" t="s">
        <v>510</v>
      </c>
      <c r="H481" s="308" t="str">
        <f>IF(ISBLANK(B481),"-",IF(ISERROR(FIND("вич",B481,1)),"ж","м"))</f>
        <v>ж</v>
      </c>
      <c r="I481" s="308" t="e">
        <v>#REF!</v>
      </c>
      <c r="J481" s="308" t="e">
        <v>#REF!</v>
      </c>
      <c r="K481" s="29" t="s">
        <v>509</v>
      </c>
      <c r="L481" s="308"/>
      <c r="M481" s="308"/>
      <c r="N481" s="308"/>
      <c r="O481" s="736">
        <v>1</v>
      </c>
      <c r="P481" s="729" t="s">
        <v>618</v>
      </c>
      <c r="Q481" s="308" t="str">
        <f>IF(R481="","включаем","не включаем")</f>
        <v>включаем</v>
      </c>
      <c r="R481" s="732"/>
      <c r="S481" s="308"/>
      <c r="T481" s="308" t="s">
        <v>566</v>
      </c>
      <c r="V481" s="313" t="s">
        <v>2460</v>
      </c>
      <c r="W481" s="406">
        <v>46173</v>
      </c>
    </row>
    <row r="482" spans="1:38" customHeight="1" ht="22.5">
      <c r="A482" s="724" t="s">
        <v>2483</v>
      </c>
      <c r="B482" s="724" t="s">
        <v>2484</v>
      </c>
      <c r="D482" s="724" t="s">
        <v>633</v>
      </c>
      <c r="E482" s="724" t="s">
        <v>2485</v>
      </c>
      <c r="F482" s="724" t="s">
        <v>506</v>
      </c>
      <c r="G482" s="724" t="s">
        <v>510</v>
      </c>
      <c r="H482" s="308" t="str">
        <f>IF(ISBLANK(B482),"-",IF(ISERROR(FIND("вич",B482,1)),"ж","м"))</f>
        <v>ж</v>
      </c>
      <c r="I482" s="308" t="e">
        <v>#REF!</v>
      </c>
      <c r="J482" s="308" t="e">
        <v>#REF!</v>
      </c>
      <c r="K482" s="29" t="s">
        <v>509</v>
      </c>
      <c r="L482" s="308"/>
      <c r="M482" s="308"/>
      <c r="N482" s="308"/>
      <c r="O482" s="736">
        <v>1</v>
      </c>
      <c r="P482" s="729" t="s">
        <v>618</v>
      </c>
      <c r="Q482" s="308" t="str">
        <f>IF(R482="","включаем","не включаем")</f>
        <v>включаем</v>
      </c>
      <c r="R482" s="732"/>
      <c r="S482" s="308"/>
      <c r="T482" s="308" t="s">
        <v>566</v>
      </c>
      <c r="V482" s="313" t="s">
        <v>2460</v>
      </c>
      <c r="W482" s="406">
        <v>46173</v>
      </c>
    </row>
    <row r="483" spans="1:38" customHeight="1" ht="22.5">
      <c r="A483" s="724" t="s">
        <v>2486</v>
      </c>
      <c r="B483" s="724" t="s">
        <v>2487</v>
      </c>
      <c r="D483" s="724" t="s">
        <v>2399</v>
      </c>
      <c r="E483" s="724" t="s">
        <v>2488</v>
      </c>
      <c r="F483" s="724" t="s">
        <v>506</v>
      </c>
      <c r="G483" s="724" t="s">
        <v>2489</v>
      </c>
      <c r="H483" s="308" t="str">
        <f>IF(ISBLANK(B483),"-",IF(ISERROR(FIND("вич",B483,1)),"ж","м"))</f>
        <v>м</v>
      </c>
      <c r="I483" s="308" t="e">
        <v>#REF!</v>
      </c>
      <c r="J483" s="308" t="e">
        <v>#REF!</v>
      </c>
      <c r="K483" s="29" t="s">
        <v>509</v>
      </c>
      <c r="L483" s="308"/>
      <c r="M483" s="308"/>
      <c r="N483" s="308"/>
      <c r="O483" s="736">
        <v>1</v>
      </c>
      <c r="P483" s="729" t="s">
        <v>618</v>
      </c>
      <c r="Q483" s="308" t="str">
        <f>IF(R483="","включаем","не включаем")</f>
        <v>включаем</v>
      </c>
      <c r="R483" s="732"/>
      <c r="S483" s="308"/>
      <c r="T483" s="308" t="s">
        <v>566</v>
      </c>
      <c r="V483" s="313" t="s">
        <v>2460</v>
      </c>
      <c r="W483" s="406">
        <v>46173</v>
      </c>
    </row>
    <row r="484" spans="1:38" customHeight="1" ht="22.5">
      <c r="A484" s="724" t="s">
        <v>2490</v>
      </c>
      <c r="B484" s="724" t="s">
        <v>2491</v>
      </c>
      <c r="D484" s="724" t="s">
        <v>1923</v>
      </c>
      <c r="E484" s="725" t="s">
        <v>2492</v>
      </c>
      <c r="F484" s="724" t="s">
        <v>2493</v>
      </c>
      <c r="G484" s="724" t="s">
        <v>2494</v>
      </c>
      <c r="H484" s="308" t="str">
        <f>IF(ISBLANK(B484),"-",IF(ISERROR(FIND("вич",B484,1)),"ж","м"))</f>
        <v>ж</v>
      </c>
      <c r="I484" s="308" t="e">
        <v>#REF!</v>
      </c>
      <c r="J484" s="308" t="e">
        <v>#REF!</v>
      </c>
      <c r="K484" s="29" t="s">
        <v>509</v>
      </c>
      <c r="L484" s="308"/>
      <c r="M484" s="308"/>
      <c r="N484" s="308"/>
      <c r="O484" s="736">
        <v>1</v>
      </c>
      <c r="P484" s="729" t="s">
        <v>618</v>
      </c>
      <c r="Q484" s="308" t="str">
        <f>IF(R484="","включаем","не включаем")</f>
        <v>включаем</v>
      </c>
      <c r="R484" s="732"/>
      <c r="S484" s="308"/>
      <c r="T484" s="308" t="s">
        <v>566</v>
      </c>
      <c r="V484" s="313" t="s">
        <v>2460</v>
      </c>
      <c r="W484" s="406">
        <v>46173</v>
      </c>
    </row>
    <row r="485" spans="1:38" customHeight="1" ht="22.5">
      <c r="A485" s="724" t="s">
        <v>2495</v>
      </c>
      <c r="B485" s="724" t="s">
        <v>2496</v>
      </c>
      <c r="D485" s="724" t="s">
        <v>2497</v>
      </c>
      <c r="E485" s="724" t="s">
        <v>2498</v>
      </c>
      <c r="F485" s="724" t="s">
        <v>2493</v>
      </c>
      <c r="G485" s="724" t="s">
        <v>2494</v>
      </c>
      <c r="H485" s="308" t="str">
        <f>IF(ISBLANK(B485),"-",IF(ISERROR(FIND("вич",B485,1)),"ж","м"))</f>
        <v>ж</v>
      </c>
      <c r="I485" s="308" t="e">
        <v>#REF!</v>
      </c>
      <c r="J485" s="308" t="e">
        <v>#REF!</v>
      </c>
      <c r="K485" s="29" t="s">
        <v>509</v>
      </c>
      <c r="L485" s="308"/>
      <c r="M485" s="308"/>
      <c r="N485" s="308"/>
      <c r="O485" s="736">
        <v>1</v>
      </c>
      <c r="P485" s="729" t="s">
        <v>618</v>
      </c>
      <c r="Q485" s="308" t="str">
        <f>IF(R485="","включаем","не включаем")</f>
        <v>включаем</v>
      </c>
      <c r="R485" s="732"/>
      <c r="S485" s="308"/>
      <c r="T485" s="308" t="s">
        <v>566</v>
      </c>
      <c r="V485" s="313" t="s">
        <v>2460</v>
      </c>
      <c r="W485" s="406">
        <v>46173</v>
      </c>
    </row>
    <row r="486" spans="1:38" customHeight="1" ht="22.5">
      <c r="A486" s="724" t="s">
        <v>2499</v>
      </c>
      <c r="B486" s="724" t="s">
        <v>2500</v>
      </c>
      <c r="D486" s="724" t="s">
        <v>2501</v>
      </c>
      <c r="E486" s="724" t="s">
        <v>2502</v>
      </c>
      <c r="F486" s="724" t="s">
        <v>2493</v>
      </c>
      <c r="G486" s="724" t="s">
        <v>2494</v>
      </c>
      <c r="H486" s="308" t="str">
        <f>IF(ISBLANK(B486),"-",IF(ISERROR(FIND("вич",B486,1)),"ж","м"))</f>
        <v>ж</v>
      </c>
      <c r="I486" s="308" t="e">
        <v>#REF!</v>
      </c>
      <c r="J486" s="308" t="e">
        <v>#REF!</v>
      </c>
      <c r="K486" s="29" t="s">
        <v>509</v>
      </c>
      <c r="L486" s="308"/>
      <c r="M486" s="308"/>
      <c r="N486" s="308"/>
      <c r="O486" s="736">
        <v>1</v>
      </c>
      <c r="P486" s="729" t="s">
        <v>618</v>
      </c>
      <c r="Q486" s="308" t="str">
        <f>IF(R486="","включаем","не включаем")</f>
        <v>включаем</v>
      </c>
      <c r="R486" s="732"/>
      <c r="S486" s="308"/>
      <c r="T486" s="308" t="s">
        <v>566</v>
      </c>
      <c r="V486" s="313" t="s">
        <v>2460</v>
      </c>
      <c r="W486" s="406">
        <v>46173</v>
      </c>
    </row>
    <row r="487" spans="1:38" customHeight="1" ht="22.5">
      <c r="A487" s="724" t="s">
        <v>2503</v>
      </c>
      <c r="B487" s="724" t="s">
        <v>2504</v>
      </c>
      <c r="D487" s="724" t="s">
        <v>2501</v>
      </c>
      <c r="E487" s="724" t="s">
        <v>2505</v>
      </c>
      <c r="F487" s="724" t="s">
        <v>2493</v>
      </c>
      <c r="G487" s="724" t="s">
        <v>2494</v>
      </c>
      <c r="H487" s="308" t="str">
        <f>IF(ISBLANK(B487),"-",IF(ISERROR(FIND("вич",B487,1)),"ж","м"))</f>
        <v>ж</v>
      </c>
      <c r="I487" s="308" t="e">
        <v>#REF!</v>
      </c>
      <c r="J487" s="308" t="e">
        <v>#REF!</v>
      </c>
      <c r="K487" s="29" t="s">
        <v>509</v>
      </c>
      <c r="L487" s="308"/>
      <c r="M487" s="308"/>
      <c r="N487" s="308"/>
      <c r="O487" s="736">
        <v>1</v>
      </c>
      <c r="P487" s="729" t="s">
        <v>618</v>
      </c>
      <c r="Q487" s="308" t="str">
        <f>IF(R487="","включаем","не включаем")</f>
        <v>включаем</v>
      </c>
      <c r="R487" s="732"/>
      <c r="S487" s="308"/>
      <c r="T487" s="308" t="s">
        <v>566</v>
      </c>
      <c r="V487" s="313" t="s">
        <v>2460</v>
      </c>
      <c r="W487" s="406">
        <v>46173</v>
      </c>
    </row>
    <row r="488" spans="1:38" customHeight="1" ht="22.5">
      <c r="A488" s="724" t="s">
        <v>2506</v>
      </c>
      <c r="B488" s="724" t="s">
        <v>2507</v>
      </c>
      <c r="D488" s="724" t="s">
        <v>878</v>
      </c>
      <c r="E488" s="724" t="s">
        <v>2508</v>
      </c>
      <c r="F488" s="724" t="s">
        <v>391</v>
      </c>
      <c r="G488" s="724" t="s">
        <v>511</v>
      </c>
      <c r="H488" s="308" t="str">
        <f>IF(ISBLANK(B488),"-",IF(ISERROR(FIND("вич",B488,1)),"ж","м"))</f>
        <v>м</v>
      </c>
      <c r="I488" s="308" t="e">
        <v>#REF!</v>
      </c>
      <c r="J488" s="308" t="e">
        <v>#REF!</v>
      </c>
      <c r="K488" s="29" t="s">
        <v>509</v>
      </c>
      <c r="L488" s="308"/>
      <c r="M488" s="308"/>
      <c r="N488" s="308"/>
      <c r="O488" s="736">
        <v>1</v>
      </c>
      <c r="P488" s="729" t="s">
        <v>618</v>
      </c>
      <c r="Q488" s="308" t="str">
        <f>IF(R488="","включаем","не включаем")</f>
        <v>не включаем</v>
      </c>
      <c r="R488" s="732" t="s">
        <v>585</v>
      </c>
      <c r="S488" s="308"/>
      <c r="T488" s="308" t="s">
        <v>566</v>
      </c>
      <c r="V488" s="313" t="s">
        <v>2460</v>
      </c>
      <c r="W488" s="406">
        <v>46173</v>
      </c>
    </row>
    <row r="489" spans="1:38" customHeight="1" ht="22.5">
      <c r="A489" s="724" t="s">
        <v>2509</v>
      </c>
      <c r="B489" s="724" t="s">
        <v>2510</v>
      </c>
      <c r="D489" s="724" t="s">
        <v>1885</v>
      </c>
      <c r="E489" s="725" t="s">
        <v>2511</v>
      </c>
      <c r="F489" s="724" t="s">
        <v>391</v>
      </c>
      <c r="G489" s="724" t="s">
        <v>511</v>
      </c>
      <c r="H489" s="308" t="str">
        <f>IF(ISBLANK(B489),"-",IF(ISERROR(FIND("вич",B489,1)),"ж","м"))</f>
        <v>м</v>
      </c>
      <c r="I489" s="308" t="e">
        <v>#REF!</v>
      </c>
      <c r="J489" s="308" t="e">
        <v>#REF!</v>
      </c>
      <c r="K489" s="29" t="s">
        <v>509</v>
      </c>
      <c r="L489" s="308"/>
      <c r="M489" s="308"/>
      <c r="N489" s="308"/>
      <c r="O489" s="736">
        <v>1</v>
      </c>
      <c r="P489" s="729" t="s">
        <v>618</v>
      </c>
      <c r="Q489" s="308" t="str">
        <f>IF(R489="","включаем","не включаем")</f>
        <v>включаем</v>
      </c>
      <c r="R489" s="732"/>
      <c r="S489" s="308"/>
      <c r="T489" s="308" t="s">
        <v>566</v>
      </c>
      <c r="V489" s="313" t="s">
        <v>2460</v>
      </c>
      <c r="W489" s="406">
        <v>46173</v>
      </c>
    </row>
    <row r="490" spans="1:38" customHeight="1" ht="22.5">
      <c r="A490" s="724" t="s">
        <v>2512</v>
      </c>
      <c r="B490" s="724" t="s">
        <v>2513</v>
      </c>
      <c r="D490" s="724" t="s">
        <v>2514</v>
      </c>
      <c r="E490" s="724" t="s">
        <v>2515</v>
      </c>
      <c r="F490" s="724" t="s">
        <v>391</v>
      </c>
      <c r="G490" s="724" t="s">
        <v>511</v>
      </c>
      <c r="H490" s="308" t="str">
        <f>IF(ISBLANK(B490),"-",IF(ISERROR(FIND("вич",B490,1)),"ж","м"))</f>
        <v>м</v>
      </c>
      <c r="I490" s="308" t="e">
        <v>#REF!</v>
      </c>
      <c r="J490" s="308" t="e">
        <v>#REF!</v>
      </c>
      <c r="K490" s="29" t="s">
        <v>509</v>
      </c>
      <c r="L490" s="308"/>
      <c r="M490" s="308"/>
      <c r="N490" s="308"/>
      <c r="O490" s="736">
        <v>1</v>
      </c>
      <c r="P490" s="729" t="s">
        <v>618</v>
      </c>
      <c r="Q490" s="308" t="str">
        <f>IF(R490="","включаем","не включаем")</f>
        <v>включаем</v>
      </c>
      <c r="R490" s="732"/>
      <c r="S490" s="308"/>
      <c r="T490" s="308" t="s">
        <v>566</v>
      </c>
      <c r="V490" s="313" t="s">
        <v>2460</v>
      </c>
      <c r="W490" s="406">
        <v>46173</v>
      </c>
    </row>
    <row r="491" spans="1:38" customHeight="1" ht="22.5">
      <c r="A491" s="724" t="s">
        <v>2516</v>
      </c>
      <c r="B491" s="724" t="s">
        <v>2517</v>
      </c>
      <c r="D491" s="724" t="s">
        <v>2518</v>
      </c>
      <c r="E491" s="724" t="s">
        <v>2519</v>
      </c>
      <c r="F491" s="724" t="s">
        <v>391</v>
      </c>
      <c r="G491" s="724" t="s">
        <v>511</v>
      </c>
      <c r="H491" s="308" t="str">
        <f>IF(ISBLANK(B491),"-",IF(ISERROR(FIND("вич",B491,1)),"ж","м"))</f>
        <v>м</v>
      </c>
      <c r="I491" s="308" t="e">
        <v>#REF!</v>
      </c>
      <c r="J491" s="308" t="e">
        <v>#REF!</v>
      </c>
      <c r="K491" s="29" t="s">
        <v>509</v>
      </c>
      <c r="L491" s="308"/>
      <c r="M491" s="308"/>
      <c r="N491" s="308"/>
      <c r="O491" s="736">
        <v>1</v>
      </c>
      <c r="P491" s="729" t="s">
        <v>618</v>
      </c>
      <c r="Q491" s="308" t="str">
        <f>IF(R491="","включаем","не включаем")</f>
        <v>включаем</v>
      </c>
      <c r="R491" s="732"/>
      <c r="S491" s="308"/>
      <c r="T491" s="308" t="s">
        <v>566</v>
      </c>
      <c r="V491" s="313" t="s">
        <v>2460</v>
      </c>
      <c r="W491" s="406">
        <v>46173</v>
      </c>
    </row>
    <row r="492" spans="1:38" customHeight="1" ht="22.5">
      <c r="A492" s="724" t="s">
        <v>2520</v>
      </c>
      <c r="B492" s="724" t="s">
        <v>2521</v>
      </c>
      <c r="D492" s="724" t="s">
        <v>2522</v>
      </c>
      <c r="E492" s="724" t="s">
        <v>2523</v>
      </c>
      <c r="F492" s="724" t="s">
        <v>391</v>
      </c>
      <c r="G492" s="724" t="s">
        <v>511</v>
      </c>
      <c r="H492" s="308" t="str">
        <f>IF(ISBLANK(B492),"-",IF(ISERROR(FIND("вич",B492,1)),"ж","м"))</f>
        <v>м</v>
      </c>
      <c r="I492" s="308" t="e">
        <v>#REF!</v>
      </c>
      <c r="J492" s="308" t="e">
        <v>#REF!</v>
      </c>
      <c r="K492" s="29" t="s">
        <v>509</v>
      </c>
      <c r="L492" s="308"/>
      <c r="M492" s="308"/>
      <c r="N492" s="308"/>
      <c r="O492" s="736">
        <v>1</v>
      </c>
      <c r="P492" s="729" t="s">
        <v>618</v>
      </c>
      <c r="Q492" s="308" t="str">
        <f>IF(R492="","включаем","не включаем")</f>
        <v>не включаем</v>
      </c>
      <c r="R492" s="732" t="s">
        <v>585</v>
      </c>
      <c r="S492" s="308"/>
      <c r="T492" s="308" t="s">
        <v>566</v>
      </c>
      <c r="V492" s="313" t="s">
        <v>2460</v>
      </c>
      <c r="W492" s="406">
        <v>46173</v>
      </c>
    </row>
    <row r="493" spans="1:38" customHeight="1" ht="22.5">
      <c r="A493" s="724" t="s">
        <v>2524</v>
      </c>
      <c r="B493" s="724" t="s">
        <v>2525</v>
      </c>
      <c r="D493" s="724" t="s">
        <v>2526</v>
      </c>
      <c r="E493" s="725" t="s">
        <v>2527</v>
      </c>
      <c r="F493" s="724" t="s">
        <v>391</v>
      </c>
      <c r="G493" s="724" t="s">
        <v>511</v>
      </c>
      <c r="H493" s="308" t="str">
        <f>IF(ISBLANK(B493),"-",IF(ISERROR(FIND("вич",B493,1)),"ж","м"))</f>
        <v>м</v>
      </c>
      <c r="I493" s="308" t="e">
        <v>#REF!</v>
      </c>
      <c r="J493" s="308" t="e">
        <v>#REF!</v>
      </c>
      <c r="K493" s="29" t="s">
        <v>509</v>
      </c>
      <c r="L493" s="308"/>
      <c r="M493" s="308"/>
      <c r="N493" s="308"/>
      <c r="O493" s="736">
        <v>1</v>
      </c>
      <c r="P493" s="729" t="s">
        <v>618</v>
      </c>
      <c r="Q493" s="308" t="str">
        <f>IF(R493="","включаем","не включаем")</f>
        <v>включаем</v>
      </c>
      <c r="R493" s="732"/>
      <c r="S493" s="308"/>
      <c r="T493" s="308" t="s">
        <v>566</v>
      </c>
      <c r="V493" s="313" t="s">
        <v>2460</v>
      </c>
      <c r="W493" s="406">
        <v>46173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mergeCells>
    <mergeCell ref="AB1:AD1"/>
    <mergeCell ref="AJ1:AL1"/>
  </mergeCells>
  <dataValidations count="4">
    <dataValidation type="none" errorStyle="stop" operator="between" allowBlank="1" showDropDown="0" showInputMessage="0" showErrorMessage="1" sqref="L1:L493"/>
    <dataValidation type="none" errorStyle="stop" operator="between" allowBlank="1" showDropDown="0" showInputMessage="0" showErrorMessage="1" sqref="M3:M493"/>
    <dataValidation type="list" errorStyle="stop" operator="between" allowBlank="1" showDropDown="0" showInputMessage="1" showErrorMessage="1" sqref="R3:R493">
      <formula1>Причины_невключения</formula1>
    </dataValidation>
    <dataValidation type="list" errorStyle="stop" operator="between" allowBlank="1" showDropDown="0" showInputMessage="1" showErrorMessage="1" sqref="T1:T493">
      <formula1>Месяц</formula1>
    </dataValidation>
  </dataValidations>
  <printOptions gridLines="false" gridLinesSet="true"/>
  <pageMargins left="0.70866141732283" right="0.70866141732283" top="0.74803149606299" bottom="0.74803149606299" header="0.51181102362205" footer="0.51181102362205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9"/>
  <sheetViews>
    <sheetView tabSelected="0" workbookViewId="0" zoomScale="130" zoomScaleNormal="130" showGridLines="true" showRowColHeaders="1">
      <selection activeCell="I25" sqref="I25"/>
    </sheetView>
  </sheetViews>
  <sheetFormatPr customHeight="true" defaultRowHeight="15" outlineLevelRow="0" outlineLevelCol="0"/>
  <cols>
    <col min="1" max="1" width="47.7109375" customWidth="true" style="0"/>
  </cols>
  <sheetData>
    <row r="1" spans="1:1" customHeight="1" ht="15">
      <c r="A1" s="43" t="s">
        <v>63</v>
      </c>
    </row>
    <row r="2" spans="1:1" customHeight="1" ht="15">
      <c r="A2" s="44" t="s">
        <v>2528</v>
      </c>
    </row>
    <row r="3" spans="1:1" customHeight="1" ht="15">
      <c r="A3" s="44" t="s">
        <v>2529</v>
      </c>
    </row>
    <row r="4" spans="1:1" customHeight="1" ht="15">
      <c r="A4" s="44" t="s">
        <v>2530</v>
      </c>
    </row>
    <row r="5" spans="1:1" customHeight="1" ht="15">
      <c r="A5" s="44" t="s">
        <v>2531</v>
      </c>
    </row>
    <row r="6" spans="1:1" customHeight="1" ht="15">
      <c r="A6" s="44" t="s">
        <v>2532</v>
      </c>
    </row>
    <row r="7" spans="1:1" customHeight="1" ht="15">
      <c r="A7" s="44" t="s">
        <v>2533</v>
      </c>
    </row>
    <row r="8" spans="1:1" customHeight="1" ht="15">
      <c r="A8" s="44" t="s">
        <v>2534</v>
      </c>
    </row>
    <row r="9" spans="1:1" customHeight="1" ht="15">
      <c r="A9" s="44" t="s">
        <v>2535</v>
      </c>
    </row>
    <row r="10" spans="1:1" customHeight="1" ht="15">
      <c r="A10" s="44" t="s">
        <v>2536</v>
      </c>
    </row>
    <row r="11" spans="1:1" customHeight="1" ht="15">
      <c r="A11" s="44" t="s">
        <v>2537</v>
      </c>
    </row>
    <row r="12" spans="1:1" customHeight="1" ht="15">
      <c r="A12" s="44" t="s">
        <v>2538</v>
      </c>
    </row>
    <row r="13" spans="1:1" customHeight="1" ht="15">
      <c r="A13" s="44" t="s">
        <v>2539</v>
      </c>
    </row>
    <row r="14" spans="1:1" customHeight="1" ht="15">
      <c r="A14" s="44" t="s">
        <v>2540</v>
      </c>
    </row>
    <row r="15" spans="1:1" customHeight="1" ht="15">
      <c r="A15" s="44" t="s">
        <v>2541</v>
      </c>
    </row>
    <row r="16" spans="1:1" customHeight="1" ht="15">
      <c r="A16" s="44" t="s">
        <v>2542</v>
      </c>
    </row>
    <row r="17" spans="1:1" customHeight="1" ht="15">
      <c r="A17" s="44" t="s">
        <v>2543</v>
      </c>
    </row>
    <row r="18" spans="1:1" customHeight="1" ht="15">
      <c r="A18" s="44" t="s">
        <v>2544</v>
      </c>
    </row>
    <row r="19" spans="1:1" customHeight="1" ht="15">
      <c r="A19" s="44" t="s">
        <v>2545</v>
      </c>
    </row>
    <row r="20" spans="1:1" customHeight="1" ht="15">
      <c r="A20" s="44" t="s">
        <v>2546</v>
      </c>
    </row>
    <row r="21" spans="1:1" customHeight="1" ht="15">
      <c r="A21" s="44" t="s">
        <v>2547</v>
      </c>
    </row>
    <row r="22" spans="1:1" customHeight="1" ht="15">
      <c r="A22" s="44" t="s">
        <v>2548</v>
      </c>
    </row>
    <row r="23" spans="1:1" customHeight="1" ht="15">
      <c r="A23" s="44" t="s">
        <v>2549</v>
      </c>
    </row>
    <row r="24" spans="1:1" customHeight="1" ht="15">
      <c r="A24" s="44" t="s">
        <v>2550</v>
      </c>
    </row>
    <row r="25" spans="1:1" customHeight="1" ht="15">
      <c r="A25" s="44" t="s">
        <v>2551</v>
      </c>
    </row>
    <row r="26" spans="1:1" customHeight="1" ht="15">
      <c r="A26" s="44" t="s">
        <v>2552</v>
      </c>
    </row>
    <row r="27" spans="1:1" customHeight="1" ht="15">
      <c r="A27" s="44" t="s">
        <v>2553</v>
      </c>
    </row>
    <row r="28" spans="1:1" customHeight="1" ht="15">
      <c r="A28" s="44" t="s">
        <v>2554</v>
      </c>
    </row>
    <row r="29" spans="1:1" customHeight="1" ht="15">
      <c r="A29" s="44" t="s">
        <v>2555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" right="0.7" top="0.75" bottom="0.75" header="0.51180555555556" footer="0.51180555555556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6"/>
  <sheetViews>
    <sheetView tabSelected="0" workbookViewId="0" showGridLines="true" showRowColHeaders="1">
      <selection activeCell="B2" sqref="B2"/>
    </sheetView>
  </sheetViews>
  <sheetFormatPr customHeight="true" defaultRowHeight="15" outlineLevelRow="0" outlineLevelCol="0"/>
  <cols>
    <col min="1" max="1" width="29" customWidth="true" style="0"/>
    <col min="2" max="2" width="122.5703125" customWidth="true" style="0"/>
  </cols>
  <sheetData>
    <row r="1" spans="1:2" customHeight="1" ht="15">
      <c r="A1" s="43" t="s">
        <v>2556</v>
      </c>
      <c r="B1" s="43"/>
    </row>
    <row r="2" spans="1:2" customHeight="1" ht="15">
      <c r="A2" t="s">
        <v>2557</v>
      </c>
      <c r="B2" t="s">
        <v>2558</v>
      </c>
    </row>
    <row r="3" spans="1:2" customHeight="1" ht="15">
      <c r="A3" t="s">
        <v>2559</v>
      </c>
      <c r="B3" t="s">
        <v>2560</v>
      </c>
    </row>
    <row r="4" spans="1:2" customHeight="1" ht="15">
      <c r="A4" t="s">
        <v>2561</v>
      </c>
      <c r="B4" t="s">
        <v>2562</v>
      </c>
    </row>
    <row r="5" spans="1:2" customHeight="1" ht="15">
      <c r="A5" t="s">
        <v>2563</v>
      </c>
      <c r="B5" t="s">
        <v>2564</v>
      </c>
    </row>
    <row r="6" spans="1:2" customHeight="1" ht="15">
      <c r="A6" t="s">
        <v>2565</v>
      </c>
      <c r="B6" t="s">
        <v>2566</v>
      </c>
    </row>
    <row r="7" spans="1:2" customHeight="1" ht="15">
      <c r="A7" t="s">
        <v>2565</v>
      </c>
      <c r="B7" t="s">
        <v>2567</v>
      </c>
    </row>
    <row r="8" spans="1:2" customHeight="1" ht="15">
      <c r="A8" t="s">
        <v>2565</v>
      </c>
      <c r="B8" t="s">
        <v>2568</v>
      </c>
    </row>
    <row r="9" spans="1:2" customHeight="1" ht="15">
      <c r="A9" t="s">
        <v>2569</v>
      </c>
      <c r="B9" t="s">
        <v>2570</v>
      </c>
    </row>
    <row r="10" spans="1:2" customHeight="1" ht="15">
      <c r="A10" t="s">
        <v>2571</v>
      </c>
      <c r="B10" t="s">
        <v>2572</v>
      </c>
    </row>
    <row r="11" spans="1:2" customHeight="1" ht="15">
      <c r="A11" t="s">
        <v>2573</v>
      </c>
      <c r="B11" t="s">
        <v>2574</v>
      </c>
    </row>
    <row r="12" spans="1:2" customHeight="1" ht="15">
      <c r="A12" t="s">
        <v>2575</v>
      </c>
      <c r="B12" t="s">
        <v>2576</v>
      </c>
    </row>
    <row r="13" spans="1:2" customHeight="1" ht="15">
      <c r="A13" t="s">
        <v>2571</v>
      </c>
      <c r="B13" t="s">
        <v>2577</v>
      </c>
    </row>
    <row r="14" spans="1:2" customHeight="1" ht="15">
      <c r="A14" t="s">
        <v>2578</v>
      </c>
      <c r="B14" t="s">
        <v>2579</v>
      </c>
    </row>
    <row r="15" spans="1:2" customHeight="1" ht="15">
      <c r="A15" t="s">
        <v>2580</v>
      </c>
      <c r="B15" t="s">
        <v>2581</v>
      </c>
    </row>
    <row r="16" spans="1:2" customHeight="1" ht="15">
      <c r="A16" t="s">
        <v>2582</v>
      </c>
      <c r="B16" t="s">
        <v>2583</v>
      </c>
    </row>
    <row r="17" spans="1:2" customHeight="1" ht="15">
      <c r="A17" t="s">
        <v>2584</v>
      </c>
      <c r="B17" t="s">
        <v>2585</v>
      </c>
    </row>
    <row r="18" spans="1:2" customHeight="1" ht="15">
      <c r="A18" t="s">
        <v>2586</v>
      </c>
      <c r="B18" t="s">
        <v>2587</v>
      </c>
    </row>
    <row r="19" spans="1:2" customHeight="1" ht="15">
      <c r="A19" t="s">
        <v>2588</v>
      </c>
      <c r="B19" t="s">
        <v>2589</v>
      </c>
    </row>
    <row r="20" spans="1:2" customHeight="1" ht="15">
      <c r="A20" t="s">
        <v>2590</v>
      </c>
      <c r="B20" t="s">
        <v>2591</v>
      </c>
    </row>
    <row r="21" spans="1:2" customHeight="1" ht="15">
      <c r="A21" t="s">
        <v>2592</v>
      </c>
      <c r="B21" t="s">
        <v>2593</v>
      </c>
    </row>
    <row r="22" spans="1:2" customHeight="1" ht="15">
      <c r="A22" t="s">
        <v>2594</v>
      </c>
      <c r="B22" t="s">
        <v>2595</v>
      </c>
    </row>
    <row r="23" spans="1:2" customHeight="1" ht="15">
      <c r="A23" t="s">
        <v>2596</v>
      </c>
      <c r="B23" t="s">
        <v>2597</v>
      </c>
    </row>
    <row r="24" spans="1:2" customHeight="1" ht="15">
      <c r="A24" t="s">
        <v>2598</v>
      </c>
      <c r="B24" t="s">
        <v>2599</v>
      </c>
    </row>
    <row r="25" spans="1:2" customHeight="1" ht="15">
      <c r="A25" t="s">
        <v>2600</v>
      </c>
      <c r="B25" t="s">
        <v>2601</v>
      </c>
    </row>
    <row r="26" spans="1:2" customHeight="1" ht="15">
      <c r="A26" t="s">
        <v>2602</v>
      </c>
      <c r="B26" t="s">
        <v>2603</v>
      </c>
    </row>
    <row r="27" spans="1:2" customHeight="1" ht="15">
      <c r="A27" t="s">
        <v>2604</v>
      </c>
      <c r="B27" t="s">
        <v>2605</v>
      </c>
    </row>
    <row r="28" spans="1:2" customHeight="1" ht="15">
      <c r="A28" t="s">
        <v>2606</v>
      </c>
      <c r="B28" t="s">
        <v>2607</v>
      </c>
    </row>
    <row r="29" spans="1:2" customHeight="1" ht="15">
      <c r="A29" t="s">
        <v>2608</v>
      </c>
      <c r="B29" t="s">
        <v>2609</v>
      </c>
    </row>
    <row r="30" spans="1:2" customHeight="1" ht="15">
      <c r="A30" t="s">
        <v>2610</v>
      </c>
      <c r="B30" t="s">
        <v>2611</v>
      </c>
    </row>
    <row r="31" spans="1:2" customHeight="1" ht="15">
      <c r="A31" t="s">
        <v>2612</v>
      </c>
      <c r="B31" t="s">
        <v>2613</v>
      </c>
    </row>
    <row r="32" spans="1:2" customHeight="1" ht="15">
      <c r="A32" t="s">
        <v>2614</v>
      </c>
      <c r="B32" t="s">
        <v>2615</v>
      </c>
    </row>
    <row r="33" spans="1:2" customHeight="1" ht="15">
      <c r="A33" t="s">
        <v>2616</v>
      </c>
      <c r="B33" t="s">
        <v>2617</v>
      </c>
    </row>
    <row r="34" spans="1:2" customHeight="1" ht="15">
      <c r="A34" t="s">
        <v>2618</v>
      </c>
      <c r="B34" t="s">
        <v>2619</v>
      </c>
    </row>
    <row r="35" spans="1:2" customHeight="1" ht="15">
      <c r="A35" t="s">
        <v>2620</v>
      </c>
      <c r="B35" t="s">
        <v>2621</v>
      </c>
    </row>
    <row r="36" spans="1:2" customHeight="1" ht="15">
      <c r="A36" t="s">
        <v>2622</v>
      </c>
      <c r="B36" t="s">
        <v>2623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" right="0.7" top="0.75" bottom="0.75" header="0.51180555555556" footer="0.51180555555556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2"/>
  <sheetViews>
    <sheetView tabSelected="0" workbookViewId="0" showGridLines="true" showRowColHeaders="1">
      <selection activeCell="A3" sqref="A3:A33"/>
    </sheetView>
  </sheetViews>
  <sheetFormatPr customHeight="true" defaultRowHeight="15" outlineLevelRow="0" outlineLevelCol="0"/>
  <cols>
    <col min="1" max="1" width="96.5703125" customWidth="true" style="0"/>
  </cols>
  <sheetData>
    <row r="1" spans="1:2" customHeight="1" ht="15">
      <c r="A1" s="45" t="s">
        <v>2624</v>
      </c>
      <c r="B1" s="46"/>
    </row>
    <row r="2" spans="1:2" customHeight="1" ht="15">
      <c r="A2" s="47" t="s">
        <v>2625</v>
      </c>
      <c r="B2" s="44" t="s">
        <v>2626</v>
      </c>
    </row>
    <row r="3" spans="1:2" customHeight="1" ht="15">
      <c r="A3" s="44" t="s">
        <v>2528</v>
      </c>
      <c r="B3" s="44" t="s">
        <v>2626</v>
      </c>
    </row>
    <row r="4" spans="1:2" customHeight="1" ht="15">
      <c r="A4" s="44" t="s">
        <v>2529</v>
      </c>
      <c r="B4" s="44" t="s">
        <v>2626</v>
      </c>
    </row>
    <row r="5" spans="1:2" customHeight="1" ht="15">
      <c r="A5" s="44" t="s">
        <v>2530</v>
      </c>
      <c r="B5" s="44" t="s">
        <v>2626</v>
      </c>
    </row>
    <row r="6" spans="1:2" customHeight="1" ht="15">
      <c r="A6" s="44" t="s">
        <v>2531</v>
      </c>
      <c r="B6" s="44" t="s">
        <v>2626</v>
      </c>
    </row>
    <row r="7" spans="1:2" customHeight="1" ht="15">
      <c r="A7" s="44" t="s">
        <v>2532</v>
      </c>
      <c r="B7" s="44" t="s">
        <v>2626</v>
      </c>
    </row>
    <row r="8" spans="1:2" customHeight="1" ht="15">
      <c r="A8" s="44" t="s">
        <v>2533</v>
      </c>
      <c r="B8" s="44" t="s">
        <v>2626</v>
      </c>
    </row>
    <row r="9" spans="1:2" customHeight="1" ht="15">
      <c r="A9" s="44" t="s">
        <v>2534</v>
      </c>
      <c r="B9" s="44" t="s">
        <v>2626</v>
      </c>
    </row>
    <row r="10" spans="1:2" customHeight="1" ht="15">
      <c r="A10" s="44" t="s">
        <v>2535</v>
      </c>
      <c r="B10" s="44" t="s">
        <v>2626</v>
      </c>
    </row>
    <row r="11" spans="1:2" customHeight="1" ht="15">
      <c r="A11" s="44" t="s">
        <v>2536</v>
      </c>
      <c r="B11" s="44" t="s">
        <v>2626</v>
      </c>
    </row>
    <row r="12" spans="1:2" customHeight="1" ht="15">
      <c r="A12" s="44" t="s">
        <v>2537</v>
      </c>
      <c r="B12" s="44" t="s">
        <v>2626</v>
      </c>
    </row>
    <row r="13" spans="1:2" customHeight="1" ht="15">
      <c r="A13" s="44" t="s">
        <v>2538</v>
      </c>
      <c r="B13" s="44" t="s">
        <v>2626</v>
      </c>
    </row>
    <row r="14" spans="1:2" customHeight="1" ht="15">
      <c r="A14" s="47" t="s">
        <v>2581</v>
      </c>
      <c r="B14" s="44" t="s">
        <v>2626</v>
      </c>
    </row>
    <row r="15" spans="1:2" customHeight="1" ht="15">
      <c r="A15" s="44" t="s">
        <v>2539</v>
      </c>
      <c r="B15" s="44" t="s">
        <v>2626</v>
      </c>
    </row>
    <row r="16" spans="1:2" customHeight="1" ht="15">
      <c r="A16" s="44" t="s">
        <v>2540</v>
      </c>
      <c r="B16" s="44" t="s">
        <v>2626</v>
      </c>
    </row>
    <row r="17" spans="1:2" customHeight="1" ht="15">
      <c r="A17" s="44" t="s">
        <v>2541</v>
      </c>
      <c r="B17" s="44" t="s">
        <v>2626</v>
      </c>
    </row>
    <row r="18" spans="1:2" customHeight="1" ht="15">
      <c r="A18" s="44" t="s">
        <v>2542</v>
      </c>
      <c r="B18" s="44" t="s">
        <v>2626</v>
      </c>
    </row>
    <row r="19" spans="1:2" customHeight="1" ht="15">
      <c r="A19" s="44" t="s">
        <v>2543</v>
      </c>
      <c r="B19" s="44" t="s">
        <v>2626</v>
      </c>
    </row>
    <row r="20" spans="1:2" customHeight="1" ht="15">
      <c r="A20" s="44" t="s">
        <v>2544</v>
      </c>
      <c r="B20" s="44" t="s">
        <v>2626</v>
      </c>
    </row>
    <row r="21" spans="1:2" customHeight="1" ht="15">
      <c r="A21" s="47" t="s">
        <v>2627</v>
      </c>
      <c r="B21" s="44" t="s">
        <v>2628</v>
      </c>
    </row>
    <row r="22" spans="1:2" customHeight="1" ht="15">
      <c r="A22" s="44" t="s">
        <v>2545</v>
      </c>
      <c r="B22" s="44" t="s">
        <v>2628</v>
      </c>
    </row>
    <row r="23" spans="1:2" customHeight="1" ht="15">
      <c r="A23" s="44" t="s">
        <v>2546</v>
      </c>
      <c r="B23" s="44" t="s">
        <v>2628</v>
      </c>
    </row>
    <row r="24" spans="1:2" customHeight="1" ht="15">
      <c r="A24" s="44" t="s">
        <v>2547</v>
      </c>
      <c r="B24" s="44" t="s">
        <v>2628</v>
      </c>
    </row>
    <row r="25" spans="1:2" customHeight="1" ht="15">
      <c r="A25" s="44" t="s">
        <v>2548</v>
      </c>
      <c r="B25" s="44" t="s">
        <v>2628</v>
      </c>
    </row>
    <row r="26" spans="1:2" customHeight="1" ht="15">
      <c r="A26" s="44" t="s">
        <v>2549</v>
      </c>
      <c r="B26" s="44" t="s">
        <v>2628</v>
      </c>
    </row>
    <row r="27" spans="1:2" customHeight="1" ht="15">
      <c r="A27" s="44" t="s">
        <v>2550</v>
      </c>
      <c r="B27" s="44" t="s">
        <v>2628</v>
      </c>
    </row>
    <row r="28" spans="1:2" customHeight="1" ht="15">
      <c r="A28" s="44" t="s">
        <v>2551</v>
      </c>
      <c r="B28" s="44" t="s">
        <v>2628</v>
      </c>
    </row>
    <row r="29" spans="1:2" customHeight="1" ht="15">
      <c r="A29" s="44" t="s">
        <v>2552</v>
      </c>
      <c r="B29" s="44" t="s">
        <v>2628</v>
      </c>
    </row>
    <row r="30" spans="1:2" customHeight="1" ht="15">
      <c r="A30" s="44" t="s">
        <v>2553</v>
      </c>
      <c r="B30" s="44" t="s">
        <v>2628</v>
      </c>
    </row>
    <row r="31" spans="1:2" customHeight="1" ht="15">
      <c r="A31" s="44" t="s">
        <v>2554</v>
      </c>
      <c r="B31" s="44" t="s">
        <v>2628</v>
      </c>
    </row>
    <row r="32" spans="1:2" customHeight="1" ht="15">
      <c r="A32" s="44" t="s">
        <v>2555</v>
      </c>
      <c r="B32" s="44" t="s">
        <v>2628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" right="0.7" top="0.75" bottom="0.75" header="0.51180555555556" footer="0.51180555555556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1"/>
  <sheetViews>
    <sheetView tabSelected="0" workbookViewId="0" showGridLines="true" showRowColHeaders="1">
      <selection activeCell="H12" sqref="H12"/>
    </sheetView>
  </sheetViews>
  <sheetFormatPr customHeight="true" defaultRowHeight="15" defaultColWidth="9.140625" outlineLevelRow="0" outlineLevelCol="0"/>
  <cols>
    <col min="1" max="1" width="22.140625" customWidth="true" style="225"/>
    <col min="2" max="2" width="35.42578125" customWidth="true" style="225"/>
    <col min="3" max="3" width="5.140625" customWidth="true" style="225"/>
    <col min="4" max="4" width="5.140625" customWidth="true" style="225"/>
  </cols>
  <sheetData>
    <row r="2" spans="1:4" customHeight="1" ht="15">
      <c r="A2"/>
      <c r="B2"/>
    </row>
    <row r="3" spans="1:4" customHeight="1" ht="15">
      <c r="A3" s="360" t="s">
        <v>46</v>
      </c>
      <c r="B3" s="497" t="s">
        <v>2629</v>
      </c>
    </row>
    <row r="4" spans="1:4" customHeight="1" ht="30">
      <c r="A4" s="360" t="s">
        <v>41</v>
      </c>
      <c r="B4" s="497" t="s">
        <v>2630</v>
      </c>
    </row>
    <row r="5" spans="1:4" customHeight="1" ht="30">
      <c r="A5" s="360" t="s">
        <v>42</v>
      </c>
      <c r="B5" s="497" t="s">
        <v>2629</v>
      </c>
    </row>
    <row r="7" spans="1:4" customHeight="1" ht="30">
      <c r="A7" s="432" t="s">
        <v>2631</v>
      </c>
      <c r="B7" s="718"/>
      <c r="C7" s="498"/>
      <c r="D7"/>
    </row>
    <row r="8" spans="1:4" customHeight="1" ht="15">
      <c r="A8" s="432" t="s">
        <v>122</v>
      </c>
      <c r="B8" s="432" t="s">
        <v>26</v>
      </c>
      <c r="C8" s="498" t="s">
        <v>2632</v>
      </c>
      <c r="D8"/>
    </row>
    <row r="9" spans="1:4" customHeight="1" ht="30">
      <c r="A9" s="499" t="s">
        <v>135</v>
      </c>
      <c r="B9" s="499" t="s">
        <v>2342</v>
      </c>
      <c r="C9" s="500">
        <v>1</v>
      </c>
      <c r="D9"/>
    </row>
    <row r="10" spans="1:4" customHeight="1" ht="15">
      <c r="A10" s="739"/>
      <c r="B10" s="501" t="s">
        <v>152</v>
      </c>
      <c r="C10" s="502">
        <v>3</v>
      </c>
      <c r="D10"/>
    </row>
    <row r="11" spans="1:4" customHeight="1" ht="30">
      <c r="A11" s="739"/>
      <c r="B11" s="501" t="s">
        <v>240</v>
      </c>
      <c r="C11" s="502">
        <v>2</v>
      </c>
      <c r="D11"/>
    </row>
    <row r="12" spans="1:4" customHeight="1" ht="15">
      <c r="A12" s="739"/>
      <c r="B12" s="501" t="s">
        <v>2338</v>
      </c>
      <c r="C12" s="502">
        <v>1</v>
      </c>
      <c r="D12"/>
    </row>
    <row r="13" spans="1:4" customHeight="1" ht="15">
      <c r="A13" s="739"/>
      <c r="B13" s="501" t="s">
        <v>464</v>
      </c>
      <c r="C13" s="502">
        <v>7</v>
      </c>
      <c r="D13"/>
    </row>
    <row r="14" spans="1:4" customHeight="1" ht="15">
      <c r="A14" s="739"/>
      <c r="B14" s="501" t="s">
        <v>326</v>
      </c>
      <c r="C14" s="502">
        <v>9</v>
      </c>
      <c r="D14"/>
    </row>
    <row r="15" spans="1:4" customHeight="1" ht="15">
      <c r="A15" s="739"/>
      <c r="B15" s="501" t="s">
        <v>504</v>
      </c>
      <c r="C15" s="502">
        <v>14</v>
      </c>
      <c r="D15"/>
    </row>
    <row r="16" spans="1:4" customHeight="1" ht="30">
      <c r="A16" s="499" t="s">
        <v>2633</v>
      </c>
      <c r="B16" s="718"/>
      <c r="C16" s="500">
        <v>37</v>
      </c>
      <c r="D16"/>
    </row>
    <row r="17" spans="1:4" customHeight="1" ht="30">
      <c r="A17" s="499" t="s">
        <v>219</v>
      </c>
      <c r="B17" s="499" t="s">
        <v>216</v>
      </c>
      <c r="C17" s="500">
        <v>11</v>
      </c>
      <c r="D17"/>
    </row>
    <row r="18" spans="1:4" customHeight="1" ht="15">
      <c r="A18" s="739"/>
      <c r="B18" s="501" t="s">
        <v>472</v>
      </c>
      <c r="C18" s="502">
        <v>5</v>
      </c>
      <c r="D18"/>
    </row>
    <row r="19" spans="1:4" customHeight="1" ht="30">
      <c r="A19" s="739"/>
      <c r="B19" s="501" t="s">
        <v>437</v>
      </c>
      <c r="C19" s="502">
        <v>5</v>
      </c>
      <c r="D19"/>
    </row>
    <row r="20" spans="1:4" customHeight="1" ht="30">
      <c r="A20" s="499" t="s">
        <v>2634</v>
      </c>
      <c r="B20" s="718"/>
      <c r="C20" s="500">
        <v>21</v>
      </c>
      <c r="D20"/>
    </row>
    <row r="21" spans="1:4" customHeight="1" ht="30">
      <c r="A21" s="499" t="s">
        <v>560</v>
      </c>
      <c r="B21" s="499" t="s">
        <v>152</v>
      </c>
      <c r="C21" s="500">
        <v>5</v>
      </c>
      <c r="D21"/>
    </row>
    <row r="22" spans="1:4" customHeight="1" ht="30">
      <c r="A22" s="739"/>
      <c r="B22" s="501" t="s">
        <v>1386</v>
      </c>
      <c r="C22" s="502">
        <v>4</v>
      </c>
      <c r="D22"/>
    </row>
    <row r="23" spans="1:4" customHeight="1" ht="15">
      <c r="A23" s="739"/>
      <c r="B23" s="501" t="s">
        <v>412</v>
      </c>
      <c r="C23" s="502">
        <v>6</v>
      </c>
      <c r="D23"/>
    </row>
    <row r="24" spans="1:4" customHeight="1" ht="30">
      <c r="A24" s="499" t="s">
        <v>2635</v>
      </c>
      <c r="B24" s="718"/>
      <c r="C24" s="500">
        <v>15</v>
      </c>
      <c r="D24"/>
    </row>
    <row r="25" spans="1:4" customHeight="1" ht="15">
      <c r="A25" s="499" t="s">
        <v>182</v>
      </c>
      <c r="B25" s="499" t="s">
        <v>180</v>
      </c>
      <c r="C25" s="500">
        <v>10</v>
      </c>
      <c r="D25"/>
    </row>
    <row r="26" spans="1:4" customHeight="1" ht="30">
      <c r="A26" s="739"/>
      <c r="B26" s="501" t="s">
        <v>212</v>
      </c>
      <c r="C26" s="502">
        <v>3</v>
      </c>
      <c r="D26"/>
    </row>
    <row r="27" spans="1:4" customHeight="1" ht="15">
      <c r="A27" s="739"/>
      <c r="B27" s="501" t="s">
        <v>1485</v>
      </c>
      <c r="C27" s="502">
        <v>2</v>
      </c>
      <c r="D27"/>
    </row>
    <row r="28" spans="1:4" customHeight="1" ht="15">
      <c r="A28" s="499" t="s">
        <v>2636</v>
      </c>
      <c r="B28" s="718"/>
      <c r="C28" s="500">
        <v>15</v>
      </c>
      <c r="D28"/>
    </row>
    <row r="29" spans="1:4" customHeight="1" ht="30">
      <c r="A29" s="499" t="s">
        <v>176</v>
      </c>
      <c r="B29" s="499" t="s">
        <v>251</v>
      </c>
      <c r="C29" s="500">
        <v>4</v>
      </c>
      <c r="D29"/>
    </row>
    <row r="30" spans="1:4" customHeight="1" ht="15">
      <c r="A30" s="739"/>
      <c r="B30" s="501" t="s">
        <v>1138</v>
      </c>
      <c r="C30" s="502">
        <v>9</v>
      </c>
      <c r="D30"/>
    </row>
    <row r="31" spans="1:4" customHeight="1" ht="15">
      <c r="A31" s="739"/>
      <c r="B31" s="501" t="s">
        <v>1174</v>
      </c>
      <c r="C31" s="502">
        <v>4</v>
      </c>
      <c r="D31"/>
    </row>
    <row r="32" spans="1:4" customHeight="1" ht="30">
      <c r="A32" s="739"/>
      <c r="B32" s="501" t="s">
        <v>277</v>
      </c>
      <c r="C32" s="502">
        <v>5</v>
      </c>
      <c r="D32"/>
    </row>
    <row r="33" spans="1:4" customHeight="1" ht="15">
      <c r="A33" s="739"/>
      <c r="B33" s="501" t="s">
        <v>1192</v>
      </c>
      <c r="C33" s="502">
        <v>3</v>
      </c>
      <c r="D33"/>
    </row>
    <row r="34" spans="1:4" customHeight="1" ht="30">
      <c r="A34" s="739"/>
      <c r="B34" s="501" t="s">
        <v>1203</v>
      </c>
      <c r="C34" s="502">
        <v>5</v>
      </c>
      <c r="D34"/>
    </row>
    <row r="35" spans="1:4" customHeight="1" ht="15">
      <c r="A35" s="739"/>
      <c r="B35" s="501" t="s">
        <v>1233</v>
      </c>
      <c r="C35" s="502">
        <v>2</v>
      </c>
      <c r="D35"/>
    </row>
    <row r="36" spans="1:4" customHeight="1" ht="15">
      <c r="A36" s="739"/>
      <c r="B36" s="501" t="s">
        <v>1244</v>
      </c>
      <c r="C36" s="502">
        <v>4</v>
      </c>
      <c r="D36"/>
    </row>
    <row r="37" spans="1:4" customHeight="1" ht="30">
      <c r="A37" s="499" t="s">
        <v>2637</v>
      </c>
      <c r="B37" s="718"/>
      <c r="C37" s="500">
        <v>36</v>
      </c>
      <c r="D37"/>
    </row>
    <row r="38" spans="1:4" customHeight="1" ht="15">
      <c r="A38" s="499" t="s">
        <v>143</v>
      </c>
      <c r="B38" s="499" t="s">
        <v>136</v>
      </c>
      <c r="C38" s="500">
        <v>3</v>
      </c>
      <c r="D38"/>
    </row>
    <row r="39" spans="1:4" customHeight="1" ht="15">
      <c r="A39" s="739"/>
      <c r="B39" s="501" t="s">
        <v>150</v>
      </c>
      <c r="C39" s="502">
        <v>2</v>
      </c>
      <c r="D39"/>
    </row>
    <row r="40" spans="1:4" customHeight="1" ht="15">
      <c r="A40" s="739"/>
      <c r="B40" s="501" t="s">
        <v>987</v>
      </c>
      <c r="C40" s="502">
        <v>1</v>
      </c>
      <c r="D40"/>
    </row>
    <row r="41" spans="1:4" customHeight="1" ht="15">
      <c r="A41" s="739"/>
      <c r="B41" s="501" t="s">
        <v>165</v>
      </c>
      <c r="C41" s="502">
        <v>2</v>
      </c>
      <c r="D41"/>
    </row>
    <row r="42" spans="1:4" customHeight="1" ht="15">
      <c r="A42" s="739"/>
      <c r="B42" s="501" t="s">
        <v>970</v>
      </c>
      <c r="C42" s="502">
        <v>2</v>
      </c>
      <c r="D42"/>
    </row>
    <row r="43" spans="1:4" customHeight="1" ht="15">
      <c r="A43" s="739"/>
      <c r="B43" s="501" t="s">
        <v>170</v>
      </c>
      <c r="C43" s="502">
        <v>3</v>
      </c>
      <c r="D43"/>
    </row>
    <row r="44" spans="1:4" customHeight="1" ht="15">
      <c r="A44" s="739"/>
      <c r="B44" s="501" t="s">
        <v>961</v>
      </c>
      <c r="C44" s="502">
        <v>2</v>
      </c>
      <c r="D44"/>
    </row>
    <row r="45" spans="1:4" customHeight="1" ht="15">
      <c r="A45" s="739"/>
      <c r="B45" s="501" t="s">
        <v>236</v>
      </c>
      <c r="C45" s="502">
        <v>2</v>
      </c>
      <c r="D45"/>
    </row>
    <row r="46" spans="1:4" customHeight="1" ht="15">
      <c r="A46" s="739"/>
      <c r="B46" s="501" t="s">
        <v>979</v>
      </c>
      <c r="C46" s="502">
        <v>2</v>
      </c>
      <c r="D46"/>
    </row>
    <row r="47" spans="1:4" customHeight="1" ht="30">
      <c r="A47" s="739"/>
      <c r="B47" s="501" t="s">
        <v>242</v>
      </c>
      <c r="C47" s="502">
        <v>6</v>
      </c>
      <c r="D47"/>
    </row>
    <row r="48" spans="1:4" customHeight="1" ht="15">
      <c r="A48" s="739"/>
      <c r="B48" s="501" t="s">
        <v>344</v>
      </c>
      <c r="C48" s="502">
        <v>8</v>
      </c>
      <c r="D48"/>
    </row>
    <row r="49" spans="1:4" customHeight="1" ht="15">
      <c r="A49" s="739"/>
      <c r="B49" s="501" t="s">
        <v>366</v>
      </c>
      <c r="C49" s="502">
        <v>2</v>
      </c>
      <c r="D49"/>
    </row>
    <row r="50" spans="1:4" customHeight="1" ht="15">
      <c r="A50" s="739"/>
      <c r="B50" s="501" t="s">
        <v>944</v>
      </c>
      <c r="C50" s="502">
        <v>2</v>
      </c>
      <c r="D50"/>
    </row>
    <row r="51" spans="1:4" customHeight="1" ht="15">
      <c r="A51" s="739"/>
      <c r="B51" s="501" t="s">
        <v>418</v>
      </c>
      <c r="C51" s="502">
        <v>2</v>
      </c>
      <c r="D51"/>
    </row>
    <row r="52" spans="1:4" customHeight="1" ht="15">
      <c r="A52" s="739"/>
      <c r="B52" s="501" t="s">
        <v>450</v>
      </c>
      <c r="C52" s="502">
        <v>2</v>
      </c>
      <c r="D52"/>
    </row>
    <row r="53" spans="1:4" customHeight="1" ht="15">
      <c r="A53" s="499" t="s">
        <v>2638</v>
      </c>
      <c r="B53" s="718"/>
      <c r="C53" s="500">
        <v>41</v>
      </c>
      <c r="D53"/>
    </row>
    <row r="54" spans="1:4" customHeight="1" ht="15">
      <c r="A54" s="499" t="s">
        <v>509</v>
      </c>
      <c r="B54" s="499" t="s">
        <v>2342</v>
      </c>
      <c r="C54" s="500">
        <v>3</v>
      </c>
      <c r="D54"/>
    </row>
    <row r="55" spans="1:4" customHeight="1" ht="15">
      <c r="A55" s="739"/>
      <c r="B55" s="501" t="s">
        <v>391</v>
      </c>
      <c r="C55" s="502">
        <v>4</v>
      </c>
      <c r="D55"/>
    </row>
    <row r="56" spans="1:4" customHeight="1" ht="15">
      <c r="A56" s="739"/>
      <c r="B56" s="501" t="s">
        <v>506</v>
      </c>
      <c r="C56" s="502">
        <v>6</v>
      </c>
      <c r="D56"/>
    </row>
    <row r="57" spans="1:4" customHeight="1" ht="15">
      <c r="A57" s="739"/>
      <c r="B57" s="501" t="s">
        <v>2493</v>
      </c>
      <c r="C57" s="502">
        <v>4</v>
      </c>
      <c r="D57"/>
    </row>
    <row r="58" spans="1:4" customHeight="1" ht="30">
      <c r="A58" s="499" t="s">
        <v>2639</v>
      </c>
      <c r="B58" s="718"/>
      <c r="C58" s="500">
        <v>17</v>
      </c>
      <c r="D58"/>
    </row>
    <row r="59" spans="1:4" customHeight="1" ht="30">
      <c r="A59" s="499" t="s">
        <v>226</v>
      </c>
      <c r="B59" s="499" t="s">
        <v>2113</v>
      </c>
      <c r="C59" s="500">
        <v>1</v>
      </c>
      <c r="D59"/>
    </row>
    <row r="60" spans="1:4" customHeight="1" ht="15">
      <c r="A60" s="739"/>
      <c r="B60" s="501" t="s">
        <v>1948</v>
      </c>
      <c r="C60" s="502">
        <v>6</v>
      </c>
      <c r="D60"/>
    </row>
    <row r="61" spans="1:4" customHeight="1" ht="15">
      <c r="A61" s="739"/>
      <c r="B61" s="501" t="s">
        <v>228</v>
      </c>
      <c r="C61" s="502">
        <v>3</v>
      </c>
      <c r="D61"/>
    </row>
    <row r="62" spans="1:4" customHeight="1" ht="15">
      <c r="A62" s="739"/>
      <c r="B62" s="501" t="s">
        <v>322</v>
      </c>
      <c r="C62" s="502">
        <v>3</v>
      </c>
      <c r="D62"/>
    </row>
    <row r="63" spans="1:4" customHeight="1" ht="15">
      <c r="A63" s="739"/>
      <c r="B63" s="501" t="s">
        <v>489</v>
      </c>
      <c r="C63" s="502">
        <v>3</v>
      </c>
      <c r="D63"/>
    </row>
    <row r="64" spans="1:4" customHeight="1" ht="15">
      <c r="A64" s="739"/>
      <c r="B64" s="501" t="s">
        <v>333</v>
      </c>
      <c r="C64" s="502">
        <v>2</v>
      </c>
      <c r="D64"/>
    </row>
    <row r="65" spans="1:4" customHeight="1" ht="15">
      <c r="A65" s="739"/>
      <c r="B65" s="501" t="s">
        <v>2219</v>
      </c>
      <c r="C65" s="502">
        <v>2</v>
      </c>
      <c r="D65"/>
    </row>
    <row r="66" spans="1:4" customHeight="1" ht="15">
      <c r="A66" s="739"/>
      <c r="B66" s="501" t="s">
        <v>373</v>
      </c>
      <c r="C66" s="502">
        <v>7</v>
      </c>
      <c r="D66"/>
    </row>
    <row r="67" spans="1:4" customHeight="1" ht="15">
      <c r="A67" s="739"/>
      <c r="B67" s="501" t="s">
        <v>1929</v>
      </c>
      <c r="C67" s="502">
        <v>5</v>
      </c>
      <c r="D67"/>
    </row>
    <row r="68" spans="1:4" customHeight="1" ht="30">
      <c r="A68" s="739"/>
      <c r="B68" s="501" t="s">
        <v>2172</v>
      </c>
      <c r="C68" s="502">
        <v>5</v>
      </c>
      <c r="D68"/>
    </row>
    <row r="69" spans="1:4" customHeight="1" ht="30">
      <c r="A69" s="739"/>
      <c r="B69" s="501" t="s">
        <v>2192</v>
      </c>
      <c r="C69" s="502">
        <v>4</v>
      </c>
      <c r="D69"/>
    </row>
    <row r="70" spans="1:4" customHeight="1" ht="15">
      <c r="A70" s="739"/>
      <c r="B70" s="501" t="s">
        <v>2121</v>
      </c>
      <c r="C70" s="502">
        <v>5</v>
      </c>
      <c r="D70"/>
    </row>
    <row r="71" spans="1:4" customHeight="1" ht="30">
      <c r="A71" s="739"/>
      <c r="B71" s="501" t="s">
        <v>2142</v>
      </c>
      <c r="C71" s="502">
        <v>6</v>
      </c>
      <c r="D71"/>
    </row>
    <row r="72" spans="1:4" customHeight="1" ht="15">
      <c r="A72" s="739"/>
      <c r="B72" s="501" t="s">
        <v>1901</v>
      </c>
      <c r="C72" s="502">
        <v>8</v>
      </c>
      <c r="D72"/>
    </row>
    <row r="73" spans="1:4" customHeight="1" ht="15">
      <c r="A73" s="739"/>
      <c r="B73" s="501" t="s">
        <v>2207</v>
      </c>
      <c r="C73" s="502">
        <v>3</v>
      </c>
      <c r="D73"/>
    </row>
    <row r="74" spans="1:4" customHeight="1" ht="30">
      <c r="A74" s="739"/>
      <c r="B74" s="501" t="s">
        <v>410</v>
      </c>
      <c r="C74" s="502">
        <v>4</v>
      </c>
      <c r="D74"/>
    </row>
    <row r="75" spans="1:4" customHeight="1" ht="15">
      <c r="A75" s="739"/>
      <c r="B75" s="501" t="s">
        <v>1970</v>
      </c>
      <c r="C75" s="502">
        <v>7</v>
      </c>
      <c r="D75"/>
    </row>
    <row r="76" spans="1:4" customHeight="1" ht="15">
      <c r="A76" s="739"/>
      <c r="B76" s="501" t="s">
        <v>1812</v>
      </c>
      <c r="C76" s="502">
        <v>20</v>
      </c>
      <c r="D76"/>
    </row>
    <row r="77" spans="1:4" customHeight="1" ht="15">
      <c r="A77" s="739"/>
      <c r="B77" s="501" t="s">
        <v>445</v>
      </c>
      <c r="C77" s="502">
        <v>3</v>
      </c>
      <c r="D77"/>
    </row>
    <row r="78" spans="1:4" customHeight="1" ht="15">
      <c r="A78" s="739"/>
      <c r="B78" s="501" t="s">
        <v>1996</v>
      </c>
      <c r="C78" s="502">
        <v>9</v>
      </c>
      <c r="D78"/>
    </row>
    <row r="79" spans="1:4" customHeight="1" ht="30">
      <c r="A79" s="499" t="s">
        <v>2640</v>
      </c>
      <c r="B79" s="718"/>
      <c r="C79" s="500">
        <v>106</v>
      </c>
      <c r="D79"/>
    </row>
    <row r="80" spans="1:4" customHeight="1" ht="30">
      <c r="A80" s="499" t="s">
        <v>280</v>
      </c>
      <c r="B80" s="499" t="s">
        <v>279</v>
      </c>
      <c r="C80" s="500">
        <v>3</v>
      </c>
      <c r="D80"/>
    </row>
    <row r="81" spans="1:4" customHeight="1" ht="15">
      <c r="A81" s="739"/>
      <c r="B81" s="501" t="s">
        <v>338</v>
      </c>
      <c r="C81" s="502">
        <v>3</v>
      </c>
      <c r="D81"/>
    </row>
    <row r="82" spans="1:4" customHeight="1" ht="15">
      <c r="A82" s="739"/>
      <c r="B82" s="501" t="s">
        <v>347</v>
      </c>
      <c r="C82" s="502">
        <v>1</v>
      </c>
      <c r="D82"/>
    </row>
    <row r="83" spans="1:4" customHeight="1" ht="15">
      <c r="A83" s="739"/>
      <c r="B83" s="501" t="s">
        <v>378</v>
      </c>
      <c r="C83" s="502">
        <v>2</v>
      </c>
      <c r="D83"/>
    </row>
    <row r="84" spans="1:4" customHeight="1" ht="30">
      <c r="A84" s="739"/>
      <c r="B84" s="501" t="s">
        <v>725</v>
      </c>
      <c r="C84" s="502">
        <v>1</v>
      </c>
      <c r="D84"/>
    </row>
    <row r="85" spans="1:4" customHeight="1" ht="30">
      <c r="A85" s="739"/>
      <c r="B85" s="501" t="s">
        <v>436</v>
      </c>
      <c r="C85" s="502">
        <v>2</v>
      </c>
      <c r="D85"/>
    </row>
    <row r="86" spans="1:4" customHeight="1" ht="30">
      <c r="A86" s="739"/>
      <c r="B86" s="501" t="s">
        <v>730</v>
      </c>
      <c r="C86" s="502">
        <v>3</v>
      </c>
      <c r="D86"/>
    </row>
    <row r="87" spans="1:4" customHeight="1" ht="15">
      <c r="A87" s="739"/>
      <c r="B87" s="501" t="s">
        <v>440</v>
      </c>
      <c r="C87" s="502">
        <v>15</v>
      </c>
      <c r="D87"/>
    </row>
    <row r="88" spans="1:4" customHeight="1" ht="15">
      <c r="A88" s="739"/>
      <c r="B88" s="501" t="s">
        <v>443</v>
      </c>
      <c r="C88" s="502">
        <v>2</v>
      </c>
      <c r="D88"/>
    </row>
    <row r="89" spans="1:4" customHeight="1" ht="15">
      <c r="A89" s="739"/>
      <c r="B89" s="501" t="s">
        <v>446</v>
      </c>
      <c r="C89" s="502">
        <v>2</v>
      </c>
      <c r="D89"/>
    </row>
    <row r="90" spans="1:4" customHeight="1" ht="30">
      <c r="A90" s="499" t="s">
        <v>2641</v>
      </c>
      <c r="B90" s="718"/>
      <c r="C90" s="500">
        <v>34</v>
      </c>
      <c r="D90"/>
    </row>
    <row r="91" spans="1:4" customHeight="1" ht="30">
      <c r="A91" s="499" t="s">
        <v>314</v>
      </c>
      <c r="B91" s="499" t="s">
        <v>2229</v>
      </c>
      <c r="C91" s="500">
        <v>4</v>
      </c>
      <c r="D91"/>
    </row>
    <row r="92" spans="1:4" customHeight="1" ht="30">
      <c r="A92" s="499" t="s">
        <v>2642</v>
      </c>
      <c r="B92" s="718"/>
      <c r="C92" s="500">
        <v>4</v>
      </c>
      <c r="D92"/>
    </row>
    <row r="93" spans="1:4" customHeight="1" ht="30">
      <c r="A93" s="499" t="s">
        <v>349</v>
      </c>
      <c r="B93" s="499" t="s">
        <v>333</v>
      </c>
      <c r="C93" s="500">
        <v>1</v>
      </c>
      <c r="D93"/>
    </row>
    <row r="94" spans="1:4" customHeight="1" ht="15">
      <c r="A94" s="739"/>
      <c r="B94" s="501" t="s">
        <v>2302</v>
      </c>
      <c r="C94" s="502">
        <v>2</v>
      </c>
      <c r="D94"/>
    </row>
    <row r="95" spans="1:4" customHeight="1" ht="15">
      <c r="A95" s="739"/>
      <c r="B95" s="501" t="s">
        <v>479</v>
      </c>
      <c r="C95" s="502">
        <v>1</v>
      </c>
      <c r="D95"/>
    </row>
    <row r="96" spans="1:4" customHeight="1" ht="15">
      <c r="A96" s="739"/>
      <c r="B96" s="501" t="s">
        <v>362</v>
      </c>
      <c r="C96" s="502">
        <v>1</v>
      </c>
      <c r="D96"/>
    </row>
    <row r="97" spans="1:4" customHeight="1" ht="15">
      <c r="A97" s="739"/>
      <c r="B97" s="501" t="s">
        <v>429</v>
      </c>
      <c r="C97" s="502">
        <v>3</v>
      </c>
      <c r="D97"/>
    </row>
    <row r="98" spans="1:4" customHeight="1" ht="15">
      <c r="A98" s="739"/>
      <c r="B98" s="501" t="s">
        <v>1357</v>
      </c>
      <c r="C98" s="502">
        <v>2</v>
      </c>
      <c r="D98"/>
    </row>
    <row r="99" spans="1:4" customHeight="1" ht="15">
      <c r="A99" s="739"/>
      <c r="B99" s="501" t="s">
        <v>456</v>
      </c>
      <c r="C99" s="502">
        <v>2</v>
      </c>
      <c r="D99"/>
    </row>
    <row r="100" spans="1:4" customHeight="1" ht="30">
      <c r="A100" s="499" t="s">
        <v>2643</v>
      </c>
      <c r="B100" s="718"/>
      <c r="C100" s="500">
        <v>12</v>
      </c>
      <c r="D100"/>
    </row>
    <row r="101" spans="1:4" customHeight="1" ht="30">
      <c r="A101" s="499" t="s">
        <v>319</v>
      </c>
      <c r="B101" s="499" t="s">
        <v>317</v>
      </c>
      <c r="C101" s="500">
        <v>5</v>
      </c>
      <c r="D101"/>
    </row>
    <row r="102" spans="1:4" customHeight="1" ht="15">
      <c r="A102" s="739"/>
      <c r="B102" s="501" t="s">
        <v>374</v>
      </c>
      <c r="C102" s="502">
        <v>5</v>
      </c>
      <c r="D102"/>
    </row>
    <row r="103" spans="1:4" customHeight="1" ht="30">
      <c r="A103" s="499" t="s">
        <v>2644</v>
      </c>
      <c r="B103" s="718"/>
      <c r="C103" s="500">
        <v>10</v>
      </c>
      <c r="D103"/>
    </row>
    <row r="104" spans="1:4" customHeight="1" ht="30">
      <c r="A104" s="499" t="s">
        <v>594</v>
      </c>
      <c r="B104" s="499" t="s">
        <v>2296</v>
      </c>
      <c r="C104" s="500">
        <v>1</v>
      </c>
      <c r="D104"/>
    </row>
    <row r="105" spans="1:4" customHeight="1" ht="15">
      <c r="A105" s="739"/>
      <c r="B105" s="501" t="s">
        <v>257</v>
      </c>
      <c r="C105" s="502">
        <v>2</v>
      </c>
      <c r="D105"/>
    </row>
    <row r="106" spans="1:4" customHeight="1" ht="15">
      <c r="A106" s="739"/>
      <c r="B106" s="501" t="s">
        <v>299</v>
      </c>
      <c r="C106" s="502">
        <v>3</v>
      </c>
      <c r="D106"/>
    </row>
    <row r="107" spans="1:4" customHeight="1" ht="45">
      <c r="A107" s="499" t="s">
        <v>2645</v>
      </c>
      <c r="B107" s="718"/>
      <c r="C107" s="500">
        <v>6</v>
      </c>
      <c r="D107"/>
    </row>
    <row r="108" spans="1:4" customHeight="1" ht="30">
      <c r="A108" s="499" t="s">
        <v>250</v>
      </c>
      <c r="B108" s="499" t="s">
        <v>391</v>
      </c>
      <c r="C108" s="500">
        <v>18</v>
      </c>
      <c r="D108"/>
    </row>
    <row r="109" spans="1:4" customHeight="1" ht="30">
      <c r="A109" s="739"/>
      <c r="B109" s="501" t="s">
        <v>393</v>
      </c>
      <c r="C109" s="502">
        <v>1</v>
      </c>
      <c r="D109"/>
    </row>
    <row r="110" spans="1:4" customHeight="1" ht="45">
      <c r="A110" s="499" t="s">
        <v>2646</v>
      </c>
      <c r="B110" s="718"/>
      <c r="C110" s="500">
        <v>19</v>
      </c>
      <c r="D110"/>
    </row>
    <row r="111" spans="1:4" customHeight="1" ht="30">
      <c r="A111" s="499" t="s">
        <v>130</v>
      </c>
      <c r="B111" s="499" t="s">
        <v>270</v>
      </c>
      <c r="C111" s="500">
        <v>11</v>
      </c>
      <c r="D111"/>
    </row>
    <row r="112" spans="1:4" customHeight="1" ht="15">
      <c r="A112" s="739"/>
      <c r="B112" s="501" t="s">
        <v>1692</v>
      </c>
      <c r="C112" s="502">
        <v>1</v>
      </c>
      <c r="D112"/>
    </row>
    <row r="113" spans="1:4" customHeight="1" ht="15">
      <c r="A113" s="739"/>
      <c r="B113" s="501" t="s">
        <v>378</v>
      </c>
      <c r="C113" s="502">
        <v>9</v>
      </c>
      <c r="D113"/>
    </row>
    <row r="114" spans="1:4" customHeight="1" ht="15">
      <c r="A114" s="739"/>
      <c r="B114" s="501" t="s">
        <v>1618</v>
      </c>
      <c r="C114" s="502">
        <v>1</v>
      </c>
      <c r="D114"/>
    </row>
    <row r="115" spans="1:4" customHeight="1" ht="15">
      <c r="A115" s="739"/>
      <c r="B115" s="501" t="s">
        <v>422</v>
      </c>
      <c r="C115" s="502">
        <v>8</v>
      </c>
      <c r="D115"/>
    </row>
    <row r="116" spans="1:4" customHeight="1" ht="15">
      <c r="A116" s="739"/>
      <c r="B116" s="501" t="s">
        <v>504</v>
      </c>
      <c r="C116" s="502">
        <v>1</v>
      </c>
      <c r="D116"/>
    </row>
    <row r="117" spans="1:4" customHeight="1" ht="30">
      <c r="A117" s="499" t="s">
        <v>2647</v>
      </c>
      <c r="B117" s="718"/>
      <c r="C117" s="500">
        <v>31</v>
      </c>
      <c r="D117"/>
    </row>
    <row r="118" spans="1:4" customHeight="1" ht="30">
      <c r="A118" s="499" t="s">
        <v>402</v>
      </c>
      <c r="B118" s="499" t="s">
        <v>1746</v>
      </c>
      <c r="C118" s="500">
        <v>1</v>
      </c>
      <c r="D118"/>
    </row>
    <row r="119" spans="1:4" customHeight="1" ht="30">
      <c r="A119" s="739"/>
      <c r="B119" s="501" t="s">
        <v>1720</v>
      </c>
      <c r="C119" s="502">
        <v>6</v>
      </c>
      <c r="D119"/>
    </row>
    <row r="120" spans="1:4" customHeight="1" ht="15">
      <c r="A120" s="739"/>
      <c r="B120" s="501" t="s">
        <v>400</v>
      </c>
      <c r="C120" s="502">
        <v>6</v>
      </c>
      <c r="D120"/>
    </row>
    <row r="121" spans="1:4" customHeight="1" ht="30">
      <c r="A121" s="499" t="s">
        <v>2648</v>
      </c>
      <c r="B121" s="718"/>
      <c r="C121" s="500">
        <v>13</v>
      </c>
      <c r="D121"/>
    </row>
    <row r="122" spans="1:4" customHeight="1" ht="45">
      <c r="A122" s="499" t="s">
        <v>592</v>
      </c>
      <c r="B122" s="499" t="s">
        <v>123</v>
      </c>
      <c r="C122" s="500">
        <v>7</v>
      </c>
      <c r="D122"/>
    </row>
    <row r="123" spans="1:4" customHeight="1" ht="30">
      <c r="A123" s="739"/>
      <c r="B123" s="501" t="s">
        <v>494</v>
      </c>
      <c r="C123" s="502">
        <v>2</v>
      </c>
      <c r="D123"/>
    </row>
    <row r="124" spans="1:4" customHeight="1" ht="15">
      <c r="A124" s="739"/>
      <c r="B124" s="501" t="s">
        <v>308</v>
      </c>
      <c r="C124" s="502">
        <v>9</v>
      </c>
      <c r="D124"/>
    </row>
    <row r="125" spans="1:4" customHeight="1" ht="15">
      <c r="A125" s="739"/>
      <c r="B125" s="501" t="s">
        <v>312</v>
      </c>
      <c r="C125" s="502">
        <v>1</v>
      </c>
      <c r="D125"/>
    </row>
    <row r="126" spans="1:4" customHeight="1" ht="15">
      <c r="A126" s="739"/>
      <c r="B126" s="501" t="s">
        <v>1269</v>
      </c>
      <c r="C126" s="502">
        <v>2</v>
      </c>
      <c r="D126"/>
    </row>
    <row r="127" spans="1:4" customHeight="1" ht="30">
      <c r="A127" s="739"/>
      <c r="B127" s="501" t="s">
        <v>1303</v>
      </c>
      <c r="C127" s="502">
        <v>3</v>
      </c>
      <c r="D127"/>
    </row>
    <row r="128" spans="1:4" customHeight="1" ht="30">
      <c r="A128" s="739"/>
      <c r="B128" s="501" t="s">
        <v>1280</v>
      </c>
      <c r="C128" s="502">
        <v>5</v>
      </c>
      <c r="D128"/>
    </row>
    <row r="129" spans="1:4" customHeight="1" ht="15">
      <c r="A129" s="739"/>
      <c r="B129" s="501" t="s">
        <v>396</v>
      </c>
      <c r="C129" s="502">
        <v>3</v>
      </c>
      <c r="D129"/>
    </row>
    <row r="130" spans="1:4" customHeight="1" ht="15">
      <c r="A130" s="739"/>
      <c r="B130" s="501" t="s">
        <v>501</v>
      </c>
      <c r="C130" s="502">
        <v>2</v>
      </c>
      <c r="D130"/>
    </row>
    <row r="131" spans="1:4" customHeight="1" ht="15">
      <c r="A131" s="739"/>
      <c r="B131" s="501" t="s">
        <v>490</v>
      </c>
      <c r="C131" s="502">
        <v>3</v>
      </c>
      <c r="D131"/>
    </row>
    <row r="132" spans="1:4" customHeight="1" ht="45">
      <c r="A132" s="499" t="s">
        <v>2649</v>
      </c>
      <c r="B132" s="718"/>
      <c r="C132" s="500">
        <v>37</v>
      </c>
      <c r="D132"/>
    </row>
    <row r="133" spans="1:4" customHeight="1" ht="45">
      <c r="A133" s="499" t="s">
        <v>593</v>
      </c>
      <c r="B133" s="499" t="s">
        <v>2243</v>
      </c>
      <c r="C133" s="500">
        <v>8</v>
      </c>
      <c r="D133"/>
    </row>
    <row r="134" spans="1:4" customHeight="1" ht="45">
      <c r="A134" s="499" t="s">
        <v>2650</v>
      </c>
      <c r="B134" s="718"/>
      <c r="C134" s="500">
        <v>8</v>
      </c>
      <c r="D134"/>
    </row>
    <row r="135" spans="1:4" customHeight="1" ht="15">
      <c r="A135" s="740" t="s">
        <v>2651</v>
      </c>
      <c r="B135" s="741"/>
      <c r="C135" s="503">
        <v>462</v>
      </c>
      <c r="D135"/>
    </row>
    <row r="136" spans="1:4" customHeight="1" ht="15">
      <c r="A136"/>
      <c r="B136"/>
      <c r="C136"/>
      <c r="D136"/>
    </row>
    <row r="137" spans="1:4" customHeight="1" ht="15">
      <c r="A137"/>
      <c r="B137"/>
      <c r="C137"/>
      <c r="D137"/>
    </row>
    <row r="138" spans="1:4" customHeight="1" ht="15">
      <c r="A138"/>
      <c r="B138"/>
      <c r="C138"/>
      <c r="D138"/>
    </row>
    <row r="139" spans="1:4" customHeight="1" ht="15">
      <c r="A139"/>
      <c r="B139"/>
      <c r="C139"/>
      <c r="D139"/>
    </row>
    <row r="140" spans="1:4" customHeight="1" ht="15">
      <c r="A140"/>
      <c r="B140"/>
      <c r="C140"/>
      <c r="D140"/>
    </row>
    <row r="141" spans="1:4" customHeight="1" ht="15">
      <c r="A141"/>
      <c r="B141"/>
      <c r="C141"/>
      <c r="D141"/>
    </row>
    <row r="142" spans="1:4" customHeight="1" ht="15">
      <c r="A142"/>
      <c r="B142"/>
      <c r="C142"/>
      <c r="D142"/>
    </row>
    <row r="143" spans="1:4" customHeight="1" ht="15">
      <c r="A143"/>
      <c r="B143"/>
      <c r="C143"/>
      <c r="D143"/>
    </row>
    <row r="144" spans="1:4" customHeight="1" ht="15">
      <c r="A144"/>
      <c r="B144"/>
      <c r="C144"/>
      <c r="D144"/>
    </row>
    <row r="145" spans="1:4" customHeight="1" ht="15">
      <c r="A145"/>
      <c r="B145"/>
      <c r="C145"/>
      <c r="D145"/>
    </row>
    <row r="146" spans="1:4" customHeight="1" ht="15">
      <c r="A146"/>
      <c r="B146"/>
      <c r="C146"/>
      <c r="D146"/>
    </row>
    <row r="147" spans="1:4" customHeight="1" ht="15">
      <c r="A147"/>
      <c r="B147"/>
      <c r="C147"/>
      <c r="D147"/>
    </row>
    <row r="148" spans="1:4" customHeight="1" ht="15">
      <c r="A148"/>
      <c r="B148"/>
      <c r="C148"/>
      <c r="D148"/>
    </row>
    <row r="149" spans="1:4" customHeight="1" ht="15">
      <c r="A149"/>
      <c r="B149"/>
      <c r="C149"/>
      <c r="D149"/>
    </row>
    <row r="150" spans="1:4" customHeight="1" ht="15">
      <c r="A150"/>
      <c r="B150"/>
      <c r="C150"/>
      <c r="D150"/>
    </row>
    <row r="151" spans="1:4" customHeight="1" ht="15">
      <c r="A151"/>
      <c r="B151"/>
      <c r="C151"/>
      <c r="D151"/>
    </row>
    <row r="152" spans="1:4" customHeight="1" ht="15">
      <c r="A152"/>
      <c r="B152"/>
      <c r="C152"/>
      <c r="D152"/>
    </row>
    <row r="153" spans="1:4" customHeight="1" ht="15">
      <c r="A153"/>
      <c r="B153"/>
      <c r="C153"/>
      <c r="D153"/>
    </row>
    <row r="154" spans="1:4" customHeight="1" ht="15">
      <c r="A154"/>
      <c r="B154"/>
      <c r="C154"/>
      <c r="D154"/>
    </row>
    <row r="155" spans="1:4" customHeight="1" ht="15">
      <c r="A155"/>
      <c r="B155"/>
      <c r="C155"/>
      <c r="D155"/>
    </row>
    <row r="156" spans="1:4" customHeight="1" ht="15">
      <c r="A156"/>
      <c r="B156"/>
      <c r="C156"/>
      <c r="D156"/>
    </row>
    <row r="157" spans="1:4" customHeight="1" ht="15">
      <c r="A157"/>
      <c r="B157"/>
      <c r="C157"/>
      <c r="D157"/>
    </row>
    <row r="158" spans="1:4" customHeight="1" ht="15">
      <c r="A158"/>
      <c r="B158"/>
      <c r="C158"/>
      <c r="D158"/>
    </row>
    <row r="159" spans="1:4" customHeight="1" ht="15">
      <c r="A159"/>
      <c r="B159"/>
      <c r="C159"/>
      <c r="D159"/>
    </row>
    <row r="160" spans="1:4" customHeight="1" ht="15">
      <c r="A160"/>
      <c r="B160"/>
      <c r="C160"/>
      <c r="D160"/>
    </row>
    <row r="161" spans="1:4" customHeight="1" ht="15">
      <c r="A161"/>
      <c r="B161"/>
      <c r="C161"/>
      <c r="D161"/>
    </row>
    <row r="162" spans="1:4" customHeight="1" ht="15">
      <c r="A162"/>
      <c r="B162"/>
      <c r="C162"/>
      <c r="D162"/>
    </row>
    <row r="163" spans="1:4" customHeight="1" ht="15">
      <c r="A163"/>
      <c r="B163"/>
      <c r="C163"/>
      <c r="D163"/>
    </row>
    <row r="164" spans="1:4" customHeight="1" ht="15">
      <c r="A164"/>
      <c r="B164"/>
      <c r="C164"/>
      <c r="D164"/>
    </row>
    <row r="165" spans="1:4" customHeight="1" ht="15">
      <c r="A165"/>
      <c r="B165"/>
      <c r="C165"/>
      <c r="D165"/>
    </row>
    <row r="166" spans="1:4" customHeight="1" ht="15">
      <c r="A166"/>
      <c r="B166"/>
      <c r="C166"/>
      <c r="D166"/>
    </row>
    <row r="167" spans="1:4" customHeight="1" ht="15">
      <c r="A167"/>
      <c r="B167"/>
      <c r="C167"/>
      <c r="D167"/>
    </row>
    <row r="168" spans="1:4" customHeight="1" ht="15">
      <c r="A168"/>
      <c r="B168"/>
      <c r="C168"/>
      <c r="D168"/>
    </row>
    <row r="169" spans="1:4" customHeight="1" ht="15">
      <c r="A169"/>
      <c r="B169"/>
      <c r="C169"/>
      <c r="D169"/>
    </row>
    <row r="170" spans="1:4" customHeight="1" ht="15">
      <c r="A170"/>
      <c r="B170"/>
      <c r="C170"/>
      <c r="D170"/>
    </row>
    <row r="171" spans="1:4" customHeight="1" ht="15">
      <c r="A171"/>
      <c r="B171"/>
      <c r="C171"/>
      <c r="D171"/>
    </row>
    <row r="172" spans="1:4" customHeight="1" ht="15">
      <c r="A172"/>
      <c r="B172"/>
      <c r="C172"/>
      <c r="D172"/>
    </row>
    <row r="173" spans="1:4" customHeight="1" ht="15">
      <c r="A173"/>
      <c r="B173"/>
      <c r="C173"/>
      <c r="D173"/>
    </row>
    <row r="174" spans="1:4" customHeight="1" ht="15">
      <c r="A174"/>
      <c r="B174"/>
      <c r="C174"/>
      <c r="D174"/>
    </row>
    <row r="175" spans="1:4" customHeight="1" ht="15">
      <c r="A175"/>
      <c r="B175"/>
      <c r="C175"/>
      <c r="D175"/>
    </row>
    <row r="176" spans="1:4" customHeight="1" ht="15">
      <c r="A176"/>
      <c r="B176"/>
      <c r="C176"/>
      <c r="D176"/>
    </row>
    <row r="177" spans="1:4" customHeight="1" ht="15">
      <c r="A177"/>
      <c r="B177"/>
      <c r="C177"/>
      <c r="D177"/>
    </row>
    <row r="178" spans="1:4" customHeight="1" ht="15">
      <c r="A178"/>
      <c r="B178"/>
      <c r="C178"/>
      <c r="D178"/>
    </row>
    <row r="179" spans="1:4" customHeight="1" ht="15">
      <c r="A179"/>
      <c r="B179"/>
      <c r="C179"/>
      <c r="D179"/>
    </row>
    <row r="180" spans="1:4" customHeight="1" ht="15">
      <c r="A180"/>
      <c r="B180"/>
      <c r="C180"/>
      <c r="D180"/>
    </row>
    <row r="181" spans="1:4" customHeight="1" ht="15">
      <c r="A181"/>
      <c r="B181"/>
      <c r="C181"/>
      <c r="D181"/>
    </row>
    <row r="182" spans="1:4" customHeight="1" ht="15">
      <c r="A182"/>
      <c r="B182"/>
      <c r="C182"/>
      <c r="D182"/>
    </row>
    <row r="183" spans="1:4" customHeight="1" ht="15">
      <c r="A183"/>
      <c r="B183"/>
      <c r="C183"/>
      <c r="D183"/>
    </row>
    <row r="184" spans="1:4" customHeight="1" ht="15">
      <c r="A184"/>
      <c r="B184"/>
      <c r="C184"/>
      <c r="D184"/>
    </row>
    <row r="185" spans="1:4" customHeight="1" ht="15">
      <c r="A185"/>
      <c r="B185"/>
      <c r="C185"/>
      <c r="D185"/>
    </row>
    <row r="186" spans="1:4" customHeight="1" ht="15">
      <c r="A186"/>
      <c r="B186"/>
      <c r="C186"/>
      <c r="D186"/>
    </row>
    <row r="187" spans="1:4" customHeight="1" ht="15">
      <c r="A187"/>
      <c r="B187"/>
      <c r="C187"/>
      <c r="D187"/>
    </row>
    <row r="188" spans="1:4" customHeight="1" ht="15">
      <c r="A188"/>
      <c r="B188"/>
      <c r="C188"/>
      <c r="D188"/>
    </row>
    <row r="189" spans="1:4" customHeight="1" ht="15">
      <c r="A189"/>
      <c r="B189"/>
      <c r="C189"/>
      <c r="D189"/>
    </row>
    <row r="190" spans="1:4" customHeight="1" ht="15">
      <c r="A190"/>
      <c r="B190"/>
      <c r="C190"/>
      <c r="D190"/>
    </row>
    <row r="191" spans="1:4" customHeight="1" ht="15">
      <c r="A191"/>
      <c r="B191"/>
      <c r="C191"/>
      <c r="D191"/>
    </row>
    <row r="192" spans="1:4" customHeight="1" ht="15">
      <c r="A192"/>
      <c r="B192"/>
      <c r="C192"/>
      <c r="D192"/>
    </row>
    <row r="193" spans="1:4" customHeight="1" ht="15">
      <c r="A193"/>
      <c r="B193"/>
      <c r="C193"/>
      <c r="D193"/>
    </row>
    <row r="194" spans="1:4" customHeight="1" ht="15">
      <c r="A194"/>
      <c r="B194"/>
      <c r="C194"/>
      <c r="D194"/>
    </row>
    <row r="195" spans="1:4" customHeight="1" ht="15">
      <c r="A195"/>
      <c r="B195"/>
      <c r="C195"/>
      <c r="D195"/>
    </row>
    <row r="196" spans="1:4" customHeight="1" ht="15">
      <c r="A196"/>
      <c r="B196"/>
      <c r="C196"/>
      <c r="D196"/>
    </row>
    <row r="197" spans="1:4" customHeight="1" ht="15">
      <c r="A197"/>
      <c r="B197"/>
      <c r="C197"/>
      <c r="D197"/>
    </row>
    <row r="198" spans="1:4" customHeight="1" ht="15">
      <c r="A198"/>
      <c r="B198"/>
      <c r="C198"/>
      <c r="D198"/>
    </row>
    <row r="199" spans="1:4" customHeight="1" ht="15">
      <c r="A199"/>
      <c r="B199"/>
      <c r="C199"/>
      <c r="D199"/>
    </row>
    <row r="200" spans="1:4" customHeight="1" ht="15">
      <c r="A200"/>
      <c r="B200"/>
      <c r="C200"/>
      <c r="D200"/>
    </row>
    <row r="201" spans="1:4" customHeight="1" ht="15">
      <c r="A201"/>
      <c r="B201"/>
      <c r="C201"/>
      <c r="D201"/>
    </row>
    <row r="202" spans="1:4" customHeight="1" ht="15">
      <c r="A202"/>
      <c r="B202"/>
      <c r="C202"/>
      <c r="D202"/>
    </row>
    <row r="203" spans="1:4" customHeight="1" ht="15">
      <c r="A203"/>
      <c r="B203"/>
      <c r="C203"/>
      <c r="D203"/>
    </row>
    <row r="204" spans="1:4" customHeight="1" ht="15">
      <c r="A204"/>
      <c r="B204"/>
      <c r="C204"/>
      <c r="D204"/>
    </row>
    <row r="205" spans="1:4" customHeight="1" ht="15">
      <c r="A205"/>
      <c r="B205"/>
      <c r="C205"/>
      <c r="D205"/>
    </row>
    <row r="206" spans="1:4" customHeight="1" ht="15">
      <c r="A206"/>
      <c r="B206"/>
      <c r="C206"/>
      <c r="D206"/>
    </row>
    <row r="207" spans="1:4" customHeight="1" ht="15">
      <c r="A207"/>
      <c r="B207"/>
      <c r="C207"/>
      <c r="D207"/>
    </row>
    <row r="208" spans="1:4" customHeight="1" ht="15">
      <c r="A208"/>
      <c r="B208"/>
      <c r="C208"/>
      <c r="D208"/>
    </row>
    <row r="209" spans="1:4" customHeight="1" ht="15">
      <c r="A209"/>
      <c r="B209"/>
      <c r="C209"/>
      <c r="D209"/>
    </row>
    <row r="210" spans="1:4" customHeight="1" ht="15">
      <c r="A210"/>
      <c r="B210"/>
      <c r="C210"/>
      <c r="D210"/>
    </row>
    <row r="211" spans="1:4" customHeight="1" ht="15">
      <c r="A211"/>
      <c r="B211"/>
      <c r="C211"/>
      <c r="D211"/>
    </row>
    <row r="212" spans="1:4" customHeight="1" ht="15">
      <c r="A212"/>
      <c r="B212"/>
      <c r="C212"/>
      <c r="D212"/>
    </row>
    <row r="213" spans="1:4" customHeight="1" ht="15">
      <c r="A213"/>
      <c r="B213"/>
      <c r="C213"/>
      <c r="D213"/>
    </row>
    <row r="214" spans="1:4" customHeight="1" ht="15">
      <c r="A214"/>
      <c r="B214"/>
      <c r="C214"/>
      <c r="D214"/>
    </row>
    <row r="215" spans="1:4" customHeight="1" ht="15">
      <c r="A215"/>
      <c r="B215"/>
      <c r="C215"/>
      <c r="D215"/>
    </row>
    <row r="216" spans="1:4" customHeight="1" ht="15">
      <c r="A216"/>
      <c r="B216"/>
      <c r="C216"/>
      <c r="D216"/>
    </row>
    <row r="217" spans="1:4" customHeight="1" ht="15">
      <c r="A217"/>
      <c r="B217"/>
      <c r="C217"/>
      <c r="D217"/>
    </row>
    <row r="218" spans="1:4" customHeight="1" ht="15">
      <c r="A218"/>
      <c r="B218"/>
      <c r="C218"/>
      <c r="D218"/>
    </row>
    <row r="219" spans="1:4" customHeight="1" ht="15">
      <c r="A219"/>
      <c r="B219"/>
      <c r="C219"/>
      <c r="D219"/>
    </row>
    <row r="220" spans="1:4" customHeight="1" ht="15">
      <c r="A220"/>
      <c r="B220"/>
      <c r="C220"/>
      <c r="D220"/>
    </row>
    <row r="221" spans="1:4" customHeight="1" ht="15">
      <c r="A221"/>
      <c r="B221"/>
      <c r="C221"/>
      <c r="D221"/>
    </row>
    <row r="222" spans="1:4" customHeight="1" ht="15">
      <c r="A222"/>
      <c r="B222"/>
      <c r="C222"/>
      <c r="D222"/>
    </row>
    <row r="223" spans="1:4" customHeight="1" ht="15">
      <c r="A223"/>
      <c r="B223"/>
      <c r="C223"/>
      <c r="D223"/>
    </row>
    <row r="224" spans="1:4" customHeight="1" ht="15">
      <c r="A224"/>
      <c r="B224"/>
      <c r="C224"/>
      <c r="D224"/>
    </row>
    <row r="225" spans="1:4" customHeight="1" ht="15">
      <c r="A225"/>
      <c r="B225"/>
      <c r="C225"/>
      <c r="D225"/>
    </row>
    <row r="226" spans="1:4" customHeight="1" ht="15">
      <c r="A226"/>
      <c r="B226"/>
      <c r="C226"/>
      <c r="D226"/>
    </row>
    <row r="227" spans="1:4" customHeight="1" ht="15">
      <c r="A227"/>
      <c r="B227"/>
      <c r="C227"/>
      <c r="D227"/>
    </row>
    <row r="228" spans="1:4" customHeight="1" ht="15">
      <c r="A228"/>
      <c r="B228"/>
      <c r="C228"/>
      <c r="D228"/>
    </row>
    <row r="229" spans="1:4" customHeight="1" ht="15">
      <c r="A229"/>
      <c r="B229"/>
      <c r="C229"/>
      <c r="D229"/>
    </row>
    <row r="230" spans="1:4" customHeight="1" ht="15">
      <c r="A230"/>
      <c r="B230"/>
      <c r="C230"/>
      <c r="D230"/>
    </row>
    <row r="231" spans="1:4" customHeight="1" ht="15">
      <c r="A231"/>
      <c r="B231"/>
      <c r="C231"/>
      <c r="D231"/>
    </row>
    <row r="232" spans="1:4" customHeight="1" ht="15">
      <c r="A232"/>
      <c r="B232"/>
      <c r="C232"/>
      <c r="D232"/>
    </row>
    <row r="233" spans="1:4" customHeight="1" ht="15">
      <c r="A233"/>
      <c r="B233"/>
      <c r="C233"/>
      <c r="D233"/>
    </row>
    <row r="234" spans="1:4" customHeight="1" ht="15">
      <c r="A234"/>
      <c r="B234"/>
      <c r="C234"/>
      <c r="D234"/>
    </row>
    <row r="235" spans="1:4" customHeight="1" ht="15">
      <c r="A235"/>
      <c r="B235"/>
      <c r="C235"/>
      <c r="D235"/>
    </row>
    <row r="236" spans="1:4" customHeight="1" ht="15">
      <c r="A236"/>
      <c r="B236"/>
      <c r="C236"/>
      <c r="D236"/>
    </row>
    <row r="237" spans="1:4" customHeight="1" ht="15">
      <c r="A237"/>
      <c r="B237"/>
      <c r="C237"/>
      <c r="D237"/>
    </row>
    <row r="238" spans="1:4" customHeight="1" ht="15">
      <c r="A238"/>
      <c r="B238"/>
      <c r="C238"/>
      <c r="D238"/>
    </row>
    <row r="239" spans="1:4" customHeight="1" ht="15">
      <c r="A239"/>
      <c r="B239"/>
      <c r="C239"/>
      <c r="D239"/>
    </row>
    <row r="240" spans="1:4" customHeight="1" ht="15">
      <c r="A240"/>
      <c r="B240"/>
      <c r="C240"/>
      <c r="D240"/>
    </row>
    <row r="241" spans="1:4" customHeight="1" ht="15">
      <c r="A241"/>
      <c r="B241"/>
      <c r="C241"/>
      <c r="D241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M83"/>
  <sheetViews>
    <sheetView tabSelected="0" workbookViewId="0" zoomScale="110" zoomScaleNormal="110" showGridLines="true" showRowColHeaders="1">
      <pane xSplit="4" ySplit="2" topLeftCell="O73" activePane="bottomRight" state="frozen"/>
      <selection pane="topRight"/>
      <selection pane="bottomLeft"/>
      <selection pane="bottomRight" activeCell="B81" sqref="B81"/>
    </sheetView>
  </sheetViews>
  <sheetFormatPr customHeight="true" defaultRowHeight="15" defaultColWidth="9.140625" outlineLevelRow="0" outlineLevelCol="1"/>
  <cols>
    <col min="1" max="1" width="8.7109375" customWidth="true" style="65"/>
    <col min="2" max="2" width="24.28515625" customWidth="true" style="65"/>
    <col min="3" max="3" width="20.5703125" customWidth="true" style="65"/>
    <col min="4" max="4" width="24.140625" customWidth="true" style="65"/>
    <col min="5" max="5" width="12" customWidth="true" outlineLevel="1" style="65"/>
    <col min="6" max="6" width="15.42578125" customWidth="true" outlineLevel="1" style="214"/>
    <col min="7" max="7" width="9.28515625" customWidth="true" outlineLevel="1" style="65"/>
    <col min="8" max="8" width="9.5703125" customWidth="true" outlineLevel="1" style="65"/>
    <col min="9" max="9" width="20.28515625" customWidth="true" outlineLevel="1" style="121"/>
    <col min="10" max="10" width="13.42578125" customWidth="true" style="65"/>
    <col min="11" max="11" width="40.42578125" customWidth="true" style="65"/>
    <col min="12" max="12" width="14" customWidth="true" style="65"/>
    <col min="13" max="13" width="13.140625" customWidth="true" style="208"/>
    <col min="14" max="14" width="16.42578125" customWidth="true" style="65"/>
    <col min="15" max="15" width="12.28515625" customWidth="true" style="65"/>
    <col min="16" max="16" width="15.140625" customWidth="true" style="76"/>
    <col min="17" max="17" width="23.28515625" customWidth="true" style="65"/>
    <col min="18" max="18" width="12" customWidth="true" style="65"/>
    <col min="19" max="19" width="14.42578125" customWidth="true" style="217"/>
    <col min="20" max="20" width="24.85546875" customWidth="true" style="65"/>
    <col min="21" max="21" width="19.140625" customWidth="true" style="65"/>
    <col min="22" max="22" width="26.28515625" customWidth="true" style="66"/>
    <col min="23" max="23" width="14" customWidth="true" style="66"/>
    <col min="24" max="24" width="10.140625" customWidth="true" style="65"/>
    <col min="25" max="25" width="9.28515625" customWidth="true" style="65"/>
    <col min="26" max="26" width="9.28515625" customWidth="true" style="65"/>
    <col min="27" max="27" width="9.28515625" customWidth="true" style="65"/>
    <col min="28" max="28" width="9.28515625" customWidth="true" style="65"/>
    <col min="29" max="29" width="9.28515625" customWidth="true" style="65"/>
    <col min="30" max="30" width="9.28515625" customWidth="true" style="65"/>
    <col min="31" max="31" width="9.28515625" customWidth="true" style="65"/>
    <col min="32" max="32" width="9.140625" style="65"/>
    <col min="33" max="33" width="9.28515625" customWidth="true" style="65"/>
    <col min="34" max="34" width="9.28515625" customWidth="true" style="65"/>
    <col min="35" max="35" width="9.28515625" customWidth="true" style="65"/>
    <col min="36" max="36" width="9.28515625" customWidth="true" style="65"/>
    <col min="37" max="37" width="9.28515625" customWidth="true" style="65"/>
    <col min="38" max="38" width="9.28515625" customWidth="true" style="65"/>
    <col min="39" max="39" width="9.28515625" customWidth="true" style="65"/>
  </cols>
  <sheetData>
    <row r="1" spans="1:39" customHeight="1" ht="48" s="142" customFormat="1">
      <c r="A1" s="139" t="s">
        <v>595</v>
      </c>
      <c r="B1" s="220" t="s">
        <v>595</v>
      </c>
      <c r="C1" s="139" t="s">
        <v>595</v>
      </c>
      <c r="D1" s="139" t="s">
        <v>595</v>
      </c>
      <c r="E1" s="166" t="s">
        <v>598</v>
      </c>
      <c r="F1" s="212" t="s">
        <v>595</v>
      </c>
      <c r="G1" s="166" t="s">
        <v>598</v>
      </c>
      <c r="H1" s="166" t="s">
        <v>598</v>
      </c>
      <c r="I1" s="164" t="s">
        <v>2652</v>
      </c>
      <c r="J1" s="166" t="s">
        <v>598</v>
      </c>
      <c r="K1" s="166" t="s">
        <v>598</v>
      </c>
      <c r="L1" s="164" t="s">
        <v>2653</v>
      </c>
      <c r="M1" s="141" t="s">
        <v>595</v>
      </c>
      <c r="N1" s="166" t="s">
        <v>598</v>
      </c>
      <c r="O1" s="166" t="s">
        <v>598</v>
      </c>
      <c r="P1" s="164" t="s">
        <v>2652</v>
      </c>
      <c r="Q1" s="164" t="s">
        <v>2652</v>
      </c>
      <c r="R1" s="164" t="s">
        <v>2652</v>
      </c>
      <c r="S1" s="215" t="s">
        <v>595</v>
      </c>
      <c r="T1" s="166" t="s">
        <v>598</v>
      </c>
      <c r="U1" s="140" t="s">
        <v>2654</v>
      </c>
      <c r="V1" s="205" t="s">
        <v>598</v>
      </c>
      <c r="W1" s="140" t="s">
        <v>2654</v>
      </c>
    </row>
    <row r="2" spans="1:39" customHeight="1" ht="46.9" s="81" customFormat="1">
      <c r="A2" s="78" t="s">
        <v>54</v>
      </c>
      <c r="B2" s="221" t="s">
        <v>18</v>
      </c>
      <c r="C2" s="78" t="s">
        <v>26</v>
      </c>
      <c r="D2" s="78" t="s">
        <v>28</v>
      </c>
      <c r="E2" s="78" t="s">
        <v>39</v>
      </c>
      <c r="F2" s="213" t="s">
        <v>56</v>
      </c>
      <c r="G2" s="78" t="s">
        <v>57</v>
      </c>
      <c r="H2" s="78" t="s">
        <v>58</v>
      </c>
      <c r="I2" s="78" t="s">
        <v>60</v>
      </c>
      <c r="J2" s="79" t="s">
        <v>62</v>
      </c>
      <c r="K2" s="78" t="s">
        <v>63</v>
      </c>
      <c r="L2" s="78" t="s">
        <v>65</v>
      </c>
      <c r="M2" s="207" t="s">
        <v>2655</v>
      </c>
      <c r="N2" s="78" t="s">
        <v>33</v>
      </c>
      <c r="O2" s="78" t="s">
        <v>68</v>
      </c>
      <c r="P2" s="80" t="s">
        <v>70</v>
      </c>
      <c r="Q2" s="78" t="s">
        <v>71</v>
      </c>
      <c r="R2" s="78" t="s">
        <v>73</v>
      </c>
      <c r="S2" s="216" t="s">
        <v>24</v>
      </c>
      <c r="T2" s="78" t="s">
        <v>51</v>
      </c>
      <c r="U2" s="167" t="s">
        <v>2656</v>
      </c>
      <c r="V2" s="209" t="s">
        <v>122</v>
      </c>
      <c r="W2" s="78" t="s">
        <v>2657</v>
      </c>
    </row>
    <row r="3" spans="1:39" customHeight="1" ht="33.75">
      <c r="A3" s="86" t="s">
        <v>2658</v>
      </c>
      <c r="B3" s="86" t="s">
        <v>917</v>
      </c>
      <c r="C3" s="86" t="s">
        <v>361</v>
      </c>
      <c r="D3" s="86" t="s">
        <v>132</v>
      </c>
      <c r="E3" s="86" t="s">
        <v>612</v>
      </c>
      <c r="F3" s="86" t="s">
        <v>2659</v>
      </c>
      <c r="G3" s="91"/>
      <c r="H3" s="68" t="s">
        <v>2561</v>
      </c>
      <c r="I3" s="303"/>
      <c r="J3" s="234" t="s">
        <v>526</v>
      </c>
      <c r="K3" s="190" t="s">
        <v>2548</v>
      </c>
      <c r="L3" s="92" t="str">
        <f>IF(O3="Постоянный",VLOOKUP(K3,'Включаем не включаем'!$A$1:$B$65536,2,0),"не включаем")</f>
        <v>не включаем</v>
      </c>
      <c r="M3" s="86" t="s">
        <v>2660</v>
      </c>
      <c r="N3" s="92" t="s">
        <v>128</v>
      </c>
      <c r="O3" s="92" t="s">
        <v>528</v>
      </c>
      <c r="P3" s="69">
        <f>DAYS360(M3,F3,TRUE)/30</f>
        <v>8.2666666666667</v>
      </c>
      <c r="Q3" s="64" t="str">
        <f>IF(DAYS360(M3,F3,TRUE)&gt;120,"-","увольнение в течении испытательного срока")</f>
        <v>-</v>
      </c>
      <c r="R3" s="64" t="str">
        <f>IF(ISBLANK(B3),"-",IF(ISERROR(FIND("вич",B3,1)),"ж","м"))</f>
        <v>м</v>
      </c>
      <c r="S3" s="86" t="s">
        <v>918</v>
      </c>
      <c r="T3" s="86" t="s">
        <v>613</v>
      </c>
      <c r="U3" s="190" t="s">
        <v>2661</v>
      </c>
      <c r="V3" s="60" t="s">
        <v>280</v>
      </c>
      <c r="W3" s="206"/>
    </row>
    <row r="4" spans="1:39" customHeight="1" ht="33.75">
      <c r="A4" s="86" t="s">
        <v>2662</v>
      </c>
      <c r="B4" s="86" t="s">
        <v>2663</v>
      </c>
      <c r="C4" s="86" t="s">
        <v>2172</v>
      </c>
      <c r="D4" s="86" t="s">
        <v>2199</v>
      </c>
      <c r="E4" s="86" t="s">
        <v>618</v>
      </c>
      <c r="F4" s="86" t="s">
        <v>2664</v>
      </c>
      <c r="G4" s="91"/>
      <c r="H4" s="68" t="s">
        <v>2561</v>
      </c>
      <c r="I4" s="303"/>
      <c r="J4" s="234" t="s">
        <v>539</v>
      </c>
      <c r="K4" s="190" t="s">
        <v>2531</v>
      </c>
      <c r="L4" s="234" t="s">
        <v>2628</v>
      </c>
      <c r="M4" s="86" t="s">
        <v>2665</v>
      </c>
      <c r="N4" s="92" t="s">
        <v>128</v>
      </c>
      <c r="O4" s="92" t="s">
        <v>528</v>
      </c>
      <c r="P4" s="69">
        <f>DAYS360(M4,F4,TRUE)/30</f>
        <v>8.7</v>
      </c>
      <c r="Q4" s="64" t="str">
        <f>IF(DAYS360(M4,F4,TRUE)&gt;120,"-","увольнение в течении испытательного срока")</f>
        <v>-</v>
      </c>
      <c r="R4" s="64" t="str">
        <f>IF(ISBLANK(B4),"-",IF(ISERROR(FIND("вич",B4,1)),"ж","м"))</f>
        <v>м</v>
      </c>
      <c r="S4" s="86" t="s">
        <v>2666</v>
      </c>
      <c r="T4" s="86" t="s">
        <v>996</v>
      </c>
      <c r="U4" s="190" t="s">
        <v>2667</v>
      </c>
      <c r="V4" s="206" t="s">
        <v>226</v>
      </c>
      <c r="W4" s="206"/>
    </row>
    <row r="5" spans="1:39" customHeight="1" ht="22.5">
      <c r="A5" s="86" t="s">
        <v>2668</v>
      </c>
      <c r="B5" s="86" t="s">
        <v>2669</v>
      </c>
      <c r="C5" s="86" t="s">
        <v>374</v>
      </c>
      <c r="D5" s="86" t="s">
        <v>375</v>
      </c>
      <c r="E5" s="86" t="s">
        <v>618</v>
      </c>
      <c r="F5" s="86" t="s">
        <v>1128</v>
      </c>
      <c r="G5" s="91"/>
      <c r="H5" s="68" t="s">
        <v>2561</v>
      </c>
      <c r="I5" s="303"/>
      <c r="J5" s="234" t="s">
        <v>539</v>
      </c>
      <c r="K5" s="190" t="s">
        <v>2531</v>
      </c>
      <c r="L5" s="92" t="str">
        <f>IF(O5="Постоянный",VLOOKUP(K5,'Включаем не включаем'!$A$1:$B$65536,2,0),"не включаем")</f>
        <v>не включаем</v>
      </c>
      <c r="M5" s="86" t="s">
        <v>2670</v>
      </c>
      <c r="N5" s="92" t="s">
        <v>128</v>
      </c>
      <c r="O5" s="92" t="s">
        <v>528</v>
      </c>
      <c r="P5" s="69">
        <f>DAYS360(M5,F5,TRUE)/30</f>
        <v>2.5333333333333</v>
      </c>
      <c r="Q5" s="64" t="str">
        <f>IF(DAYS360(M5,F5,TRUE)&gt;120,"-","увольнение в течении испытательного срока")</f>
        <v>увольнение в течении испытательного срока</v>
      </c>
      <c r="R5" s="64" t="str">
        <f>IF(ISBLANK(B5),"-",IF(ISERROR(FIND("вич",B5,1)),"ж","м"))</f>
        <v>м</v>
      </c>
      <c r="S5" s="86" t="s">
        <v>2671</v>
      </c>
      <c r="T5" s="86" t="s">
        <v>996</v>
      </c>
      <c r="U5" s="190" t="s">
        <v>2672</v>
      </c>
      <c r="V5" s="189" t="s">
        <v>319</v>
      </c>
      <c r="W5" s="206"/>
    </row>
    <row r="6" spans="1:39" customHeight="1" ht="22.5">
      <c r="A6" s="86" t="s">
        <v>2673</v>
      </c>
      <c r="B6" s="86" t="s">
        <v>2674</v>
      </c>
      <c r="C6" s="86" t="s">
        <v>391</v>
      </c>
      <c r="D6" s="86" t="s">
        <v>392</v>
      </c>
      <c r="E6" s="86" t="s">
        <v>618</v>
      </c>
      <c r="F6" s="86" t="s">
        <v>2675</v>
      </c>
      <c r="G6" s="91"/>
      <c r="H6" s="68" t="s">
        <v>2561</v>
      </c>
      <c r="I6" s="303"/>
      <c r="J6" s="234" t="s">
        <v>539</v>
      </c>
      <c r="K6" s="190" t="s">
        <v>2540</v>
      </c>
      <c r="L6" s="234" t="s">
        <v>2628</v>
      </c>
      <c r="M6" s="86" t="s">
        <v>2676</v>
      </c>
      <c r="N6" s="92" t="s">
        <v>128</v>
      </c>
      <c r="O6" s="92" t="s">
        <v>528</v>
      </c>
      <c r="P6" s="69">
        <f>DAYS360(M6,F6,TRUE)/30</f>
        <v>2.8666666666667</v>
      </c>
      <c r="Q6" s="64" t="str">
        <f>IF(DAYS360(M6,F6,TRUE)&gt;120,"-","увольнение в течении испытательного срока")</f>
        <v>увольнение в течении испытательного срока</v>
      </c>
      <c r="R6" s="64" t="str">
        <f>IF(ISBLANK(B6),"-",IF(ISERROR(FIND("вич",B6,1)),"ж","м"))</f>
        <v>м</v>
      </c>
      <c r="S6" s="86" t="s">
        <v>2677</v>
      </c>
      <c r="T6" s="86" t="s">
        <v>996</v>
      </c>
      <c r="U6" s="190" t="s">
        <v>2678</v>
      </c>
      <c r="V6" s="189" t="s">
        <v>250</v>
      </c>
      <c r="W6" s="206"/>
    </row>
    <row r="7" spans="1:39" customHeight="1" ht="22.5">
      <c r="A7" s="86" t="s">
        <v>2679</v>
      </c>
      <c r="B7" s="86" t="s">
        <v>2680</v>
      </c>
      <c r="C7" s="86" t="s">
        <v>172</v>
      </c>
      <c r="D7" s="86" t="s">
        <v>177</v>
      </c>
      <c r="E7" s="86" t="s">
        <v>618</v>
      </c>
      <c r="F7" s="86" t="s">
        <v>2681</v>
      </c>
      <c r="G7" s="91"/>
      <c r="H7" s="68" t="s">
        <v>2561</v>
      </c>
      <c r="I7" s="303"/>
      <c r="J7" s="234" t="s">
        <v>526</v>
      </c>
      <c r="K7" s="190" t="s">
        <v>2528</v>
      </c>
      <c r="L7" s="234" t="s">
        <v>2628</v>
      </c>
      <c r="M7" s="86" t="s">
        <v>2682</v>
      </c>
      <c r="N7" s="92" t="s">
        <v>128</v>
      </c>
      <c r="O7" s="92" t="s">
        <v>528</v>
      </c>
      <c r="P7" s="69">
        <f>DAYS360(M7,F7,TRUE)/30</f>
        <v>3.4333333333333</v>
      </c>
      <c r="Q7" s="64" t="str">
        <f>IF(DAYS360(M7,F7,TRUE)&gt;120,"-","увольнение в течении испытательного срока")</f>
        <v>увольнение в течении испытательного срока</v>
      </c>
      <c r="R7" s="64" t="str">
        <f>IF(ISBLANK(B7),"-",IF(ISERROR(FIND("вич",B7,1)),"ж","м"))</f>
        <v>м</v>
      </c>
      <c r="S7" s="86" t="s">
        <v>2683</v>
      </c>
      <c r="T7" s="86" t="s">
        <v>996</v>
      </c>
      <c r="U7" s="190" t="s">
        <v>2684</v>
      </c>
      <c r="V7" s="60" t="s">
        <v>176</v>
      </c>
      <c r="W7" s="206"/>
    </row>
    <row r="8" spans="1:39" customHeight="1" ht="22.5">
      <c r="A8" s="86" t="s">
        <v>2685</v>
      </c>
      <c r="B8" s="86" t="s">
        <v>2686</v>
      </c>
      <c r="C8" s="86" t="s">
        <v>2113</v>
      </c>
      <c r="D8" s="86" t="s">
        <v>256</v>
      </c>
      <c r="E8" s="86" t="s">
        <v>618</v>
      </c>
      <c r="F8" s="86" t="s">
        <v>2687</v>
      </c>
      <c r="G8" s="91"/>
      <c r="H8" s="68" t="s">
        <v>2561</v>
      </c>
      <c r="I8" s="303"/>
      <c r="J8" s="234" t="s">
        <v>526</v>
      </c>
      <c r="K8" s="190" t="s">
        <v>2539</v>
      </c>
      <c r="L8" s="234" t="s">
        <v>2628</v>
      </c>
      <c r="M8" s="86" t="s">
        <v>2688</v>
      </c>
      <c r="N8" s="92" t="s">
        <v>128</v>
      </c>
      <c r="O8" s="92" t="s">
        <v>528</v>
      </c>
      <c r="P8" s="69">
        <f>DAYS360(M8,F8,TRUE)/30</f>
        <v>85.566666666667</v>
      </c>
      <c r="Q8" s="64" t="str">
        <f>IF(DAYS360(M8,F8,TRUE)&gt;120,"-","увольнение в течении испытательного срока")</f>
        <v>-</v>
      </c>
      <c r="R8" s="64" t="str">
        <f>IF(ISBLANK(B8),"-",IF(ISERROR(FIND("вич",B8,1)),"ж","м"))</f>
        <v>м</v>
      </c>
      <c r="S8" s="86" t="s">
        <v>943</v>
      </c>
      <c r="T8" s="86" t="s">
        <v>996</v>
      </c>
      <c r="U8" s="190" t="s">
        <v>2689</v>
      </c>
      <c r="V8" s="60" t="s">
        <v>226</v>
      </c>
      <c r="W8" s="206"/>
    </row>
    <row r="9" spans="1:39" customHeight="1" ht="33.75">
      <c r="A9" s="86" t="s">
        <v>2690</v>
      </c>
      <c r="B9" s="86" t="s">
        <v>2691</v>
      </c>
      <c r="C9" s="86" t="s">
        <v>2172</v>
      </c>
      <c r="D9" s="86" t="s">
        <v>194</v>
      </c>
      <c r="E9" s="86" t="s">
        <v>618</v>
      </c>
      <c r="F9" s="86" t="s">
        <v>2692</v>
      </c>
      <c r="G9" s="91"/>
      <c r="H9" s="68" t="s">
        <v>2561</v>
      </c>
      <c r="I9" s="303"/>
      <c r="J9" s="234" t="s">
        <v>539</v>
      </c>
      <c r="K9" s="190" t="s">
        <v>2531</v>
      </c>
      <c r="L9" s="92" t="str">
        <f>IF(O9="Постоянный",VLOOKUP(K9,'Включаем не включаем'!$A$1:$B$65536,2,0),"не включаем")</f>
        <v>не включаем</v>
      </c>
      <c r="M9" s="86" t="s">
        <v>2693</v>
      </c>
      <c r="N9" s="92" t="s">
        <v>128</v>
      </c>
      <c r="O9" s="92" t="s">
        <v>528</v>
      </c>
      <c r="P9" s="69">
        <f>DAYS360(M9,F9,TRUE)/30</f>
        <v>41.4</v>
      </c>
      <c r="Q9" s="64" t="str">
        <f>IF(DAYS360(M9,F9,TRUE)&gt;120,"-","увольнение в течении испытательного срока")</f>
        <v>-</v>
      </c>
      <c r="R9" s="64" t="str">
        <f>IF(ISBLANK(B9),"-",IF(ISERROR(FIND("вич",B9,1)),"ж","м"))</f>
        <v>м</v>
      </c>
      <c r="S9" s="86" t="s">
        <v>2694</v>
      </c>
      <c r="T9" s="86" t="s">
        <v>996</v>
      </c>
      <c r="U9" s="190" t="s">
        <v>2695</v>
      </c>
      <c r="V9" s="189" t="s">
        <v>226</v>
      </c>
      <c r="W9" s="206"/>
    </row>
    <row r="10" spans="1:39" customHeight="1" ht="22.5">
      <c r="A10" s="86" t="s">
        <v>2696</v>
      </c>
      <c r="B10" s="86" t="s">
        <v>2697</v>
      </c>
      <c r="C10" s="86" t="s">
        <v>2243</v>
      </c>
      <c r="D10" s="86" t="s">
        <v>735</v>
      </c>
      <c r="E10" s="86" t="s">
        <v>618</v>
      </c>
      <c r="F10" s="86" t="s">
        <v>2659</v>
      </c>
      <c r="G10" s="91"/>
      <c r="H10" s="68" t="s">
        <v>2561</v>
      </c>
      <c r="I10" s="303"/>
      <c r="J10" s="234" t="s">
        <v>526</v>
      </c>
      <c r="K10" s="190" t="s">
        <v>2530</v>
      </c>
      <c r="L10" s="92" t="str">
        <f>IF(O10="Постоянный",VLOOKUP(K10,'Включаем не включаем'!$A$1:$B$65536,2,0),"не включаем")</f>
        <v>не включаем</v>
      </c>
      <c r="M10" s="86" t="s">
        <v>2698</v>
      </c>
      <c r="N10" s="92" t="s">
        <v>128</v>
      </c>
      <c r="O10" s="92" t="s">
        <v>528</v>
      </c>
      <c r="P10" s="69">
        <f>DAYS360(M10,F10,TRUE)/30</f>
        <v>17.966666666667</v>
      </c>
      <c r="Q10" s="64" t="str">
        <f>IF(DAYS360(M10,F10,TRUE)&gt;120,"-","увольнение в течении испытательного срока")</f>
        <v>-</v>
      </c>
      <c r="R10" s="64" t="str">
        <f>IF(ISBLANK(B10),"-",IF(ISERROR(FIND("вич",B10,1)),"ж","м"))</f>
        <v>м</v>
      </c>
      <c r="S10" s="86" t="s">
        <v>2476</v>
      </c>
      <c r="T10" s="86" t="s">
        <v>996</v>
      </c>
      <c r="U10" s="190" t="s">
        <v>2699</v>
      </c>
      <c r="V10" s="60" t="s">
        <v>226</v>
      </c>
      <c r="W10" s="206"/>
    </row>
    <row r="11" spans="1:39" customHeight="1" ht="33.75">
      <c r="A11" s="86" t="s">
        <v>2700</v>
      </c>
      <c r="B11" s="86" t="s">
        <v>2701</v>
      </c>
      <c r="C11" s="86" t="s">
        <v>725</v>
      </c>
      <c r="D11" s="86" t="s">
        <v>235</v>
      </c>
      <c r="E11" s="86" t="s">
        <v>618</v>
      </c>
      <c r="F11" s="86" t="s">
        <v>1827</v>
      </c>
      <c r="G11" s="91"/>
      <c r="H11" s="68" t="s">
        <v>2561</v>
      </c>
      <c r="I11" s="303"/>
      <c r="J11" s="234" t="s">
        <v>526</v>
      </c>
      <c r="K11" s="190" t="s">
        <v>2531</v>
      </c>
      <c r="L11" s="92" t="str">
        <f>IF(O11="Постоянный",VLOOKUP(K11,'Включаем не включаем'!$A$1:$B$65536,2,0),"не включаем")</f>
        <v>не включаем</v>
      </c>
      <c r="M11" s="86" t="s">
        <v>1885</v>
      </c>
      <c r="N11" s="92" t="s">
        <v>128</v>
      </c>
      <c r="O11" s="92" t="s">
        <v>528</v>
      </c>
      <c r="P11" s="69">
        <f>DAYS360(M11,F11,TRUE)/30</f>
        <v>1.1333333333333</v>
      </c>
      <c r="Q11" s="64" t="str">
        <f>IF(DAYS360(M11,F11,TRUE)&gt;120,"-","увольнение в течении испытательного срока")</f>
        <v>увольнение в течении испытательного срока</v>
      </c>
      <c r="R11" s="64" t="str">
        <f>IF(ISBLANK(B11),"-",IF(ISERROR(FIND("вич",B11,1)),"ж","м"))</f>
        <v>м</v>
      </c>
      <c r="S11" s="86" t="s">
        <v>2702</v>
      </c>
      <c r="T11" s="86" t="s">
        <v>613</v>
      </c>
      <c r="U11" s="190" t="s">
        <v>2699</v>
      </c>
      <c r="V11" s="60" t="s">
        <v>280</v>
      </c>
      <c r="W11" s="206"/>
    </row>
    <row r="12" spans="1:39" customHeight="1" ht="33.75">
      <c r="A12" s="86" t="s">
        <v>2703</v>
      </c>
      <c r="B12" s="86" t="s">
        <v>2704</v>
      </c>
      <c r="C12" s="86" t="s">
        <v>270</v>
      </c>
      <c r="D12" s="86" t="s">
        <v>255</v>
      </c>
      <c r="E12" s="86" t="s">
        <v>618</v>
      </c>
      <c r="F12" s="86" t="s">
        <v>2705</v>
      </c>
      <c r="G12" s="91"/>
      <c r="H12" s="68" t="s">
        <v>2561</v>
      </c>
      <c r="I12" s="303"/>
      <c r="J12" s="234" t="s">
        <v>526</v>
      </c>
      <c r="K12" s="190" t="s">
        <v>2545</v>
      </c>
      <c r="L12" s="92" t="str">
        <f>IF(O12="Постоянный",VLOOKUP(K12,'Включаем не включаем'!$A$1:$B$65536,2,0),"не включаем")</f>
        <v>не включаем</v>
      </c>
      <c r="M12" s="86" t="s">
        <v>2451</v>
      </c>
      <c r="N12" s="92" t="s">
        <v>128</v>
      </c>
      <c r="O12" s="92" t="s">
        <v>528</v>
      </c>
      <c r="P12" s="69">
        <f>DAYS360(M12,F12,TRUE)/30</f>
        <v>2.9666666666667</v>
      </c>
      <c r="Q12" s="64" t="str">
        <f>IF(DAYS360(M12,F12,TRUE)&gt;120,"-","увольнение в течении испытательного срока")</f>
        <v>увольнение в течении испытательного срока</v>
      </c>
      <c r="R12" s="64" t="str">
        <f>IF(ISBLANK(B12),"-",IF(ISERROR(FIND("вич",B12,1)),"ж","м"))</f>
        <v>ж</v>
      </c>
      <c r="S12" s="86" t="s">
        <v>2706</v>
      </c>
      <c r="T12" s="86" t="s">
        <v>770</v>
      </c>
      <c r="U12" s="190" t="s">
        <v>2707</v>
      </c>
      <c r="V12" s="60" t="s">
        <v>130</v>
      </c>
      <c r="W12" s="206"/>
    </row>
    <row r="13" spans="1:39" customHeight="1" ht="22.5">
      <c r="A13" s="86" t="s">
        <v>2708</v>
      </c>
      <c r="B13" s="86" t="s">
        <v>2335</v>
      </c>
      <c r="C13" s="86" t="s">
        <v>464</v>
      </c>
      <c r="D13" s="86" t="s">
        <v>284</v>
      </c>
      <c r="E13" s="86" t="s">
        <v>618</v>
      </c>
      <c r="F13" s="86" t="s">
        <v>2709</v>
      </c>
      <c r="G13" s="91"/>
      <c r="H13" s="68" t="s">
        <v>2561</v>
      </c>
      <c r="I13" s="303"/>
      <c r="J13" s="234" t="s">
        <v>539</v>
      </c>
      <c r="K13" s="190" t="s">
        <v>2553</v>
      </c>
      <c r="L13" s="92" t="str">
        <f>IF(O13="Постоянный",VLOOKUP(K13,'Включаем не включаем'!$A$1:$B$65536,2,0),"не включаем")</f>
        <v>не включаем</v>
      </c>
      <c r="M13" s="496" t="s">
        <v>2710</v>
      </c>
      <c r="N13" s="92" t="s">
        <v>128</v>
      </c>
      <c r="O13" s="92" t="s">
        <v>528</v>
      </c>
      <c r="P13" s="69">
        <f>DAYS360(M13,F13,TRUE)/30</f>
        <v>10.966666666667</v>
      </c>
      <c r="Q13" s="64" t="str">
        <f>IF(DAYS360(M13,F13,TRUE)&gt;120,"-","увольнение в течении испытательного срока")</f>
        <v>-</v>
      </c>
      <c r="R13" s="64" t="str">
        <f>IF(ISBLANK(B13),"-",IF(ISERROR(FIND("вич",B13,1)),"ж","м"))</f>
        <v>ж</v>
      </c>
      <c r="S13" s="86" t="s">
        <v>2337</v>
      </c>
      <c r="T13" s="86" t="s">
        <v>2321</v>
      </c>
      <c r="U13" s="190" t="s">
        <v>2711</v>
      </c>
      <c r="V13" s="206" t="s">
        <v>135</v>
      </c>
      <c r="W13" s="206"/>
    </row>
    <row r="14" spans="1:39" customHeight="1" ht="22.5">
      <c r="A14" s="86" t="s">
        <v>2712</v>
      </c>
      <c r="B14" s="86" t="s">
        <v>2713</v>
      </c>
      <c r="C14" s="86" t="s">
        <v>326</v>
      </c>
      <c r="D14" s="86" t="s">
        <v>124</v>
      </c>
      <c r="E14" s="86" t="s">
        <v>618</v>
      </c>
      <c r="F14" s="86" t="s">
        <v>2709</v>
      </c>
      <c r="G14" s="91"/>
      <c r="H14" s="68" t="s">
        <v>2561</v>
      </c>
      <c r="I14" s="303"/>
      <c r="J14" s="234" t="s">
        <v>539</v>
      </c>
      <c r="K14" s="190" t="s">
        <v>2534</v>
      </c>
      <c r="L14" s="92" t="str">
        <f>IF(O14="Постоянный",VLOOKUP(K14,'Включаем не включаем'!$A$1:$B$65536,2,0),"не включаем")</f>
        <v>не включаем</v>
      </c>
      <c r="M14" s="496" t="s">
        <v>2714</v>
      </c>
      <c r="N14" s="92" t="s">
        <v>128</v>
      </c>
      <c r="O14" s="92" t="s">
        <v>528</v>
      </c>
      <c r="P14" s="69">
        <f>DAYS360(M14,F14,TRUE)/30</f>
        <v>0.16666666666667</v>
      </c>
      <c r="Q14" s="64" t="str">
        <f>IF(DAYS360(M14,F14,TRUE)&gt;120,"-","увольнение в течении испытательного срока")</f>
        <v>увольнение в течении испытательного срока</v>
      </c>
      <c r="R14" s="64" t="str">
        <f>IF(ISBLANK(B14),"-",IF(ISERROR(FIND("вич",B14,1)),"ж","м"))</f>
        <v>ж</v>
      </c>
      <c r="S14" s="86" t="s">
        <v>2715</v>
      </c>
      <c r="T14" s="86" t="s">
        <v>2321</v>
      </c>
      <c r="U14" s="190" t="s">
        <v>2711</v>
      </c>
      <c r="V14" s="206" t="s">
        <v>135</v>
      </c>
      <c r="W14" s="206"/>
    </row>
    <row r="15" spans="1:39" customHeight="1" ht="22.5">
      <c r="A15" s="86" t="s">
        <v>2716</v>
      </c>
      <c r="B15" s="86" t="s">
        <v>2717</v>
      </c>
      <c r="C15" s="86" t="s">
        <v>326</v>
      </c>
      <c r="D15" s="86" t="s">
        <v>332</v>
      </c>
      <c r="E15" s="86" t="s">
        <v>618</v>
      </c>
      <c r="F15" s="86" t="s">
        <v>777</v>
      </c>
      <c r="G15" s="91"/>
      <c r="H15" s="68" t="s">
        <v>2561</v>
      </c>
      <c r="I15" s="303"/>
      <c r="J15" s="234" t="s">
        <v>539</v>
      </c>
      <c r="K15" s="190" t="s">
        <v>2545</v>
      </c>
      <c r="L15" s="92" t="str">
        <f>IF(O15="Постоянный",VLOOKUP(K15,'Включаем не включаем'!$A$1:$B$65536,2,0),"не включаем")</f>
        <v>не включаем</v>
      </c>
      <c r="M15" s="496" t="s">
        <v>2718</v>
      </c>
      <c r="N15" s="92" t="s">
        <v>128</v>
      </c>
      <c r="O15" s="92" t="s">
        <v>528</v>
      </c>
      <c r="P15" s="69">
        <f>DAYS360(M15,F15,TRUE)/30</f>
        <v>10</v>
      </c>
      <c r="Q15" s="64" t="str">
        <f>IF(DAYS360(M15,F15,TRUE)&gt;120,"-","увольнение в течении испытательного срока")</f>
        <v>-</v>
      </c>
      <c r="R15" s="64" t="str">
        <f>IF(ISBLANK(B15),"-",IF(ISERROR(FIND("вич",B15,1)),"ж","м"))</f>
        <v>ж</v>
      </c>
      <c r="S15" s="86" t="s">
        <v>2719</v>
      </c>
      <c r="T15" s="86" t="s">
        <v>2321</v>
      </c>
      <c r="U15" s="190" t="s">
        <v>2711</v>
      </c>
      <c r="V15" s="206" t="s">
        <v>135</v>
      </c>
      <c r="W15" s="206"/>
    </row>
    <row r="16" spans="1:39" customHeight="1" ht="22.5">
      <c r="A16" s="86" t="s">
        <v>2720</v>
      </c>
      <c r="B16" s="86" t="s">
        <v>2721</v>
      </c>
      <c r="C16" s="86" t="s">
        <v>1692</v>
      </c>
      <c r="D16" s="86" t="s">
        <v>380</v>
      </c>
      <c r="E16" s="86" t="s">
        <v>618</v>
      </c>
      <c r="F16" s="86" t="s">
        <v>2675</v>
      </c>
      <c r="G16" s="91"/>
      <c r="H16" s="68" t="s">
        <v>2561</v>
      </c>
      <c r="I16" s="303"/>
      <c r="J16" s="234" t="s">
        <v>539</v>
      </c>
      <c r="K16" s="190" t="s">
        <v>2537</v>
      </c>
      <c r="L16" s="92" t="str">
        <f>IF(O16="Постоянный",VLOOKUP(K16,'Включаем не включаем'!$A$1:$B$65536,2,0),"не включаем")</f>
        <v>не включаем</v>
      </c>
      <c r="M16" s="496" t="s">
        <v>2722</v>
      </c>
      <c r="N16" s="92" t="s">
        <v>128</v>
      </c>
      <c r="O16" s="92" t="s">
        <v>528</v>
      </c>
      <c r="P16" s="69">
        <f>DAYS360(M16,F16,TRUE)/30</f>
        <v>12.466666666667</v>
      </c>
      <c r="Q16" s="64" t="str">
        <f>IF(DAYS360(M16,F16,TRUE)&gt;120,"-","увольнение в течении испытательного срока")</f>
        <v>-</v>
      </c>
      <c r="R16" s="64" t="str">
        <f>IF(ISBLANK(B16),"-",IF(ISERROR(FIND("вич",B16,1)),"ж","м"))</f>
        <v>м</v>
      </c>
      <c r="S16" s="86" t="s">
        <v>2723</v>
      </c>
      <c r="T16" s="86" t="s">
        <v>996</v>
      </c>
      <c r="U16" s="190" t="s">
        <v>2724</v>
      </c>
      <c r="V16" s="29" t="s">
        <v>130</v>
      </c>
      <c r="W16" s="206"/>
    </row>
    <row r="17" spans="1:39" customHeight="1" ht="22.5">
      <c r="A17" s="86" t="s">
        <v>2725</v>
      </c>
      <c r="B17" s="86" t="s">
        <v>2726</v>
      </c>
      <c r="C17" s="86" t="s">
        <v>378</v>
      </c>
      <c r="D17" s="86" t="s">
        <v>329</v>
      </c>
      <c r="E17" s="86" t="s">
        <v>618</v>
      </c>
      <c r="F17" s="86" t="s">
        <v>1766</v>
      </c>
      <c r="G17" s="91"/>
      <c r="H17" s="68" t="s">
        <v>2561</v>
      </c>
      <c r="I17" s="303"/>
      <c r="J17" s="234" t="s">
        <v>539</v>
      </c>
      <c r="K17" s="190" t="s">
        <v>2531</v>
      </c>
      <c r="L17" s="92" t="str">
        <f>IF(O17="Постоянный",VLOOKUP(K17,'Включаем не включаем'!$A$1:$B$65536,2,0),"не включаем")</f>
        <v>не включаем</v>
      </c>
      <c r="M17" s="496" t="s">
        <v>2727</v>
      </c>
      <c r="N17" s="92" t="s">
        <v>128</v>
      </c>
      <c r="O17" s="92" t="s">
        <v>528</v>
      </c>
      <c r="P17" s="69">
        <f>DAYS360(M17,F17,TRUE)/30</f>
        <v>48.5</v>
      </c>
      <c r="Q17" s="64" t="str">
        <f>IF(DAYS360(M17,F17,TRUE)&gt;120,"-","увольнение в течении испытательного срока")</f>
        <v>-</v>
      </c>
      <c r="R17" s="64" t="str">
        <f>IF(ISBLANK(B17),"-",IF(ISERROR(FIND("вич",B17,1)),"ж","м"))</f>
        <v>м</v>
      </c>
      <c r="S17" s="86" t="s">
        <v>2728</v>
      </c>
      <c r="T17" s="86" t="s">
        <v>996</v>
      </c>
      <c r="U17" s="190" t="s">
        <v>2724</v>
      </c>
      <c r="V17" s="29" t="s">
        <v>130</v>
      </c>
      <c r="W17" s="206"/>
    </row>
    <row r="18" spans="1:39" customHeight="1" ht="22.5">
      <c r="A18" s="86" t="s">
        <v>2729</v>
      </c>
      <c r="B18" s="86" t="s">
        <v>2730</v>
      </c>
      <c r="C18" s="86" t="s">
        <v>378</v>
      </c>
      <c r="D18" s="86" t="s">
        <v>329</v>
      </c>
      <c r="E18" s="86" t="s">
        <v>618</v>
      </c>
      <c r="F18" s="86" t="s">
        <v>2731</v>
      </c>
      <c r="G18" s="91"/>
      <c r="H18" s="68" t="s">
        <v>2561</v>
      </c>
      <c r="I18" s="303"/>
      <c r="J18" s="234" t="s">
        <v>539</v>
      </c>
      <c r="K18" s="190" t="s">
        <v>2529</v>
      </c>
      <c r="L18" s="92" t="str">
        <f>IF(O18="Постоянный",VLOOKUP(K18,'Включаем не включаем'!$A$1:$B$65536,2,0),"не включаем")</f>
        <v>не включаем</v>
      </c>
      <c r="M18" s="496" t="s">
        <v>2732</v>
      </c>
      <c r="N18" s="92" t="s">
        <v>128</v>
      </c>
      <c r="O18" s="92" t="s">
        <v>528</v>
      </c>
      <c r="P18" s="69">
        <f>DAYS360(M18,F18,TRUE)/30</f>
        <v>19.3</v>
      </c>
      <c r="Q18" s="64" t="str">
        <f>IF(DAYS360(M18,F18,TRUE)&gt;120,"-","увольнение в течении испытательного срока")</f>
        <v>-</v>
      </c>
      <c r="R18" s="64" t="str">
        <f>IF(ISBLANK(B18),"-",IF(ISERROR(FIND("вич",B18,1)),"ж","м"))</f>
        <v>м</v>
      </c>
      <c r="S18" s="86" t="s">
        <v>2733</v>
      </c>
      <c r="T18" s="86" t="s">
        <v>996</v>
      </c>
      <c r="U18" s="190" t="s">
        <v>2724</v>
      </c>
      <c r="V18" s="29" t="s">
        <v>130</v>
      </c>
      <c r="W18" s="206"/>
    </row>
    <row r="19" spans="1:39" customHeight="1" ht="22.5">
      <c r="A19" s="86" t="s">
        <v>2734</v>
      </c>
      <c r="B19" s="86" t="s">
        <v>2735</v>
      </c>
      <c r="C19" s="86" t="s">
        <v>136</v>
      </c>
      <c r="D19" s="86" t="s">
        <v>149</v>
      </c>
      <c r="E19" s="86" t="s">
        <v>618</v>
      </c>
      <c r="F19" s="86" t="s">
        <v>2736</v>
      </c>
      <c r="G19" s="91"/>
      <c r="H19" s="68" t="s">
        <v>2561</v>
      </c>
      <c r="I19" s="303"/>
      <c r="J19" s="234" t="s">
        <v>526</v>
      </c>
      <c r="K19" s="190" t="s">
        <v>2548</v>
      </c>
      <c r="L19" s="92" t="str">
        <f>IF(O19="Постоянный",VLOOKUP(K19,'Включаем не включаем'!$A$1:$B$65536,2,0),"не включаем")</f>
        <v>не включаем</v>
      </c>
      <c r="M19" s="496" t="s">
        <v>2737</v>
      </c>
      <c r="N19" s="92" t="s">
        <v>128</v>
      </c>
      <c r="O19" s="92" t="s">
        <v>528</v>
      </c>
      <c r="P19" s="69">
        <f>DAYS360(M19,F19,TRUE)/30</f>
        <v>21.633333333333</v>
      </c>
      <c r="Q19" s="64" t="str">
        <f>IF(DAYS360(M19,F19,TRUE)&gt;120,"-","увольнение в течении испытательного срока")</f>
        <v>-</v>
      </c>
      <c r="R19" s="64" t="str">
        <f>IF(ISBLANK(B19),"-",IF(ISERROR(FIND("вич",B19,1)),"ж","м"))</f>
        <v>м</v>
      </c>
      <c r="S19" s="86" t="s">
        <v>2738</v>
      </c>
      <c r="T19" s="86" t="s">
        <v>817</v>
      </c>
      <c r="U19" s="190" t="s">
        <v>2739</v>
      </c>
      <c r="V19" s="128" t="s">
        <v>143</v>
      </c>
      <c r="W19" s="206"/>
    </row>
    <row r="20" spans="1:39" customHeight="1" ht="22.5">
      <c r="A20" s="86" t="s">
        <v>2740</v>
      </c>
      <c r="B20" s="86" t="s">
        <v>2741</v>
      </c>
      <c r="C20" s="86" t="s">
        <v>418</v>
      </c>
      <c r="D20" s="86" t="s">
        <v>137</v>
      </c>
      <c r="E20" s="86" t="s">
        <v>618</v>
      </c>
      <c r="F20" s="86" t="s">
        <v>2714</v>
      </c>
      <c r="G20" s="91"/>
      <c r="H20" s="68" t="s">
        <v>2561</v>
      </c>
      <c r="I20" s="303"/>
      <c r="J20" s="234" t="s">
        <v>539</v>
      </c>
      <c r="K20" s="190" t="s">
        <v>2529</v>
      </c>
      <c r="L20" s="92" t="str">
        <f>IF(O20="Постоянный",VLOOKUP(K20,'Включаем не включаем'!$A$1:$B$65536,2,0),"не включаем")</f>
        <v>не включаем</v>
      </c>
      <c r="M20" s="496" t="s">
        <v>1864</v>
      </c>
      <c r="N20" s="92" t="s">
        <v>128</v>
      </c>
      <c r="O20" s="92" t="s">
        <v>528</v>
      </c>
      <c r="P20" s="69">
        <f>DAYS360(M20,F20,TRUE)/30</f>
        <v>86.933333333333</v>
      </c>
      <c r="Q20" s="64" t="str">
        <f>IF(DAYS360(M20,F20,TRUE)&gt;120,"-","увольнение в течении испытательного срока")</f>
        <v>-</v>
      </c>
      <c r="R20" s="64" t="str">
        <f>IF(ISBLANK(B20),"-",IF(ISERROR(FIND("вич",B20,1)),"ж","м"))</f>
        <v>ж</v>
      </c>
      <c r="S20" s="86" t="s">
        <v>2742</v>
      </c>
      <c r="T20" s="86" t="s">
        <v>817</v>
      </c>
      <c r="U20" s="190" t="s">
        <v>2739</v>
      </c>
      <c r="V20" s="66" t="s">
        <v>143</v>
      </c>
      <c r="W20" s="206"/>
    </row>
    <row r="21" spans="1:39" customHeight="1" ht="33.75">
      <c r="A21" s="86" t="s">
        <v>2743</v>
      </c>
      <c r="B21" s="86" t="s">
        <v>2436</v>
      </c>
      <c r="C21" s="86" t="s">
        <v>326</v>
      </c>
      <c r="D21" s="86" t="s">
        <v>124</v>
      </c>
      <c r="E21" s="86" t="s">
        <v>1004</v>
      </c>
      <c r="F21" s="86" t="s">
        <v>2659</v>
      </c>
      <c r="G21" s="86"/>
      <c r="H21" s="68" t="s">
        <v>2561</v>
      </c>
      <c r="I21" s="303"/>
      <c r="J21" s="234" t="s">
        <v>526</v>
      </c>
      <c r="K21" s="190" t="s">
        <v>2548</v>
      </c>
      <c r="L21" s="92" t="str">
        <f>IF(O21="Постоянный",VLOOKUP(K21,'Включаем не включаем'!$A$1:$B$65536,2,0),"не включаем")</f>
        <v>не включаем</v>
      </c>
      <c r="M21" s="496" t="s">
        <v>1827</v>
      </c>
      <c r="N21" s="92" t="s">
        <v>128</v>
      </c>
      <c r="O21" s="92" t="s">
        <v>528</v>
      </c>
      <c r="P21" s="69">
        <f>DAYS360(M21,F21,TRUE)/30</f>
        <v>0.5</v>
      </c>
      <c r="Q21" s="64" t="str">
        <f>IF(DAYS360(M21,F21,TRUE)&gt;120,"-","увольнение в течении испытательного срока")</f>
        <v>увольнение в течении испытательного срока</v>
      </c>
      <c r="R21" s="64" t="str">
        <f>IF(ISBLANK(B21),"-",IF(ISERROR(FIND("вич",B21,1)),"ж","м"))</f>
        <v>ж</v>
      </c>
      <c r="S21" s="86" t="s">
        <v>2437</v>
      </c>
      <c r="T21" s="86" t="s">
        <v>2321</v>
      </c>
      <c r="U21" s="190" t="s">
        <v>2744</v>
      </c>
      <c r="V21" s="128" t="s">
        <v>135</v>
      </c>
      <c r="W21" s="206"/>
    </row>
    <row r="22" spans="1:39" customHeight="1" ht="22.5">
      <c r="A22" s="86" t="s">
        <v>2745</v>
      </c>
      <c r="B22" s="86" t="s">
        <v>2746</v>
      </c>
      <c r="C22" s="86" t="s">
        <v>2243</v>
      </c>
      <c r="D22" s="86" t="s">
        <v>227</v>
      </c>
      <c r="E22" s="86" t="s">
        <v>618</v>
      </c>
      <c r="F22" s="86" t="s">
        <v>2714</v>
      </c>
      <c r="G22" s="91"/>
      <c r="H22" s="68" t="s">
        <v>2561</v>
      </c>
      <c r="I22" s="303"/>
      <c r="J22" s="234" t="s">
        <v>539</v>
      </c>
      <c r="K22" s="190" t="s">
        <v>2531</v>
      </c>
      <c r="L22" s="92" t="str">
        <f>IF(O22="Постоянный",VLOOKUP(K22,'Включаем не включаем'!$A$1:$B$65536,2,0),"не включаем")</f>
        <v>не включаем</v>
      </c>
      <c r="M22" s="496" t="s">
        <v>2747</v>
      </c>
      <c r="N22" s="92" t="s">
        <v>128</v>
      </c>
      <c r="O22" s="92" t="s">
        <v>528</v>
      </c>
      <c r="P22" s="69">
        <f>DAYS360(M22,F22,TRUE)/30</f>
        <v>19.333333333333</v>
      </c>
      <c r="Q22" s="64" t="str">
        <f>IF(DAYS360(M22,F22,TRUE)&gt;120,"-","увольнение в течении испытательного срока")</f>
        <v>-</v>
      </c>
      <c r="R22" s="64" t="str">
        <f>IF(ISBLANK(B22),"-",IF(ISERROR(FIND("вич",B22,1)),"ж","м"))</f>
        <v>ж</v>
      </c>
      <c r="S22" s="86" t="s">
        <v>2748</v>
      </c>
      <c r="T22" s="86" t="s">
        <v>996</v>
      </c>
      <c r="U22" s="190" t="s">
        <v>2749</v>
      </c>
      <c r="V22" s="66" t="s">
        <v>593</v>
      </c>
      <c r="W22" s="206"/>
    </row>
    <row r="23" spans="1:39" customHeight="1" ht="22.5">
      <c r="A23" s="86" t="s">
        <v>2750</v>
      </c>
      <c r="B23" s="86" t="s">
        <v>2751</v>
      </c>
      <c r="C23" s="86" t="s">
        <v>472</v>
      </c>
      <c r="D23" s="86" t="s">
        <v>1469</v>
      </c>
      <c r="E23" s="86" t="s">
        <v>618</v>
      </c>
      <c r="F23" s="86" t="s">
        <v>2752</v>
      </c>
      <c r="G23" s="91"/>
      <c r="H23" s="68" t="s">
        <v>2561</v>
      </c>
      <c r="I23" s="303"/>
      <c r="J23" s="234" t="s">
        <v>539</v>
      </c>
      <c r="K23" s="190" t="s">
        <v>2529</v>
      </c>
      <c r="L23" s="92" t="str">
        <f>IF(O23="Постоянный",VLOOKUP(K23,'Включаем не включаем'!$A$1:$B$65536,2,0),"не включаем")</f>
        <v>не включаем</v>
      </c>
      <c r="M23" s="496" t="s">
        <v>1581</v>
      </c>
      <c r="N23" s="92" t="s">
        <v>128</v>
      </c>
      <c r="O23" s="92" t="s">
        <v>528</v>
      </c>
      <c r="P23" s="69">
        <f>DAYS360(M23,F23,TRUE)/30</f>
        <v>11.733333333333</v>
      </c>
      <c r="Q23" s="64" t="str">
        <f>IF(DAYS360(M23,F23,TRUE)&gt;120,"-","увольнение в течении испытательного срока")</f>
        <v>-</v>
      </c>
      <c r="R23" s="64" t="str">
        <f>IF(ISBLANK(B23),"-",IF(ISERROR(FIND("вич",B23,1)),"ж","м"))</f>
        <v>м</v>
      </c>
      <c r="S23" s="86" t="s">
        <v>2753</v>
      </c>
      <c r="T23" s="86" t="s">
        <v>996</v>
      </c>
      <c r="U23" s="190" t="s">
        <v>2754</v>
      </c>
      <c r="V23" s="66" t="s">
        <v>182</v>
      </c>
      <c r="W23" s="206"/>
    </row>
    <row r="24" spans="1:39" customHeight="1" ht="22.5">
      <c r="A24" s="86" t="s">
        <v>2755</v>
      </c>
      <c r="B24" s="86" t="s">
        <v>2756</v>
      </c>
      <c r="C24" s="86" t="s">
        <v>2757</v>
      </c>
      <c r="D24" s="86" t="s">
        <v>359</v>
      </c>
      <c r="E24" s="86" t="s">
        <v>618</v>
      </c>
      <c r="F24" s="86" t="s">
        <v>2758</v>
      </c>
      <c r="G24" s="91"/>
      <c r="H24" s="68" t="s">
        <v>2561</v>
      </c>
      <c r="I24" s="303"/>
      <c r="J24" s="234" t="s">
        <v>539</v>
      </c>
      <c r="K24" s="190" t="s">
        <v>2539</v>
      </c>
      <c r="L24" s="92" t="str">
        <f>IF(O24="Постоянный",VLOOKUP(K24,'Включаем не включаем'!$A$1:$B$65536,2,0),"не включаем")</f>
        <v>не включаем</v>
      </c>
      <c r="M24" s="496" t="s">
        <v>2759</v>
      </c>
      <c r="N24" s="92" t="s">
        <v>128</v>
      </c>
      <c r="O24" s="92" t="s">
        <v>528</v>
      </c>
      <c r="P24" s="69">
        <f>DAYS360(M24,F24,TRUE)/30</f>
        <v>2.3333333333333</v>
      </c>
      <c r="Q24" s="64" t="str">
        <f>IF(DAYS360(M24,F24,TRUE)&gt;120,"-","увольнение в течении испытательного срока")</f>
        <v>увольнение в течении испытательного срока</v>
      </c>
      <c r="R24" s="64" t="str">
        <f>IF(ISBLANK(B24),"-",IF(ISERROR(FIND("вич",B24,1)),"ж","м"))</f>
        <v>ж</v>
      </c>
      <c r="S24" s="86" t="s">
        <v>2760</v>
      </c>
      <c r="T24" s="86" t="s">
        <v>613</v>
      </c>
      <c r="U24" s="190" t="s">
        <v>2761</v>
      </c>
      <c r="V24" s="206" t="s">
        <v>280</v>
      </c>
      <c r="W24" s="206"/>
    </row>
    <row r="25" spans="1:39" customHeight="1" ht="22.5">
      <c r="A25" s="86" t="s">
        <v>2762</v>
      </c>
      <c r="B25" s="86" t="s">
        <v>2763</v>
      </c>
      <c r="C25" s="86" t="s">
        <v>504</v>
      </c>
      <c r="D25" s="86" t="s">
        <v>1665</v>
      </c>
      <c r="E25" s="86" t="s">
        <v>618</v>
      </c>
      <c r="F25" s="86" t="s">
        <v>2764</v>
      </c>
      <c r="G25" s="86"/>
      <c r="H25" s="68" t="s">
        <v>2561</v>
      </c>
      <c r="I25" s="303"/>
      <c r="J25" s="234" t="s">
        <v>526</v>
      </c>
      <c r="K25" s="190" t="s">
        <v>2531</v>
      </c>
      <c r="L25" s="234" t="s">
        <v>2628</v>
      </c>
      <c r="M25" s="496" t="s">
        <v>2765</v>
      </c>
      <c r="N25" s="92" t="s">
        <v>128</v>
      </c>
      <c r="O25" s="92" t="s">
        <v>528</v>
      </c>
      <c r="P25" s="69">
        <f>DAYS360(M25,F25,TRUE)/30</f>
        <v>4.6666666666667</v>
      </c>
      <c r="Q25" s="64" t="str">
        <f>IF(DAYS360(M25,F25,TRUE)&gt;120,"-","увольнение в течении испытательного срока")</f>
        <v>-</v>
      </c>
      <c r="R25" s="64" t="str">
        <f>IF(ISBLANK(B25),"-",IF(ISERROR(FIND("вич",B25,1)),"ж","м"))</f>
        <v>м</v>
      </c>
      <c r="S25" s="86" t="s">
        <v>2766</v>
      </c>
      <c r="T25" s="86" t="s">
        <v>2321</v>
      </c>
      <c r="U25" s="190" t="s">
        <v>2767</v>
      </c>
      <c r="V25" s="60" t="s">
        <v>135</v>
      </c>
      <c r="W25" s="206"/>
    </row>
    <row r="26" spans="1:39" customHeight="1" ht="22.5">
      <c r="A26" s="86" t="s">
        <v>2768</v>
      </c>
      <c r="B26" s="86" t="s">
        <v>2769</v>
      </c>
      <c r="C26" s="86" t="s">
        <v>504</v>
      </c>
      <c r="D26" s="86" t="s">
        <v>1665</v>
      </c>
      <c r="E26" s="86" t="s">
        <v>618</v>
      </c>
      <c r="F26" s="86" t="s">
        <v>1827</v>
      </c>
      <c r="G26" s="86"/>
      <c r="H26" s="68" t="s">
        <v>2561</v>
      </c>
      <c r="I26" s="303"/>
      <c r="J26" s="234" t="s">
        <v>526</v>
      </c>
      <c r="K26" s="190" t="s">
        <v>2531</v>
      </c>
      <c r="L26" s="234" t="s">
        <v>2628</v>
      </c>
      <c r="M26" s="496" t="s">
        <v>2770</v>
      </c>
      <c r="N26" s="92" t="s">
        <v>128</v>
      </c>
      <c r="O26" s="92" t="s">
        <v>528</v>
      </c>
      <c r="P26" s="69">
        <f>DAYS360(M26,F26,TRUE)/30</f>
        <v>2.9333333333333</v>
      </c>
      <c r="Q26" s="64" t="str">
        <f>IF(DAYS360(M26,F26,TRUE)&gt;120,"-","увольнение в течении испытательного срока")</f>
        <v>увольнение в течении испытательного срока</v>
      </c>
      <c r="R26" s="64" t="str">
        <f>IF(ISBLANK(B26),"-",IF(ISERROR(FIND("вич",B26,1)),"ж","м"))</f>
        <v>м</v>
      </c>
      <c r="S26" s="86" t="s">
        <v>2771</v>
      </c>
      <c r="T26" s="86" t="s">
        <v>2321</v>
      </c>
      <c r="U26" s="190" t="s">
        <v>2767</v>
      </c>
      <c r="V26" s="60" t="s">
        <v>135</v>
      </c>
      <c r="W26" s="206"/>
    </row>
    <row r="27" spans="1:39" customHeight="1" ht="22.5">
      <c r="A27" s="86" t="s">
        <v>2772</v>
      </c>
      <c r="B27" s="86" t="s">
        <v>2773</v>
      </c>
      <c r="C27" s="86" t="s">
        <v>422</v>
      </c>
      <c r="D27" s="86" t="s">
        <v>1665</v>
      </c>
      <c r="E27" s="86" t="s">
        <v>618</v>
      </c>
      <c r="F27" s="86" t="s">
        <v>2336</v>
      </c>
      <c r="G27" s="91"/>
      <c r="H27" s="68" t="s">
        <v>2561</v>
      </c>
      <c r="I27" s="303"/>
      <c r="J27" s="234" t="s">
        <v>539</v>
      </c>
      <c r="K27" s="190" t="s">
        <v>2541</v>
      </c>
      <c r="L27" s="234" t="s">
        <v>2628</v>
      </c>
      <c r="M27" s="496" t="s">
        <v>1157</v>
      </c>
      <c r="N27" s="92" t="s">
        <v>128</v>
      </c>
      <c r="O27" s="92" t="s">
        <v>528</v>
      </c>
      <c r="P27" s="69">
        <f>DAYS360(M27,F27,TRUE)/30</f>
        <v>3.8</v>
      </c>
      <c r="Q27" s="64" t="str">
        <f>IF(DAYS360(M27,F27,TRUE)&gt;120,"-","увольнение в течении испытательного срока")</f>
        <v>увольнение в течении испытательного срока</v>
      </c>
      <c r="R27" s="64" t="str">
        <f>IF(ISBLANK(B27),"-",IF(ISERROR(FIND("вич",B27,1)),"ж","м"))</f>
        <v>м</v>
      </c>
      <c r="S27" s="86" t="s">
        <v>2774</v>
      </c>
      <c r="T27" s="86" t="s">
        <v>996</v>
      </c>
      <c r="U27" s="190" t="s">
        <v>2767</v>
      </c>
      <c r="V27" s="189" t="s">
        <v>130</v>
      </c>
      <c r="W27" s="206"/>
    </row>
    <row r="28" spans="1:39" customHeight="1" ht="33.75">
      <c r="A28" s="86" t="s">
        <v>2775</v>
      </c>
      <c r="B28" s="86" t="s">
        <v>2776</v>
      </c>
      <c r="C28" s="86" t="s">
        <v>494</v>
      </c>
      <c r="D28" s="86" t="s">
        <v>1613</v>
      </c>
      <c r="E28" s="86" t="s">
        <v>618</v>
      </c>
      <c r="F28" s="86" t="s">
        <v>2758</v>
      </c>
      <c r="G28" s="91"/>
      <c r="H28" s="68" t="s">
        <v>2561</v>
      </c>
      <c r="I28" s="303"/>
      <c r="J28" s="234" t="s">
        <v>539</v>
      </c>
      <c r="K28" s="190" t="s">
        <v>2531</v>
      </c>
      <c r="L28" s="92" t="str">
        <f>IF(O28="Постоянный",VLOOKUP(K28,'Включаем не включаем'!$A$1:$B$65536,2,0),"не включаем")</f>
        <v>не включаем</v>
      </c>
      <c r="M28" s="496" t="s">
        <v>625</v>
      </c>
      <c r="N28" s="92" t="s">
        <v>128</v>
      </c>
      <c r="O28" s="92" t="s">
        <v>528</v>
      </c>
      <c r="P28" s="69">
        <f>DAYS360(M28,F28,TRUE)/30</f>
        <v>31.333333333333</v>
      </c>
      <c r="Q28" s="64" t="str">
        <f>IF(DAYS360(M28,F28,TRUE)&gt;120,"-","увольнение в течении испытательного срока")</f>
        <v>-</v>
      </c>
      <c r="R28" s="64" t="str">
        <f>IF(ISBLANK(B28),"-",IF(ISERROR(FIND("вич",B28,1)),"ж","м"))</f>
        <v>м</v>
      </c>
      <c r="S28" s="86" t="s">
        <v>2777</v>
      </c>
      <c r="T28" s="86" t="s">
        <v>996</v>
      </c>
      <c r="U28" s="190" t="s">
        <v>2778</v>
      </c>
      <c r="V28" s="206" t="s">
        <v>592</v>
      </c>
      <c r="W28" s="206"/>
    </row>
    <row r="29" spans="1:39" customHeight="1" ht="33.75">
      <c r="A29" s="86" t="s">
        <v>2779</v>
      </c>
      <c r="B29" s="86" t="s">
        <v>2780</v>
      </c>
      <c r="C29" s="86" t="s">
        <v>251</v>
      </c>
      <c r="D29" s="86" t="s">
        <v>254</v>
      </c>
      <c r="E29" s="86" t="s">
        <v>618</v>
      </c>
      <c r="F29" s="86" t="s">
        <v>2454</v>
      </c>
      <c r="G29" s="91"/>
      <c r="H29" s="68" t="s">
        <v>2561</v>
      </c>
      <c r="I29" s="303"/>
      <c r="J29" s="234" t="s">
        <v>539</v>
      </c>
      <c r="K29" s="190" t="s">
        <v>2530</v>
      </c>
      <c r="L29" s="92" t="str">
        <f>IF(O29="Постоянный",VLOOKUP(K29,'Включаем не включаем'!$A$1:$B$65536,2,0),"не включаем")</f>
        <v>не включаем</v>
      </c>
      <c r="M29" s="496" t="s">
        <v>2781</v>
      </c>
      <c r="N29" s="92" t="s">
        <v>128</v>
      </c>
      <c r="O29" s="92" t="s">
        <v>528</v>
      </c>
      <c r="P29" s="69">
        <f>DAYS360(M29,F29,TRUE)/30</f>
        <v>6.6666666666667</v>
      </c>
      <c r="Q29" s="64" t="str">
        <f>IF(DAYS360(M29,F29,TRUE)&gt;120,"-","увольнение в течении испытательного срока")</f>
        <v>-</v>
      </c>
      <c r="R29" s="64" t="str">
        <f>IF(ISBLANK(B29),"-",IF(ISERROR(FIND("вич",B29,1)),"ж","м"))</f>
        <v>м</v>
      </c>
      <c r="S29" s="86" t="s">
        <v>2782</v>
      </c>
      <c r="T29" s="86" t="s">
        <v>996</v>
      </c>
      <c r="U29" s="190" t="s">
        <v>2783</v>
      </c>
      <c r="V29" s="189" t="s">
        <v>176</v>
      </c>
      <c r="W29" s="206"/>
    </row>
    <row r="30" spans="1:39" customHeight="1" ht="22.5">
      <c r="A30" s="86" t="s">
        <v>2784</v>
      </c>
      <c r="B30" s="86" t="s">
        <v>2785</v>
      </c>
      <c r="C30" s="86" t="s">
        <v>1303</v>
      </c>
      <c r="D30" s="86" t="s">
        <v>1304</v>
      </c>
      <c r="E30" s="86" t="s">
        <v>618</v>
      </c>
      <c r="F30" s="86" t="s">
        <v>2731</v>
      </c>
      <c r="G30" s="91"/>
      <c r="H30" s="68" t="s">
        <v>2561</v>
      </c>
      <c r="I30" s="303"/>
      <c r="J30" s="234" t="s">
        <v>539</v>
      </c>
      <c r="K30" s="190" t="s">
        <v>2529</v>
      </c>
      <c r="L30" s="92" t="str">
        <f>IF(O30="Постоянный",VLOOKUP(K30,'Включаем не включаем'!$A$1:$B$65536,2,0),"не включаем")</f>
        <v>не включаем</v>
      </c>
      <c r="M30" s="86" t="s">
        <v>2786</v>
      </c>
      <c r="N30" s="92" t="s">
        <v>128</v>
      </c>
      <c r="O30" s="92" t="s">
        <v>528</v>
      </c>
      <c r="P30" s="69">
        <f>DAYS360(M30,F30,TRUE)/30</f>
        <v>22.366666666667</v>
      </c>
      <c r="Q30" s="64" t="str">
        <f>IF(DAYS360(M30,F30,TRUE)&gt;120,"-","увольнение в течении испытательного срока")</f>
        <v>-</v>
      </c>
      <c r="R30" s="64" t="str">
        <f>IF(ISBLANK(B30),"-",IF(ISERROR(FIND("вич",B30,1)),"ж","м"))</f>
        <v>ж</v>
      </c>
      <c r="S30" s="86" t="s">
        <v>2787</v>
      </c>
      <c r="T30" s="86" t="s">
        <v>996</v>
      </c>
      <c r="U30" s="190" t="s">
        <v>2788</v>
      </c>
      <c r="V30" s="206" t="s">
        <v>592</v>
      </c>
      <c r="W30" s="206"/>
    </row>
    <row r="31" spans="1:39" customHeight="1" ht="22.5">
      <c r="A31" s="86" t="s">
        <v>2789</v>
      </c>
      <c r="B31" s="86" t="s">
        <v>2790</v>
      </c>
      <c r="C31" s="86" t="s">
        <v>1280</v>
      </c>
      <c r="D31" s="86" t="s">
        <v>2791</v>
      </c>
      <c r="E31" s="86" t="s">
        <v>618</v>
      </c>
      <c r="F31" s="86" t="s">
        <v>2752</v>
      </c>
      <c r="G31" s="91"/>
      <c r="H31" s="68" t="s">
        <v>2561</v>
      </c>
      <c r="I31" s="303"/>
      <c r="J31" s="234" t="s">
        <v>539</v>
      </c>
      <c r="K31" s="190" t="s">
        <v>2531</v>
      </c>
      <c r="L31" s="92" t="str">
        <f>IF(O31="Постоянный",VLOOKUP(K31,'Включаем не включаем'!$A$1:$B$65536,2,0),"не включаем")</f>
        <v>не включаем</v>
      </c>
      <c r="M31" s="86" t="s">
        <v>2792</v>
      </c>
      <c r="N31" s="92" t="s">
        <v>128</v>
      </c>
      <c r="O31" s="92" t="s">
        <v>528</v>
      </c>
      <c r="P31" s="69">
        <f>DAYS360(M31,F31,TRUE)/30</f>
        <v>20.4</v>
      </c>
      <c r="Q31" s="64" t="str">
        <f>IF(DAYS360(M31,F31,TRUE)&gt;120,"-","увольнение в течении испытательного срока")</f>
        <v>-</v>
      </c>
      <c r="R31" s="64" t="str">
        <f>IF(ISBLANK(B31),"-",IF(ISERROR(FIND("вич",B31,1)),"ж","м"))</f>
        <v>м</v>
      </c>
      <c r="S31" s="86" t="s">
        <v>2793</v>
      </c>
      <c r="T31" s="86" t="s">
        <v>996</v>
      </c>
      <c r="U31" s="190" t="s">
        <v>2788</v>
      </c>
      <c r="V31" s="206" t="s">
        <v>592</v>
      </c>
      <c r="W31" s="206"/>
    </row>
    <row r="32" spans="1:39" customHeight="1" ht="33.75">
      <c r="A32" s="86" t="s">
        <v>2794</v>
      </c>
      <c r="B32" s="86" t="s">
        <v>2795</v>
      </c>
      <c r="C32" s="86" t="s">
        <v>1720</v>
      </c>
      <c r="D32" s="86" t="s">
        <v>2796</v>
      </c>
      <c r="E32" s="86" t="s">
        <v>618</v>
      </c>
      <c r="F32" s="86" t="s">
        <v>2752</v>
      </c>
      <c r="G32" s="91"/>
      <c r="H32" s="68" t="s">
        <v>2561</v>
      </c>
      <c r="I32" s="303"/>
      <c r="J32" s="234" t="s">
        <v>539</v>
      </c>
      <c r="K32" s="190" t="s">
        <v>2531</v>
      </c>
      <c r="L32" s="234" t="s">
        <v>2628</v>
      </c>
      <c r="M32" s="86" t="s">
        <v>2797</v>
      </c>
      <c r="N32" s="92" t="s">
        <v>128</v>
      </c>
      <c r="O32" s="92" t="s">
        <v>528</v>
      </c>
      <c r="P32" s="69">
        <f>DAYS360(M32,F32,TRUE)/30</f>
        <v>12.133333333333</v>
      </c>
      <c r="Q32" s="64" t="str">
        <f>IF(DAYS360(M32,F32,TRUE)&gt;120,"-","увольнение в течении испытательного срока")</f>
        <v>-</v>
      </c>
      <c r="R32" s="64" t="str">
        <f>IF(ISBLANK(B32),"-",IF(ISERROR(FIND("вич",B32,1)),"ж","м"))</f>
        <v>м</v>
      </c>
      <c r="S32" s="86" t="s">
        <v>2798</v>
      </c>
      <c r="T32" s="86" t="s">
        <v>996</v>
      </c>
      <c r="U32" s="190" t="s">
        <v>2799</v>
      </c>
      <c r="V32" s="206" t="s">
        <v>402</v>
      </c>
      <c r="W32" s="206"/>
    </row>
    <row r="33" spans="1:39" customHeight="1" ht="22.5">
      <c r="A33" s="702" t="s">
        <v>2800</v>
      </c>
      <c r="B33" s="702" t="s">
        <v>2801</v>
      </c>
      <c r="C33" s="702" t="s">
        <v>1996</v>
      </c>
      <c r="D33" s="702" t="s">
        <v>492</v>
      </c>
      <c r="E33" s="702" t="s">
        <v>618</v>
      </c>
      <c r="F33" s="702" t="s">
        <v>1113</v>
      </c>
      <c r="G33" s="91"/>
      <c r="H33" s="68" t="s">
        <v>2561</v>
      </c>
      <c r="I33" s="303"/>
      <c r="J33" s="234" t="s">
        <v>551</v>
      </c>
      <c r="K33" s="190" t="s">
        <v>2540</v>
      </c>
      <c r="L33" s="234" t="s">
        <v>2628</v>
      </c>
      <c r="M33" s="702" t="s">
        <v>2698</v>
      </c>
      <c r="N33" s="92" t="s">
        <v>128</v>
      </c>
      <c r="O33" s="92" t="s">
        <v>528</v>
      </c>
      <c r="P33" s="69">
        <f>DAYS360(M33,F33,TRUE)/30</f>
        <v>20.033333333333</v>
      </c>
      <c r="Q33" s="64" t="str">
        <f>IF(DAYS360(M33,F33,TRUE)&gt;120,"-","увольнение в течении испытательного срока")</f>
        <v>-</v>
      </c>
      <c r="R33" s="64" t="str">
        <f>IF(ISBLANK(B33),"-",IF(ISERROR(FIND("вич",B33,1)),"ж","м"))</f>
        <v>м</v>
      </c>
      <c r="S33" s="702" t="s">
        <v>1178</v>
      </c>
      <c r="T33" s="702" t="s">
        <v>996</v>
      </c>
      <c r="U33" s="190" t="s">
        <v>2802</v>
      </c>
      <c r="V33" s="29" t="s">
        <v>226</v>
      </c>
      <c r="W33" s="206"/>
    </row>
    <row r="34" spans="1:39" customHeight="1" ht="33.75">
      <c r="A34" s="702" t="s">
        <v>2803</v>
      </c>
      <c r="B34" s="702" t="s">
        <v>2804</v>
      </c>
      <c r="C34" s="702" t="s">
        <v>1386</v>
      </c>
      <c r="D34" s="702" t="s">
        <v>256</v>
      </c>
      <c r="E34" s="702" t="s">
        <v>618</v>
      </c>
      <c r="F34" s="702" t="s">
        <v>2805</v>
      </c>
      <c r="G34" s="91"/>
      <c r="H34" s="68" t="s">
        <v>2561</v>
      </c>
      <c r="I34" s="303"/>
      <c r="J34" s="234" t="s">
        <v>551</v>
      </c>
      <c r="K34" s="190" t="s">
        <v>2539</v>
      </c>
      <c r="L34" s="234" t="s">
        <v>2628</v>
      </c>
      <c r="M34" s="702" t="s">
        <v>2747</v>
      </c>
      <c r="N34" s="92" t="s">
        <v>128</v>
      </c>
      <c r="O34" s="92" t="s">
        <v>528</v>
      </c>
      <c r="P34" s="69">
        <f>DAYS360(M34,F34,TRUE)/30</f>
        <v>21.066666666667</v>
      </c>
      <c r="Q34" s="64" t="str">
        <f>IF(DAYS360(M34,F34,TRUE)&gt;120,"-","увольнение в течении испытательного срока")</f>
        <v>-</v>
      </c>
      <c r="R34" s="64" t="str">
        <f>IF(ISBLANK(B34),"-",IF(ISERROR(FIND("вич",B34,1)),"ж","м"))</f>
        <v>ж</v>
      </c>
      <c r="S34" s="702" t="s">
        <v>2806</v>
      </c>
      <c r="T34" s="702" t="s">
        <v>996</v>
      </c>
      <c r="U34" s="190" t="s">
        <v>2684</v>
      </c>
      <c r="V34" s="29" t="s">
        <v>560</v>
      </c>
      <c r="W34" s="206"/>
    </row>
    <row r="35" spans="1:39" customHeight="1" ht="22.5">
      <c r="A35" s="702" t="s">
        <v>2807</v>
      </c>
      <c r="B35" s="702" t="s">
        <v>2808</v>
      </c>
      <c r="C35" s="702" t="s">
        <v>1746</v>
      </c>
      <c r="D35" s="702" t="s">
        <v>1747</v>
      </c>
      <c r="E35" s="702" t="s">
        <v>618</v>
      </c>
      <c r="F35" s="702" t="s">
        <v>2809</v>
      </c>
      <c r="G35" s="91"/>
      <c r="H35" s="68" t="s">
        <v>2561</v>
      </c>
      <c r="I35" s="303"/>
      <c r="J35" s="234" t="s">
        <v>551</v>
      </c>
      <c r="K35" s="190" t="s">
        <v>2533</v>
      </c>
      <c r="L35" s="92" t="str">
        <f>IF(O35="Постоянный",VLOOKUP(K35,'Включаем не включаем'!$A$1:$B$65536,2,0),"не включаем")</f>
        <v>не включаем</v>
      </c>
      <c r="M35" s="702" t="s">
        <v>2810</v>
      </c>
      <c r="N35" s="92" t="s">
        <v>128</v>
      </c>
      <c r="O35" s="92" t="s">
        <v>528</v>
      </c>
      <c r="P35" s="69">
        <f>DAYS360(M35,F35,TRUE)/30</f>
        <v>32.333333333333</v>
      </c>
      <c r="Q35" s="64" t="str">
        <f>IF(DAYS360(M35,F35,TRUE)&gt;120,"-","увольнение в течении испытательного срока")</f>
        <v>-</v>
      </c>
      <c r="R35" s="64" t="str">
        <f>IF(ISBLANK(B35),"-",IF(ISERROR(FIND("вич",B35,1)),"ж","м"))</f>
        <v>ж</v>
      </c>
      <c r="S35" s="702" t="s">
        <v>2811</v>
      </c>
      <c r="T35" s="702" t="s">
        <v>996</v>
      </c>
      <c r="U35" s="190" t="s">
        <v>2812</v>
      </c>
      <c r="V35" s="29" t="s">
        <v>402</v>
      </c>
      <c r="W35" s="206"/>
    </row>
    <row r="36" spans="1:39" customHeight="1" ht="22.5">
      <c r="A36" s="702" t="s">
        <v>2813</v>
      </c>
      <c r="B36" s="702" t="s">
        <v>2814</v>
      </c>
      <c r="C36" s="702" t="s">
        <v>216</v>
      </c>
      <c r="D36" s="702" t="s">
        <v>223</v>
      </c>
      <c r="E36" s="702" t="s">
        <v>618</v>
      </c>
      <c r="F36" s="702" t="s">
        <v>2815</v>
      </c>
      <c r="G36" s="91"/>
      <c r="H36" s="68" t="s">
        <v>2561</v>
      </c>
      <c r="I36" s="303"/>
      <c r="J36" s="234" t="s">
        <v>551</v>
      </c>
      <c r="K36" s="190" t="s">
        <v>2539</v>
      </c>
      <c r="L36" s="234" t="s">
        <v>2628</v>
      </c>
      <c r="M36" s="702" t="s">
        <v>697</v>
      </c>
      <c r="N36" s="92" t="s">
        <v>128</v>
      </c>
      <c r="O36" s="92" t="s">
        <v>528</v>
      </c>
      <c r="P36" s="69">
        <f>DAYS360(M36,F36,TRUE)/30</f>
        <v>6.7333333333333</v>
      </c>
      <c r="Q36" s="64" t="str">
        <f>IF(DAYS360(M36,F36,TRUE)&gt;120,"-","увольнение в течении испытательного срока")</f>
        <v>-</v>
      </c>
      <c r="R36" s="64" t="str">
        <f>IF(ISBLANK(B36),"-",IF(ISERROR(FIND("вич",B36,1)),"ж","м"))</f>
        <v>м</v>
      </c>
      <c r="S36" s="702" t="s">
        <v>2816</v>
      </c>
      <c r="T36" s="702" t="s">
        <v>996</v>
      </c>
      <c r="U36" s="190" t="s">
        <v>2817</v>
      </c>
      <c r="V36" s="29" t="s">
        <v>219</v>
      </c>
      <c r="W36" s="206"/>
    </row>
    <row r="37" spans="1:39" customHeight="1" ht="22.5">
      <c r="A37" s="702" t="s">
        <v>2818</v>
      </c>
      <c r="B37" s="702" t="s">
        <v>2819</v>
      </c>
      <c r="C37" s="702" t="s">
        <v>489</v>
      </c>
      <c r="D37" s="702" t="s">
        <v>370</v>
      </c>
      <c r="E37" s="702" t="s">
        <v>618</v>
      </c>
      <c r="F37" s="702" t="s">
        <v>2815</v>
      </c>
      <c r="G37" s="91"/>
      <c r="H37" s="68" t="s">
        <v>2561</v>
      </c>
      <c r="I37" s="303"/>
      <c r="J37" s="234" t="s">
        <v>551</v>
      </c>
      <c r="K37" s="190" t="s">
        <v>2539</v>
      </c>
      <c r="L37" s="234" t="s">
        <v>2628</v>
      </c>
      <c r="M37" s="702" t="s">
        <v>2820</v>
      </c>
      <c r="N37" s="92" t="s">
        <v>128</v>
      </c>
      <c r="O37" s="92" t="s">
        <v>528</v>
      </c>
      <c r="P37" s="69">
        <f>DAYS360(M37,F37,TRUE)/30</f>
        <v>17.7</v>
      </c>
      <c r="Q37" s="64" t="str">
        <f>IF(DAYS360(M37,F37,TRUE)&gt;120,"-","увольнение в течении испытательного срока")</f>
        <v>-</v>
      </c>
      <c r="R37" s="64" t="str">
        <f>IF(ISBLANK(B37),"-",IF(ISERROR(FIND("вич",B37,1)),"ж","м"))</f>
        <v>м</v>
      </c>
      <c r="S37" s="702" t="s">
        <v>2821</v>
      </c>
      <c r="T37" s="702" t="s">
        <v>996</v>
      </c>
      <c r="U37" s="190" t="s">
        <v>2822</v>
      </c>
      <c r="V37" s="29" t="s">
        <v>226</v>
      </c>
      <c r="W37" s="206"/>
    </row>
    <row r="38" spans="1:39" customHeight="1" ht="22.5">
      <c r="A38" s="702" t="s">
        <v>2823</v>
      </c>
      <c r="B38" s="702" t="s">
        <v>2824</v>
      </c>
      <c r="C38" s="702" t="s">
        <v>391</v>
      </c>
      <c r="D38" s="702" t="s">
        <v>1034</v>
      </c>
      <c r="E38" s="702" t="s">
        <v>618</v>
      </c>
      <c r="F38" s="702" t="s">
        <v>2815</v>
      </c>
      <c r="G38" s="91"/>
      <c r="H38" s="68" t="s">
        <v>2561</v>
      </c>
      <c r="I38" s="303"/>
      <c r="J38" s="234" t="s">
        <v>551</v>
      </c>
      <c r="K38" s="190" t="s">
        <v>2539</v>
      </c>
      <c r="L38" s="92" t="str">
        <f>IF(O38="Постоянный",VLOOKUP(K38,'Включаем не включаем'!$A$1:$B$65536,2,0),"не включаем")</f>
        <v>не включаем</v>
      </c>
      <c r="M38" s="702" t="s">
        <v>1697</v>
      </c>
      <c r="N38" s="92" t="s">
        <v>128</v>
      </c>
      <c r="O38" s="92" t="s">
        <v>528</v>
      </c>
      <c r="P38" s="69">
        <f>DAYS360(M38,F38,TRUE)/30</f>
        <v>58.833333333333</v>
      </c>
      <c r="Q38" s="64" t="str">
        <f>IF(DAYS360(M38,F38,TRUE)&gt;120,"-","увольнение в течении испытательного срока")</f>
        <v>-</v>
      </c>
      <c r="R38" s="64" t="str">
        <f>IF(ISBLANK(B38),"-",IF(ISERROR(FIND("вич",B38,1)),"ж","м"))</f>
        <v>м</v>
      </c>
      <c r="S38" s="702" t="s">
        <v>2825</v>
      </c>
      <c r="T38" s="702" t="s">
        <v>996</v>
      </c>
      <c r="U38" s="190" t="s">
        <v>2826</v>
      </c>
      <c r="V38" s="29" t="s">
        <v>250</v>
      </c>
      <c r="W38" s="206"/>
    </row>
    <row r="39" spans="1:39" customHeight="1" ht="22.5">
      <c r="A39" s="702" t="s">
        <v>2827</v>
      </c>
      <c r="B39" s="702" t="s">
        <v>2828</v>
      </c>
      <c r="C39" s="702" t="s">
        <v>412</v>
      </c>
      <c r="D39" s="702" t="s">
        <v>481</v>
      </c>
      <c r="E39" s="702" t="s">
        <v>618</v>
      </c>
      <c r="F39" s="702" t="s">
        <v>2829</v>
      </c>
      <c r="G39" s="91"/>
      <c r="H39" s="68" t="s">
        <v>2561</v>
      </c>
      <c r="I39" s="303"/>
      <c r="J39" s="234" t="s">
        <v>551</v>
      </c>
      <c r="K39" s="190" t="s">
        <v>2537</v>
      </c>
      <c r="L39" s="234" t="s">
        <v>2628</v>
      </c>
      <c r="M39" s="702" t="s">
        <v>2830</v>
      </c>
      <c r="N39" s="92" t="s">
        <v>128</v>
      </c>
      <c r="O39" s="92" t="s">
        <v>528</v>
      </c>
      <c r="P39" s="69">
        <f>DAYS360(M39,F39,TRUE)/30</f>
        <v>16.633333333333</v>
      </c>
      <c r="Q39" s="64" t="str">
        <f>IF(DAYS360(M39,F39,TRUE)&gt;120,"-","увольнение в течении испытательного срока")</f>
        <v>-</v>
      </c>
      <c r="R39" s="64" t="str">
        <f>IF(ISBLANK(B39),"-",IF(ISERROR(FIND("вич",B39,1)),"ж","м"))</f>
        <v>ж</v>
      </c>
      <c r="S39" s="702" t="s">
        <v>2831</v>
      </c>
      <c r="T39" s="702" t="s">
        <v>996</v>
      </c>
      <c r="U39" s="190" t="s">
        <v>2832</v>
      </c>
      <c r="V39" s="29" t="s">
        <v>560</v>
      </c>
      <c r="W39" s="206"/>
    </row>
    <row r="40" spans="1:39" customHeight="1" ht="22.5">
      <c r="A40" s="702" t="s">
        <v>2833</v>
      </c>
      <c r="B40" s="702" t="s">
        <v>2834</v>
      </c>
      <c r="C40" s="702" t="s">
        <v>1812</v>
      </c>
      <c r="D40" s="702" t="s">
        <v>1870</v>
      </c>
      <c r="E40" s="702" t="s">
        <v>618</v>
      </c>
      <c r="F40" s="702" t="s">
        <v>2829</v>
      </c>
      <c r="G40" s="91"/>
      <c r="H40" s="68" t="s">
        <v>2561</v>
      </c>
      <c r="I40" s="303"/>
      <c r="J40" s="234" t="s">
        <v>551</v>
      </c>
      <c r="K40" s="190" t="s">
        <v>2530</v>
      </c>
      <c r="L40" s="92" t="str">
        <f>IF(O40="Постоянный",VLOOKUP(K40,'Включаем не включаем'!$A$1:$B$65536,2,0),"не включаем")</f>
        <v>не включаем</v>
      </c>
      <c r="M40" s="702" t="s">
        <v>784</v>
      </c>
      <c r="N40" s="92" t="s">
        <v>128</v>
      </c>
      <c r="O40" s="92" t="s">
        <v>528</v>
      </c>
      <c r="P40" s="69">
        <f>DAYS360(M40,F40,TRUE)/30</f>
        <v>6.3333333333333</v>
      </c>
      <c r="Q40" s="64" t="str">
        <f>IF(DAYS360(M40,F40,TRUE)&gt;120,"-","увольнение в течении испытательного срока")</f>
        <v>-</v>
      </c>
      <c r="R40" s="64" t="str">
        <f>IF(ISBLANK(B40),"-",IF(ISERROR(FIND("вич",B40,1)),"ж","м"))</f>
        <v>м</v>
      </c>
      <c r="S40" s="702" t="s">
        <v>2835</v>
      </c>
      <c r="T40" s="702" t="s">
        <v>996</v>
      </c>
      <c r="U40" s="190" t="s">
        <v>2836</v>
      </c>
      <c r="V40" s="29" t="s">
        <v>226</v>
      </c>
      <c r="W40" s="206"/>
    </row>
    <row r="41" spans="1:39" customHeight="1" ht="22.5">
      <c r="A41" s="702" t="s">
        <v>2837</v>
      </c>
      <c r="B41" s="702" t="s">
        <v>2838</v>
      </c>
      <c r="C41" s="702" t="s">
        <v>180</v>
      </c>
      <c r="D41" s="702" t="s">
        <v>2303</v>
      </c>
      <c r="E41" s="702" t="s">
        <v>618</v>
      </c>
      <c r="F41" s="702" t="s">
        <v>1868</v>
      </c>
      <c r="G41" s="91"/>
      <c r="H41" s="68" t="s">
        <v>2561</v>
      </c>
      <c r="I41" s="303"/>
      <c r="J41" s="234" t="s">
        <v>551</v>
      </c>
      <c r="K41" s="190" t="s">
        <v>2531</v>
      </c>
      <c r="L41" s="92" t="str">
        <f>IF(O41="Постоянный",VLOOKUP(K41,'Включаем не включаем'!$A$1:$B$65536,2,0),"не включаем")</f>
        <v>не включаем</v>
      </c>
      <c r="M41" s="702" t="s">
        <v>2839</v>
      </c>
      <c r="N41" s="92" t="s">
        <v>128</v>
      </c>
      <c r="O41" s="92" t="s">
        <v>528</v>
      </c>
      <c r="P41" s="69">
        <f>DAYS360(M41,F41,TRUE)/30</f>
        <v>43.533333333333</v>
      </c>
      <c r="Q41" s="64" t="str">
        <f>IF(DAYS360(M41,F41,TRUE)&gt;120,"-","увольнение в течении испытательного срока")</f>
        <v>-</v>
      </c>
      <c r="R41" s="64" t="str">
        <f>IF(ISBLANK(B41),"-",IF(ISERROR(FIND("вич",B41,1)),"ж","м"))</f>
        <v>ж</v>
      </c>
      <c r="S41" s="702" t="s">
        <v>2840</v>
      </c>
      <c r="T41" s="702" t="s">
        <v>996</v>
      </c>
      <c r="U41" s="190" t="s">
        <v>2841</v>
      </c>
      <c r="V41" s="29" t="s">
        <v>182</v>
      </c>
      <c r="W41" s="206"/>
    </row>
    <row r="42" spans="1:39" customHeight="1" ht="22.5">
      <c r="A42" s="702" t="s">
        <v>2842</v>
      </c>
      <c r="B42" s="704" t="s">
        <v>2843</v>
      </c>
      <c r="C42" s="702" t="s">
        <v>429</v>
      </c>
      <c r="D42" s="702" t="s">
        <v>1025</v>
      </c>
      <c r="E42" s="702" t="s">
        <v>618</v>
      </c>
      <c r="F42" s="702" t="s">
        <v>2844</v>
      </c>
      <c r="G42" s="91"/>
      <c r="H42" s="68" t="s">
        <v>2561</v>
      </c>
      <c r="I42" s="303"/>
      <c r="J42" s="234" t="s">
        <v>551</v>
      </c>
      <c r="K42" s="190" t="s">
        <v>2529</v>
      </c>
      <c r="L42" s="234" t="s">
        <v>2845</v>
      </c>
      <c r="M42" s="702" t="s">
        <v>2846</v>
      </c>
      <c r="N42" s="92" t="s">
        <v>128</v>
      </c>
      <c r="O42" s="92" t="s">
        <v>528</v>
      </c>
      <c r="P42" s="69">
        <f>DAYS360(M42,F42,TRUE)/30</f>
        <v>8.2</v>
      </c>
      <c r="Q42" s="64" t="str">
        <f>IF(DAYS360(M42,F42,TRUE)&gt;120,"-","увольнение в течении испытательного срока")</f>
        <v>-</v>
      </c>
      <c r="R42" s="64" t="str">
        <f>IF(ISBLANK(B42),"-",IF(ISERROR(FIND("вич",B42,1)),"ж","м"))</f>
        <v>ж</v>
      </c>
      <c r="S42" s="702" t="s">
        <v>2847</v>
      </c>
      <c r="T42" s="702" t="s">
        <v>996</v>
      </c>
      <c r="U42" s="190" t="s">
        <v>2848</v>
      </c>
      <c r="V42" s="29" t="s">
        <v>349</v>
      </c>
      <c r="W42" s="206"/>
    </row>
    <row r="43" spans="1:39" customHeight="1" ht="33.75">
      <c r="A43" s="702" t="s">
        <v>2849</v>
      </c>
      <c r="B43" s="702" t="s">
        <v>2850</v>
      </c>
      <c r="C43" s="702" t="s">
        <v>180</v>
      </c>
      <c r="D43" s="702" t="s">
        <v>2851</v>
      </c>
      <c r="E43" s="702" t="s">
        <v>618</v>
      </c>
      <c r="F43" s="702" t="s">
        <v>2852</v>
      </c>
      <c r="G43" s="91"/>
      <c r="H43" s="68" t="s">
        <v>2561</v>
      </c>
      <c r="I43" s="303"/>
      <c r="J43" s="234" t="s">
        <v>551</v>
      </c>
      <c r="K43" s="190" t="s">
        <v>2529</v>
      </c>
      <c r="L43" s="234" t="s">
        <v>2628</v>
      </c>
      <c r="M43" s="702" t="s">
        <v>1374</v>
      </c>
      <c r="N43" s="92" t="s">
        <v>128</v>
      </c>
      <c r="O43" s="92" t="s">
        <v>528</v>
      </c>
      <c r="P43" s="69">
        <f>DAYS360(M43,F43,TRUE)/30</f>
        <v>5.1333333333333</v>
      </c>
      <c r="Q43" s="64" t="str">
        <f>IF(DAYS360(M43,F43,TRUE)&gt;120,"-","увольнение в течении испытательного срока")</f>
        <v>-</v>
      </c>
      <c r="R43" s="64" t="str">
        <f>IF(ISBLANK(B43),"-",IF(ISERROR(FIND("вич",B43,1)),"ж","м"))</f>
        <v>м</v>
      </c>
      <c r="S43" s="702" t="s">
        <v>651</v>
      </c>
      <c r="T43" s="702" t="s">
        <v>996</v>
      </c>
      <c r="U43" s="190" t="s">
        <v>2841</v>
      </c>
      <c r="V43" s="29" t="s">
        <v>182</v>
      </c>
      <c r="W43" s="206"/>
    </row>
    <row r="44" spans="1:39" customHeight="1" ht="22.5">
      <c r="A44" s="702" t="s">
        <v>2853</v>
      </c>
      <c r="B44" s="702" t="s">
        <v>2854</v>
      </c>
      <c r="C44" s="702" t="s">
        <v>123</v>
      </c>
      <c r="D44" s="702" t="s">
        <v>124</v>
      </c>
      <c r="E44" s="702" t="s">
        <v>618</v>
      </c>
      <c r="F44" s="702" t="s">
        <v>2406</v>
      </c>
      <c r="G44" s="91"/>
      <c r="H44" s="68" t="s">
        <v>2561</v>
      </c>
      <c r="I44" s="303"/>
      <c r="J44" s="234" t="s">
        <v>551</v>
      </c>
      <c r="K44" s="190" t="s">
        <v>2545</v>
      </c>
      <c r="L44" s="92" t="str">
        <f>IF(O44="Постоянный",VLOOKUP(K44,'Включаем не включаем'!$A$1:$B$65536,2,0),"не включаем")</f>
        <v>не включаем</v>
      </c>
      <c r="M44" s="702" t="s">
        <v>2855</v>
      </c>
      <c r="N44" s="92" t="s">
        <v>128</v>
      </c>
      <c r="O44" s="92" t="s">
        <v>528</v>
      </c>
      <c r="P44" s="69">
        <f>DAYS360(M44,F44,TRUE)/30</f>
        <v>9.6333333333333</v>
      </c>
      <c r="Q44" s="64" t="str">
        <f>IF(DAYS360(M44,F44,TRUE)&gt;120,"-","увольнение в течении испытательного срока")</f>
        <v>-</v>
      </c>
      <c r="R44" s="64" t="str">
        <f>IF(ISBLANK(B44),"-",IF(ISERROR(FIND("вич",B44,1)),"ж","м"))</f>
        <v>ж</v>
      </c>
      <c r="S44" s="702" t="s">
        <v>2856</v>
      </c>
      <c r="T44" s="702" t="s">
        <v>996</v>
      </c>
      <c r="U44" s="190" t="s">
        <v>2788</v>
      </c>
      <c r="V44" s="29" t="s">
        <v>592</v>
      </c>
      <c r="W44" s="206"/>
    </row>
    <row r="45" spans="1:39" customHeight="1" ht="22.5">
      <c r="A45" s="702" t="s">
        <v>2857</v>
      </c>
      <c r="B45" s="702" t="s">
        <v>2858</v>
      </c>
      <c r="C45" s="702" t="s">
        <v>242</v>
      </c>
      <c r="D45" s="702" t="s">
        <v>939</v>
      </c>
      <c r="E45" s="702" t="s">
        <v>618</v>
      </c>
      <c r="F45" s="702" t="s">
        <v>1852</v>
      </c>
      <c r="G45" s="91"/>
      <c r="H45" s="68" t="s">
        <v>2561</v>
      </c>
      <c r="I45" s="303"/>
      <c r="J45" s="234" t="s">
        <v>551</v>
      </c>
      <c r="K45" s="190" t="s">
        <v>2539</v>
      </c>
      <c r="L45" s="234" t="s">
        <v>2626</v>
      </c>
      <c r="M45" s="702" t="s">
        <v>2859</v>
      </c>
      <c r="N45" s="92" t="s">
        <v>128</v>
      </c>
      <c r="O45" s="92" t="s">
        <v>528</v>
      </c>
      <c r="P45" s="69">
        <f>DAYS360(M45,F45,TRUE)/30</f>
        <v>22.466666666667</v>
      </c>
      <c r="Q45" s="64" t="str">
        <f>IF(DAYS360(M45,F45,TRUE)&gt;120,"-","увольнение в течении испытательного срока")</f>
        <v>-</v>
      </c>
      <c r="R45" s="64" t="str">
        <f>IF(ISBLANK(B45),"-",IF(ISERROR(FIND("вич",B45,1)),"ж","м"))</f>
        <v>м</v>
      </c>
      <c r="S45" s="702" t="s">
        <v>2860</v>
      </c>
      <c r="T45" s="702" t="s">
        <v>817</v>
      </c>
      <c r="U45" s="190" t="s">
        <v>2739</v>
      </c>
      <c r="V45" s="29" t="s">
        <v>143</v>
      </c>
      <c r="W45" s="206"/>
    </row>
    <row r="46" spans="1:39" customHeight="1" ht="22.5">
      <c r="A46" s="702" t="s">
        <v>1358</v>
      </c>
      <c r="B46" s="702" t="s">
        <v>1851</v>
      </c>
      <c r="C46" s="702" t="s">
        <v>440</v>
      </c>
      <c r="D46" s="702" t="s">
        <v>359</v>
      </c>
      <c r="E46" s="702" t="s">
        <v>618</v>
      </c>
      <c r="F46" s="702" t="s">
        <v>2861</v>
      </c>
      <c r="G46" s="91"/>
      <c r="H46" s="68" t="s">
        <v>2561</v>
      </c>
      <c r="I46" s="303"/>
      <c r="J46" s="234" t="s">
        <v>551</v>
      </c>
      <c r="K46" s="190" t="s">
        <v>2553</v>
      </c>
      <c r="L46" s="92" t="str">
        <f>IF(O46="Постоянный",VLOOKUP(K46,'Включаем не включаем'!$A$1:$B$65536,2,0),"не включаем")</f>
        <v>не включаем</v>
      </c>
      <c r="M46" s="702" t="s">
        <v>1577</v>
      </c>
      <c r="N46" s="92" t="s">
        <v>128</v>
      </c>
      <c r="O46" s="92" t="s">
        <v>528</v>
      </c>
      <c r="P46" s="69">
        <f>DAYS360(M46,F46,TRUE)/30</f>
        <v>4.2666666666667</v>
      </c>
      <c r="Q46" s="64" t="str">
        <f>IF(DAYS360(M46,F46,TRUE)&gt;120,"-","увольнение в течении испытательного срока")</f>
        <v>-</v>
      </c>
      <c r="R46" s="64" t="str">
        <f>IF(ISBLANK(B46),"-",IF(ISERROR(FIND("вич",B46,1)),"ж","м"))</f>
        <v>ж</v>
      </c>
      <c r="S46" s="702" t="s">
        <v>1853</v>
      </c>
      <c r="T46" s="702" t="s">
        <v>613</v>
      </c>
      <c r="U46" s="190" t="s">
        <v>2761</v>
      </c>
      <c r="V46" s="29" t="s">
        <v>280</v>
      </c>
      <c r="W46" s="206"/>
    </row>
    <row r="47" spans="1:39" customHeight="1" ht="22.5">
      <c r="A47" s="702" t="s">
        <v>2067</v>
      </c>
      <c r="B47" s="702" t="s">
        <v>1171</v>
      </c>
      <c r="C47" s="702" t="s">
        <v>464</v>
      </c>
      <c r="D47" s="702" t="s">
        <v>503</v>
      </c>
      <c r="E47" s="702" t="s">
        <v>618</v>
      </c>
      <c r="F47" s="702" t="s">
        <v>2862</v>
      </c>
      <c r="H47" s="68" t="s">
        <v>2561</v>
      </c>
      <c r="J47" s="234" t="s">
        <v>551</v>
      </c>
      <c r="K47" s="190" t="s">
        <v>2531</v>
      </c>
      <c r="L47" s="92" t="str">
        <f>IF(O47="Постоянный",VLOOKUP(K47,'Включаем не включаем'!$A$1:$B$65536,2,0),"не включаем")</f>
        <v>не включаем</v>
      </c>
      <c r="M47" s="702" t="s">
        <v>2863</v>
      </c>
      <c r="N47" s="92" t="s">
        <v>128</v>
      </c>
      <c r="O47" s="92" t="s">
        <v>528</v>
      </c>
      <c r="P47" s="69">
        <f>DAYS360(M47,F47,TRUE)/30</f>
        <v>10.733333333333</v>
      </c>
      <c r="Q47" s="64" t="str">
        <f>IF(DAYS360(M47,F47,TRUE)&gt;120,"-","увольнение в течении испытательного срока")</f>
        <v>-</v>
      </c>
      <c r="R47" s="64" t="str">
        <f>IF(ISBLANK(B47),"-",IF(ISERROR(FIND("вич",B47,1)),"ж","м"))</f>
        <v>ж</v>
      </c>
      <c r="S47" s="702" t="s">
        <v>1173</v>
      </c>
      <c r="T47" s="86" t="s">
        <v>2321</v>
      </c>
      <c r="U47" s="190" t="s">
        <v>2711</v>
      </c>
      <c r="V47" s="206" t="s">
        <v>135</v>
      </c>
    </row>
    <row r="48" spans="1:39" customHeight="1" ht="22.5">
      <c r="A48" s="702" t="s">
        <v>869</v>
      </c>
      <c r="B48" s="702" t="s">
        <v>2864</v>
      </c>
      <c r="C48" s="702" t="s">
        <v>504</v>
      </c>
      <c r="D48" s="702" t="s">
        <v>1665</v>
      </c>
      <c r="E48" s="702" t="s">
        <v>618</v>
      </c>
      <c r="F48" s="702" t="s">
        <v>2862</v>
      </c>
      <c r="H48" s="68" t="s">
        <v>2561</v>
      </c>
      <c r="J48" s="234" t="s">
        <v>551</v>
      </c>
      <c r="K48" s="190" t="s">
        <v>2530</v>
      </c>
      <c r="L48" s="92" t="str">
        <f>IF(O48="Постоянный",VLOOKUP(K48,'Включаем не включаем'!$A$1:$B$65536,2,0),"не включаем")</f>
        <v>не включаем</v>
      </c>
      <c r="M48" s="702" t="s">
        <v>2709</v>
      </c>
      <c r="N48" s="92" t="s">
        <v>128</v>
      </c>
      <c r="O48" s="92" t="s">
        <v>541</v>
      </c>
      <c r="P48" s="69">
        <f>DAYS360(M48,F48,TRUE)/30</f>
        <v>1.6</v>
      </c>
      <c r="Q48" s="64" t="str">
        <f>IF(DAYS360(M48,F48,TRUE)&gt;120,"-","увольнение в течении испытательного срока")</f>
        <v>увольнение в течении испытательного срока</v>
      </c>
      <c r="R48" s="64" t="str">
        <f>IF(ISBLANK(B48),"-",IF(ISERROR(FIND("вич",B48,1)),"ж","м"))</f>
        <v>м</v>
      </c>
      <c r="S48" s="702" t="s">
        <v>2865</v>
      </c>
      <c r="T48" s="86" t="s">
        <v>2321</v>
      </c>
      <c r="U48" s="190" t="s">
        <v>2711</v>
      </c>
      <c r="V48" s="206" t="s">
        <v>135</v>
      </c>
    </row>
    <row r="49" spans="1:39" customHeight="1" ht="22.5">
      <c r="A49" s="705" t="s">
        <v>2866</v>
      </c>
      <c r="B49" s="705" t="s">
        <v>2867</v>
      </c>
      <c r="C49" s="705" t="s">
        <v>504</v>
      </c>
      <c r="D49" s="705" t="s">
        <v>294</v>
      </c>
      <c r="E49" s="705" t="s">
        <v>618</v>
      </c>
      <c r="F49" s="705" t="s">
        <v>1336</v>
      </c>
      <c r="H49" s="706" t="s">
        <v>2561</v>
      </c>
      <c r="J49" s="707" t="s">
        <v>551</v>
      </c>
      <c r="K49" s="708" t="s">
        <v>2534</v>
      </c>
      <c r="L49" s="709" t="str">
        <f>IF(O49="Постоянный",VLOOKUP(K49,'Включаем не включаем'!$A$1:$B$65536,2,0),"не включаем")</f>
        <v>не включаем</v>
      </c>
      <c r="M49" s="705" t="s">
        <v>973</v>
      </c>
      <c r="N49" s="709" t="s">
        <v>128</v>
      </c>
      <c r="O49" s="709" t="s">
        <v>528</v>
      </c>
      <c r="P49" s="710">
        <f>DAYS360(M49,F49,TRUE)/30</f>
        <v>21.666666666667</v>
      </c>
      <c r="Q49" s="711" t="str">
        <f>IF(DAYS360(M49,F49,TRUE)&gt;120,"-","увольнение в течении испытательного срока")</f>
        <v>-</v>
      </c>
      <c r="R49" s="711" t="str">
        <f>IF(ISBLANK(B49),"-",IF(ISERROR(FIND("вич",B49,1)),"ж","м"))</f>
        <v>м</v>
      </c>
      <c r="S49" s="705" t="s">
        <v>2868</v>
      </c>
      <c r="T49" s="712" t="s">
        <v>2321</v>
      </c>
      <c r="U49" s="708" t="s">
        <v>2711</v>
      </c>
      <c r="V49" s="713" t="s">
        <v>135</v>
      </c>
    </row>
    <row r="50" spans="1:39" customHeight="1" ht="22.5">
      <c r="A50" s="86" t="s">
        <v>2869</v>
      </c>
      <c r="B50" s="86" t="s">
        <v>2870</v>
      </c>
      <c r="C50" s="86" t="s">
        <v>436</v>
      </c>
      <c r="D50" s="86" t="s">
        <v>384</v>
      </c>
      <c r="E50" s="86" t="s">
        <v>618</v>
      </c>
      <c r="F50" s="86" t="s">
        <v>1273</v>
      </c>
      <c r="G50" s="91"/>
      <c r="H50" s="706" t="s">
        <v>2561</v>
      </c>
      <c r="I50" s="303"/>
      <c r="J50" s="707" t="s">
        <v>561</v>
      </c>
      <c r="K50" s="190" t="s">
        <v>2539</v>
      </c>
      <c r="L50" s="707" t="s">
        <v>2628</v>
      </c>
      <c r="M50" s="86" t="s">
        <v>2871</v>
      </c>
      <c r="N50" s="92" t="s">
        <v>128</v>
      </c>
      <c r="O50" s="92" t="s">
        <v>528</v>
      </c>
      <c r="P50" s="69">
        <f>DAYS360(M50,F50,TRUE)/30</f>
        <v>92.433333333333</v>
      </c>
      <c r="Q50" s="64" t="str">
        <f>IF(DAYS360(M50,F50,TRUE)&gt;120,"-","увольнение в течении испытательного срока")</f>
        <v>-</v>
      </c>
      <c r="R50" s="64" t="str">
        <f>IF(ISBLANK(B50),"-",IF(ISERROR(FIND("вич",B50,1)),"ж","м"))</f>
        <v>м</v>
      </c>
      <c r="S50" s="86" t="s">
        <v>2872</v>
      </c>
      <c r="T50" s="86" t="s">
        <v>613</v>
      </c>
      <c r="U50" s="190" t="s">
        <v>2761</v>
      </c>
      <c r="V50" s="29" t="s">
        <v>280</v>
      </c>
    </row>
    <row r="51" spans="1:39" customHeight="1" ht="22.5">
      <c r="A51" s="86" t="s">
        <v>2873</v>
      </c>
      <c r="B51" s="86" t="s">
        <v>2874</v>
      </c>
      <c r="C51" s="86" t="s">
        <v>440</v>
      </c>
      <c r="D51" s="86" t="s">
        <v>359</v>
      </c>
      <c r="E51" s="86" t="s">
        <v>618</v>
      </c>
      <c r="F51" s="86" t="s">
        <v>2875</v>
      </c>
      <c r="G51" s="91"/>
      <c r="H51" s="706" t="s">
        <v>2561</v>
      </c>
      <c r="I51" s="303"/>
      <c r="J51" s="707" t="s">
        <v>561</v>
      </c>
      <c r="K51" s="190" t="s">
        <v>2530</v>
      </c>
      <c r="L51" s="707" t="s">
        <v>2628</v>
      </c>
      <c r="M51" s="86" t="s">
        <v>689</v>
      </c>
      <c r="N51" s="92" t="s">
        <v>128</v>
      </c>
      <c r="O51" s="92" t="s">
        <v>528</v>
      </c>
      <c r="P51" s="69">
        <f>DAYS360(M51,F51,TRUE)/30</f>
        <v>11.4</v>
      </c>
      <c r="Q51" s="64" t="str">
        <f>IF(DAYS360(M51,F51,TRUE)&gt;120,"-","увольнение в течении испытательного срока")</f>
        <v>-</v>
      </c>
      <c r="R51" s="64" t="str">
        <f>IF(ISBLANK(B51),"-",IF(ISERROR(FIND("вич",B51,1)),"ж","м"))</f>
        <v>м</v>
      </c>
      <c r="S51" s="86" t="s">
        <v>2876</v>
      </c>
      <c r="T51" s="86" t="s">
        <v>613</v>
      </c>
      <c r="U51" s="190" t="s">
        <v>2761</v>
      </c>
      <c r="V51" s="29" t="s">
        <v>280</v>
      </c>
    </row>
    <row r="52" spans="1:39" customHeight="1" ht="22.5">
      <c r="A52" s="86" t="s">
        <v>1905</v>
      </c>
      <c r="B52" s="86" t="s">
        <v>2877</v>
      </c>
      <c r="C52" s="86" t="s">
        <v>440</v>
      </c>
      <c r="D52" s="86" t="s">
        <v>359</v>
      </c>
      <c r="E52" s="86" t="s">
        <v>618</v>
      </c>
      <c r="F52" s="86" t="s">
        <v>2332</v>
      </c>
      <c r="G52" s="91"/>
      <c r="H52" s="706" t="s">
        <v>2561</v>
      </c>
      <c r="I52" s="303"/>
      <c r="J52" s="707" t="s">
        <v>561</v>
      </c>
      <c r="K52" s="190" t="s">
        <v>2530</v>
      </c>
      <c r="L52" s="709" t="str">
        <f>IF(O52="Постоянный",VLOOKUP(K53,'Включаем не включаем'!$A$1:$B$65536,2,0),"не включаем")</f>
        <v>не включаем</v>
      </c>
      <c r="M52" s="86" t="s">
        <v>2878</v>
      </c>
      <c r="N52" s="92" t="s">
        <v>128</v>
      </c>
      <c r="O52" s="92" t="s">
        <v>528</v>
      </c>
      <c r="P52" s="69">
        <f>DAYS360(M52,F52,TRUE)/30</f>
        <v>17.333333333333</v>
      </c>
      <c r="Q52" s="64" t="str">
        <f>IF(DAYS360(M52,F52,TRUE)&gt;120,"-","увольнение в течении испытательного срока")</f>
        <v>-</v>
      </c>
      <c r="R52" s="64" t="str">
        <f>IF(ISBLANK(B52),"-",IF(ISERROR(FIND("вич",B52,1)),"ж","м"))</f>
        <v>ж</v>
      </c>
      <c r="S52" s="86" t="s">
        <v>2879</v>
      </c>
      <c r="T52" s="86" t="s">
        <v>613</v>
      </c>
      <c r="U52" s="190" t="s">
        <v>2761</v>
      </c>
      <c r="V52" s="29" t="s">
        <v>280</v>
      </c>
    </row>
    <row r="53" spans="1:39" customHeight="1" ht="22.5">
      <c r="A53" s="86" t="s">
        <v>2880</v>
      </c>
      <c r="B53" s="86" t="s">
        <v>2881</v>
      </c>
      <c r="C53" s="86" t="s">
        <v>501</v>
      </c>
      <c r="D53" s="86" t="s">
        <v>247</v>
      </c>
      <c r="E53" s="86" t="s">
        <v>618</v>
      </c>
      <c r="F53" s="86" t="s">
        <v>2328</v>
      </c>
      <c r="G53" s="91"/>
      <c r="H53" s="706" t="s">
        <v>2561</v>
      </c>
      <c r="I53" s="303"/>
      <c r="J53" s="707" t="s">
        <v>561</v>
      </c>
      <c r="K53" s="190" t="s">
        <v>2537</v>
      </c>
      <c r="L53" s="707" t="s">
        <v>2628</v>
      </c>
      <c r="M53" s="86" t="s">
        <v>1932</v>
      </c>
      <c r="N53" s="92" t="s">
        <v>128</v>
      </c>
      <c r="O53" s="92" t="s">
        <v>528</v>
      </c>
      <c r="P53" s="69">
        <f>DAYS360(M53,F53,TRUE)/30</f>
        <v>11.066666666667</v>
      </c>
      <c r="Q53" s="64" t="str">
        <f>IF(DAYS360(M53,F53,TRUE)&gt;120,"-","увольнение в течении испытательного срока")</f>
        <v>-</v>
      </c>
      <c r="R53" s="64" t="str">
        <f>IF(ISBLANK(B53),"-",IF(ISERROR(FIND("вич",B53,1)),"ж","м"))</f>
        <v>ж</v>
      </c>
      <c r="S53" s="86" t="s">
        <v>2882</v>
      </c>
      <c r="T53" s="86" t="s">
        <v>996</v>
      </c>
      <c r="U53" s="190" t="s">
        <v>2788</v>
      </c>
      <c r="V53" s="29" t="s">
        <v>592</v>
      </c>
    </row>
    <row r="54" spans="1:39" customHeight="1" ht="22.5">
      <c r="A54" s="86" t="s">
        <v>2883</v>
      </c>
      <c r="B54" s="86" t="s">
        <v>2884</v>
      </c>
      <c r="C54" s="86" t="s">
        <v>1233</v>
      </c>
      <c r="D54" s="86" t="s">
        <v>1239</v>
      </c>
      <c r="E54" s="86" t="s">
        <v>618</v>
      </c>
      <c r="F54" s="86" t="s">
        <v>1242</v>
      </c>
      <c r="G54" s="91"/>
      <c r="H54" s="706" t="s">
        <v>2561</v>
      </c>
      <c r="I54" s="303"/>
      <c r="J54" s="707" t="s">
        <v>561</v>
      </c>
      <c r="K54" s="190" t="s">
        <v>2539</v>
      </c>
      <c r="L54" s="707" t="s">
        <v>2628</v>
      </c>
      <c r="M54" s="86" t="s">
        <v>1128</v>
      </c>
      <c r="N54" s="92" t="s">
        <v>128</v>
      </c>
      <c r="O54" s="92" t="s">
        <v>528</v>
      </c>
      <c r="P54" s="69">
        <f>DAYS360(M54,F54,TRUE)/30</f>
        <v>1.8666666666667</v>
      </c>
      <c r="Q54" s="64" t="str">
        <f>IF(DAYS360(M54,F54,TRUE)&gt;120,"-","увольнение в течении испытательного срока")</f>
        <v>увольнение в течении испытательного срока</v>
      </c>
      <c r="R54" s="64" t="str">
        <f>IF(ISBLANK(B54),"-",IF(ISERROR(FIND("вич",B54,1)),"ж","м"))</f>
        <v>м</v>
      </c>
      <c r="S54" s="86" t="s">
        <v>2885</v>
      </c>
      <c r="T54" s="86" t="s">
        <v>996</v>
      </c>
      <c r="U54" s="190" t="s">
        <v>2886</v>
      </c>
      <c r="V54" s="29" t="s">
        <v>176</v>
      </c>
    </row>
    <row r="55" spans="1:39" customHeight="1" ht="22.5">
      <c r="A55" s="86" t="s">
        <v>2887</v>
      </c>
      <c r="B55" s="86" t="s">
        <v>2888</v>
      </c>
      <c r="C55" s="86" t="s">
        <v>1174</v>
      </c>
      <c r="D55" s="86" t="s">
        <v>2889</v>
      </c>
      <c r="E55" s="86" t="s">
        <v>618</v>
      </c>
      <c r="F55" s="86" t="s">
        <v>1616</v>
      </c>
      <c r="G55" s="91"/>
      <c r="H55" s="706" t="s">
        <v>2561</v>
      </c>
      <c r="I55" s="303"/>
      <c r="J55" s="707" t="s">
        <v>561</v>
      </c>
      <c r="K55" s="190" t="s">
        <v>2553</v>
      </c>
      <c r="L55" s="709" t="str">
        <f>IF(O55="Постоянный",VLOOKUP(K55,'Включаем не включаем'!$A$1:$B$65536,2,0),"не включаем")</f>
        <v>не включаем</v>
      </c>
      <c r="M55" s="86" t="s">
        <v>914</v>
      </c>
      <c r="N55" s="92" t="s">
        <v>128</v>
      </c>
      <c r="O55" s="92" t="s">
        <v>528</v>
      </c>
      <c r="P55" s="69">
        <f>DAYS360(M55,F55,TRUE)/30</f>
        <v>48.433333333333</v>
      </c>
      <c r="Q55" s="64" t="str">
        <f>IF(DAYS360(M55,F55,TRUE)&gt;120,"-","увольнение в течении испытательного срока")</f>
        <v>-</v>
      </c>
      <c r="R55" s="64" t="str">
        <f>IF(ISBLANK(B55),"-",IF(ISERROR(FIND("вич",B55,1)),"ж","м"))</f>
        <v>ж</v>
      </c>
      <c r="S55" s="86" t="s">
        <v>2890</v>
      </c>
      <c r="T55" s="86" t="s">
        <v>996</v>
      </c>
      <c r="U55" s="190" t="s">
        <v>2684</v>
      </c>
      <c r="V55" s="29" t="s">
        <v>176</v>
      </c>
    </row>
    <row r="56" spans="1:39" customHeight="1" ht="33.75">
      <c r="A56" s="86" t="s">
        <v>2891</v>
      </c>
      <c r="B56" s="86" t="s">
        <v>2892</v>
      </c>
      <c r="C56" s="86" t="s">
        <v>445</v>
      </c>
      <c r="D56" s="86" t="s">
        <v>372</v>
      </c>
      <c r="E56" s="86" t="s">
        <v>618</v>
      </c>
      <c r="F56" s="86" t="s">
        <v>2893</v>
      </c>
      <c r="G56" s="91"/>
      <c r="H56" s="706" t="s">
        <v>2561</v>
      </c>
      <c r="I56" s="303"/>
      <c r="J56" s="707" t="s">
        <v>561</v>
      </c>
      <c r="K56" s="190" t="s">
        <v>2553</v>
      </c>
      <c r="L56" s="709" t="str">
        <f>IF(O56="Постоянный",VLOOKUP(K56,'Включаем не включаем'!$A$1:$B$65536,2,0),"не включаем")</f>
        <v>не включаем</v>
      </c>
      <c r="M56" s="86" t="s">
        <v>2894</v>
      </c>
      <c r="N56" s="92" t="s">
        <v>128</v>
      </c>
      <c r="O56" s="92" t="s">
        <v>528</v>
      </c>
      <c r="P56" s="69">
        <f>DAYS360(M56,F56,TRUE)/30</f>
        <v>9.0666666666667</v>
      </c>
      <c r="Q56" s="64" t="str">
        <f>IF(DAYS360(M56,F56,TRUE)&gt;120,"-","увольнение в течении испытательного срока")</f>
        <v>-</v>
      </c>
      <c r="R56" s="64" t="str">
        <f>IF(ISBLANK(B56),"-",IF(ISERROR(FIND("вич",B56,1)),"ж","м"))</f>
        <v>ж</v>
      </c>
      <c r="S56" s="86" t="s">
        <v>2183</v>
      </c>
      <c r="T56" s="86" t="s">
        <v>996</v>
      </c>
      <c r="U56" s="190" t="s">
        <v>2895</v>
      </c>
      <c r="V56" s="29" t="s">
        <v>226</v>
      </c>
    </row>
    <row r="57" spans="1:39" customHeight="1" ht="33.75">
      <c r="A57" s="86" t="s">
        <v>2896</v>
      </c>
      <c r="B57" s="86" t="s">
        <v>2897</v>
      </c>
      <c r="C57" s="86" t="s">
        <v>445</v>
      </c>
      <c r="D57" s="86" t="s">
        <v>372</v>
      </c>
      <c r="E57" s="86" t="s">
        <v>618</v>
      </c>
      <c r="F57" s="86" t="s">
        <v>2893</v>
      </c>
      <c r="G57" s="91"/>
      <c r="H57" s="706" t="s">
        <v>2561</v>
      </c>
      <c r="I57" s="303"/>
      <c r="J57" s="707" t="s">
        <v>561</v>
      </c>
      <c r="K57" s="190" t="s">
        <v>2553</v>
      </c>
      <c r="L57" s="709" t="str">
        <f>IF(O57="Постоянный",VLOOKUP(K57,'Включаем не включаем'!$A$1:$B$65536,2,0),"не включаем")</f>
        <v>не включаем</v>
      </c>
      <c r="M57" s="86" t="s">
        <v>2894</v>
      </c>
      <c r="N57" s="92" t="s">
        <v>128</v>
      </c>
      <c r="O57" s="92" t="s">
        <v>528</v>
      </c>
      <c r="P57" s="69">
        <f>DAYS360(M57,F57,TRUE)/30</f>
        <v>9.0666666666667</v>
      </c>
      <c r="Q57" s="64" t="str">
        <f>IF(DAYS360(M57,F57,TRUE)&gt;120,"-","увольнение в течении испытательного срока")</f>
        <v>-</v>
      </c>
      <c r="R57" s="64" t="str">
        <f>IF(ISBLANK(B57),"-",IF(ISERROR(FIND("вич",B57,1)),"ж","м"))</f>
        <v>ж</v>
      </c>
      <c r="S57" s="86" t="s">
        <v>2898</v>
      </c>
      <c r="T57" s="86" t="s">
        <v>996</v>
      </c>
      <c r="U57" s="190" t="s">
        <v>2895</v>
      </c>
      <c r="V57" s="29" t="s">
        <v>226</v>
      </c>
    </row>
    <row r="58" spans="1:39" customHeight="1" ht="33.75">
      <c r="A58" s="86" t="s">
        <v>2899</v>
      </c>
      <c r="B58" s="86" t="s">
        <v>2900</v>
      </c>
      <c r="C58" s="86" t="s">
        <v>445</v>
      </c>
      <c r="D58" s="86" t="s">
        <v>372</v>
      </c>
      <c r="E58" s="86" t="s">
        <v>618</v>
      </c>
      <c r="F58" s="86" t="s">
        <v>2893</v>
      </c>
      <c r="G58" s="91"/>
      <c r="H58" s="706" t="s">
        <v>2561</v>
      </c>
      <c r="I58" s="303"/>
      <c r="J58" s="707" t="s">
        <v>561</v>
      </c>
      <c r="K58" s="190" t="s">
        <v>2553</v>
      </c>
      <c r="L58" s="709" t="str">
        <f>IF(O58="Постоянный",VLOOKUP(K58,'Включаем не включаем'!$A$1:$B$65536,2,0),"не включаем")</f>
        <v>не включаем</v>
      </c>
      <c r="M58" s="86" t="s">
        <v>2894</v>
      </c>
      <c r="N58" s="92" t="s">
        <v>128</v>
      </c>
      <c r="O58" s="92" t="s">
        <v>528</v>
      </c>
      <c r="P58" s="69">
        <f>DAYS360(M58,F58,TRUE)/30</f>
        <v>9.0666666666667</v>
      </c>
      <c r="Q58" s="64" t="str">
        <f>IF(DAYS360(M58,F58,TRUE)&gt;120,"-","увольнение в течении испытательного срока")</f>
        <v>-</v>
      </c>
      <c r="R58" s="64" t="str">
        <f>IF(ISBLANK(B58),"-",IF(ISERROR(FIND("вич",B58,1)),"ж","м"))</f>
        <v>ж</v>
      </c>
      <c r="S58" s="86" t="s">
        <v>2120</v>
      </c>
      <c r="T58" s="86" t="s">
        <v>996</v>
      </c>
      <c r="U58" s="190" t="s">
        <v>2895</v>
      </c>
      <c r="V58" s="29" t="s">
        <v>226</v>
      </c>
    </row>
    <row r="59" spans="1:39" customHeight="1" ht="33.75">
      <c r="A59" s="86" t="s">
        <v>2901</v>
      </c>
      <c r="B59" s="86" t="s">
        <v>2902</v>
      </c>
      <c r="C59" s="86" t="s">
        <v>445</v>
      </c>
      <c r="D59" s="86" t="s">
        <v>372</v>
      </c>
      <c r="E59" s="86" t="s">
        <v>618</v>
      </c>
      <c r="F59" s="86" t="s">
        <v>2893</v>
      </c>
      <c r="G59" s="91"/>
      <c r="H59" s="706" t="s">
        <v>2561</v>
      </c>
      <c r="I59" s="303"/>
      <c r="J59" s="707" t="s">
        <v>561</v>
      </c>
      <c r="K59" s="190" t="s">
        <v>2553</v>
      </c>
      <c r="L59" s="709" t="str">
        <f>IF(O59="Постоянный",VLOOKUP(K59,'Включаем не включаем'!$A$1:$B$65536,2,0),"не включаем")</f>
        <v>не включаем</v>
      </c>
      <c r="M59" s="86" t="s">
        <v>2165</v>
      </c>
      <c r="N59" s="92" t="s">
        <v>128</v>
      </c>
      <c r="O59" s="92" t="s">
        <v>528</v>
      </c>
      <c r="P59" s="69">
        <f>DAYS360(M59,F59,TRUE)/30</f>
        <v>7.9333333333333</v>
      </c>
      <c r="Q59" s="64" t="str">
        <f>IF(DAYS360(M59,F59,TRUE)&gt;120,"-","увольнение в течении испытательного срока")</f>
        <v>-</v>
      </c>
      <c r="R59" s="64" t="str">
        <f>IF(ISBLANK(B59),"-",IF(ISERROR(FIND("вич",B59,1)),"ж","м"))</f>
        <v>ж</v>
      </c>
      <c r="S59" s="86" t="s">
        <v>2903</v>
      </c>
      <c r="T59" s="86" t="s">
        <v>996</v>
      </c>
      <c r="U59" s="190" t="s">
        <v>2895</v>
      </c>
      <c r="V59" s="29" t="s">
        <v>226</v>
      </c>
    </row>
    <row r="60" spans="1:39" customHeight="1" ht="22.5">
      <c r="A60" s="86" t="s">
        <v>2904</v>
      </c>
      <c r="B60" s="86" t="s">
        <v>2905</v>
      </c>
      <c r="C60" s="86" t="s">
        <v>136</v>
      </c>
      <c r="D60" s="86" t="s">
        <v>137</v>
      </c>
      <c r="E60" s="86" t="s">
        <v>618</v>
      </c>
      <c r="F60" s="86" t="s">
        <v>2906</v>
      </c>
      <c r="G60" s="91"/>
      <c r="H60" s="706" t="s">
        <v>2561</v>
      </c>
      <c r="I60" s="303"/>
      <c r="J60" s="707" t="s">
        <v>561</v>
      </c>
      <c r="K60" s="190" t="s">
        <v>2539</v>
      </c>
      <c r="L60" s="709" t="str">
        <f>IF(O60="Постоянный",VLOOKUP(K60,'Включаем не включаем'!$A$1:$B$65536,2,0),"не включаем")</f>
        <v>не включаем</v>
      </c>
      <c r="M60" s="86" t="s">
        <v>2907</v>
      </c>
      <c r="N60" s="92" t="s">
        <v>128</v>
      </c>
      <c r="O60" s="92" t="s">
        <v>528</v>
      </c>
      <c r="P60" s="69">
        <f>DAYS360(M60,F60,TRUE)/30</f>
        <v>20.733333333333</v>
      </c>
      <c r="Q60" s="64" t="str">
        <f>IF(DAYS360(M60,F60,TRUE)&gt;120,"-","увольнение в течении испытательного срока")</f>
        <v>-</v>
      </c>
      <c r="R60" s="64" t="str">
        <f>IF(ISBLANK(B60),"-",IF(ISERROR(FIND("вич",B60,1)),"ж","м"))</f>
        <v>ж</v>
      </c>
      <c r="S60" s="86" t="s">
        <v>2908</v>
      </c>
      <c r="T60" s="86" t="s">
        <v>817</v>
      </c>
      <c r="U60" s="190" t="s">
        <v>2739</v>
      </c>
      <c r="V60" s="29" t="s">
        <v>143</v>
      </c>
    </row>
    <row r="61" spans="1:39" customHeight="1" ht="22.5">
      <c r="A61" s="86" t="s">
        <v>2909</v>
      </c>
      <c r="B61" s="86" t="s">
        <v>2910</v>
      </c>
      <c r="C61" s="86" t="s">
        <v>429</v>
      </c>
      <c r="D61" s="721" t="s">
        <v>431</v>
      </c>
      <c r="E61" s="86" t="s">
        <v>618</v>
      </c>
      <c r="F61" s="86" t="s">
        <v>2906</v>
      </c>
      <c r="G61" s="91"/>
      <c r="H61" s="706" t="s">
        <v>2561</v>
      </c>
      <c r="I61" s="303"/>
      <c r="J61" s="707" t="s">
        <v>561</v>
      </c>
      <c r="K61" s="190" t="s">
        <v>2531</v>
      </c>
      <c r="L61" s="709" t="str">
        <f>IF(O61="Постоянный",VLOOKUP(K61,'Включаем не включаем'!$A$1:$B$65536,2,0),"не включаем")</f>
        <v>не включаем</v>
      </c>
      <c r="M61" s="86" t="s">
        <v>2682</v>
      </c>
      <c r="N61" s="92" t="s">
        <v>128</v>
      </c>
      <c r="O61" s="92" t="s">
        <v>528</v>
      </c>
      <c r="P61" s="69">
        <f>DAYS360(M61,F61,TRUE)/30</f>
        <v>5.8666666666667</v>
      </c>
      <c r="Q61" s="64" t="str">
        <f>IF(DAYS360(M61,F61,TRUE)&gt;120,"-","увольнение в течении испытательного срока")</f>
        <v>-</v>
      </c>
      <c r="R61" s="64" t="str">
        <f>IF(ISBLANK(B61),"-",IF(ISERROR(FIND("вич",B61,1)),"ж","м"))</f>
        <v>ж</v>
      </c>
      <c r="S61" s="86" t="s">
        <v>2911</v>
      </c>
      <c r="T61" s="86" t="s">
        <v>996</v>
      </c>
      <c r="U61" s="190" t="s">
        <v>2848</v>
      </c>
      <c r="V61" s="29" t="s">
        <v>349</v>
      </c>
    </row>
    <row r="62" spans="1:39" customHeight="1" ht="22.5">
      <c r="A62" s="86" t="s">
        <v>2912</v>
      </c>
      <c r="B62" s="86" t="s">
        <v>2913</v>
      </c>
      <c r="C62" s="86" t="s">
        <v>312</v>
      </c>
      <c r="D62" s="86" t="s">
        <v>467</v>
      </c>
      <c r="E62" s="86" t="s">
        <v>618</v>
      </c>
      <c r="F62" s="86" t="s">
        <v>2906</v>
      </c>
      <c r="G62" s="91"/>
      <c r="H62" s="706" t="s">
        <v>2561</v>
      </c>
      <c r="I62" s="303"/>
      <c r="J62" s="707" t="s">
        <v>561</v>
      </c>
      <c r="K62" s="190" t="s">
        <v>2531</v>
      </c>
      <c r="L62" s="709" t="str">
        <f>IF(O62="Постоянный",VLOOKUP(K62,'Включаем не включаем'!$A$1:$B$65536,2,0),"не включаем")</f>
        <v>не включаем</v>
      </c>
      <c r="M62" s="86" t="s">
        <v>2914</v>
      </c>
      <c r="N62" s="92" t="s">
        <v>128</v>
      </c>
      <c r="O62" s="92" t="s">
        <v>528</v>
      </c>
      <c r="P62" s="69">
        <f>DAYS360(M62,F62,TRUE)/30</f>
        <v>62.866666666667</v>
      </c>
      <c r="Q62" s="64" t="str">
        <f>IF(DAYS360(M62,F62,TRUE)&gt;120,"-","увольнение в течении испытательного срока")</f>
        <v>-</v>
      </c>
      <c r="R62" s="64" t="str">
        <f>IF(ISBLANK(B62),"-",IF(ISERROR(FIND("вич",B62,1)),"ж","м"))</f>
        <v>м</v>
      </c>
      <c r="S62" s="86" t="s">
        <v>2915</v>
      </c>
      <c r="T62" s="86" t="s">
        <v>613</v>
      </c>
      <c r="U62" s="190" t="s">
        <v>2916</v>
      </c>
      <c r="V62" s="29" t="s">
        <v>592</v>
      </c>
    </row>
    <row r="63" spans="1:39" customHeight="1" ht="22.5">
      <c r="A63" s="86" t="s">
        <v>2917</v>
      </c>
      <c r="B63" s="86" t="s">
        <v>2918</v>
      </c>
      <c r="C63" s="86" t="s">
        <v>1174</v>
      </c>
      <c r="D63" s="86" t="s">
        <v>254</v>
      </c>
      <c r="E63" s="86" t="s">
        <v>618</v>
      </c>
      <c r="F63" s="86" t="s">
        <v>2919</v>
      </c>
      <c r="G63" s="91"/>
      <c r="H63" s="706" t="s">
        <v>2561</v>
      </c>
      <c r="I63" s="303"/>
      <c r="J63" s="707" t="s">
        <v>561</v>
      </c>
      <c r="K63" s="190" t="s">
        <v>2540</v>
      </c>
      <c r="L63" s="707" t="s">
        <v>2628</v>
      </c>
      <c r="M63" s="86" t="s">
        <v>1067</v>
      </c>
      <c r="N63" s="92" t="s">
        <v>128</v>
      </c>
      <c r="O63" s="92" t="s">
        <v>528</v>
      </c>
      <c r="P63" s="69">
        <f>DAYS360(M63,F63,TRUE)/30</f>
        <v>1.1666666666667</v>
      </c>
      <c r="Q63" s="64" t="str">
        <f>IF(DAYS360(M63,F63,TRUE)&gt;120,"-","увольнение в течении испытательного срока")</f>
        <v>увольнение в течении испытательного срока</v>
      </c>
      <c r="R63" s="64" t="str">
        <f>IF(ISBLANK(B63),"-",IF(ISERROR(FIND("вич",B63,1)),"ж","м"))</f>
        <v>м</v>
      </c>
      <c r="S63" s="86" t="s">
        <v>2920</v>
      </c>
      <c r="T63" s="86" t="s">
        <v>996</v>
      </c>
      <c r="U63" s="190" t="s">
        <v>2921</v>
      </c>
      <c r="V63" s="29" t="s">
        <v>176</v>
      </c>
    </row>
    <row r="64" spans="1:39" customHeight="1" ht="22.5">
      <c r="A64" s="86" t="s">
        <v>2922</v>
      </c>
      <c r="B64" s="86" t="s">
        <v>2923</v>
      </c>
      <c r="C64" s="86" t="s">
        <v>1269</v>
      </c>
      <c r="D64" s="721" t="s">
        <v>2924</v>
      </c>
      <c r="E64" s="86" t="s">
        <v>618</v>
      </c>
      <c r="F64" s="86" t="s">
        <v>1467</v>
      </c>
      <c r="G64" s="91"/>
      <c r="H64" s="706" t="s">
        <v>2561</v>
      </c>
      <c r="I64" s="303"/>
      <c r="J64" s="707" t="s">
        <v>561</v>
      </c>
      <c r="K64" s="190" t="s">
        <v>2528</v>
      </c>
      <c r="L64" s="709" t="str">
        <f>IF(O64="Постоянный",VLOOKUP(K64,'Включаем не включаем'!$A$1:$B$65536,2,0),"не включаем")</f>
        <v>не включаем</v>
      </c>
      <c r="M64" s="86" t="s">
        <v>2925</v>
      </c>
      <c r="N64" s="92" t="s">
        <v>128</v>
      </c>
      <c r="O64" s="92" t="s">
        <v>528</v>
      </c>
      <c r="P64" s="69">
        <f>DAYS360(M64,F64,TRUE)/30</f>
        <v>11.266666666667</v>
      </c>
      <c r="Q64" s="64" t="str">
        <f>IF(DAYS360(M64,F64,TRUE)&gt;120,"-","увольнение в течении испытательного срока")</f>
        <v>-</v>
      </c>
      <c r="R64" s="64" t="str">
        <f>IF(ISBLANK(B64),"-",IF(ISERROR(FIND("вич",B64,1)),"ж","м"))</f>
        <v>м</v>
      </c>
      <c r="S64" s="86" t="s">
        <v>2926</v>
      </c>
      <c r="T64" s="86" t="s">
        <v>996</v>
      </c>
      <c r="U64" s="190" t="s">
        <v>2788</v>
      </c>
      <c r="V64" s="29" t="s">
        <v>592</v>
      </c>
    </row>
    <row r="65" spans="1:39" customHeight="1" ht="22.5">
      <c r="A65" s="86" t="s">
        <v>2927</v>
      </c>
      <c r="B65" s="86" t="s">
        <v>2928</v>
      </c>
      <c r="C65" s="86" t="s">
        <v>1203</v>
      </c>
      <c r="D65" s="721" t="s">
        <v>254</v>
      </c>
      <c r="E65" s="86" t="s">
        <v>618</v>
      </c>
      <c r="F65" s="86" t="s">
        <v>2929</v>
      </c>
      <c r="G65" s="91"/>
      <c r="H65" s="706" t="s">
        <v>2561</v>
      </c>
      <c r="I65" s="303"/>
      <c r="J65" s="707" t="s">
        <v>561</v>
      </c>
      <c r="K65" s="190" t="s">
        <v>2528</v>
      </c>
      <c r="L65" s="92" t="str">
        <f>IF(O65="Постоянный",VLOOKUP(K65,'Включаем не включаем'!$A$1:$B$65536,2,0),"не включаем")</f>
        <v>не включаем</v>
      </c>
      <c r="M65" s="86" t="s">
        <v>1599</v>
      </c>
      <c r="N65" s="92" t="s">
        <v>128</v>
      </c>
      <c r="O65" s="92" t="s">
        <v>528</v>
      </c>
      <c r="P65" s="69">
        <f>DAYS360(M65,F65,TRUE)/30</f>
        <v>4.7</v>
      </c>
      <c r="Q65" s="64" t="str">
        <f>IF(DAYS360(M65,F65,TRUE)&gt;120,"-","увольнение в течении испытательного срока")</f>
        <v>-</v>
      </c>
      <c r="R65" s="64" t="str">
        <f>IF(ISBLANK(B65),"-",IF(ISERROR(FIND("вич",B65,1)),"ж","м"))</f>
        <v>ж</v>
      </c>
      <c r="S65" s="86" t="s">
        <v>2930</v>
      </c>
      <c r="T65" s="86" t="s">
        <v>996</v>
      </c>
      <c r="U65" s="190" t="s">
        <v>2931</v>
      </c>
      <c r="V65" s="29" t="s">
        <v>176</v>
      </c>
    </row>
    <row r="66" spans="1:39" customHeight="1" ht="22.5">
      <c r="A66" s="86" t="s">
        <v>1377</v>
      </c>
      <c r="B66" s="86" t="s">
        <v>2331</v>
      </c>
      <c r="C66" s="86" t="s">
        <v>504</v>
      </c>
      <c r="D66" s="86" t="s">
        <v>1665</v>
      </c>
      <c r="E66" s="86" t="s">
        <v>618</v>
      </c>
      <c r="F66" s="86" t="s">
        <v>2328</v>
      </c>
      <c r="G66" s="91"/>
      <c r="H66" s="706" t="s">
        <v>2561</v>
      </c>
      <c r="I66" s="303"/>
      <c r="J66" s="707" t="s">
        <v>561</v>
      </c>
      <c r="K66" s="190" t="s">
        <v>2553</v>
      </c>
      <c r="L66" s="92" t="str">
        <f>IF(O66="Постоянный",VLOOKUP(K66,'Включаем не включаем'!$A$1:$B$65536,2,0),"не включаем")</f>
        <v>не включаем</v>
      </c>
      <c r="M66" s="86" t="s">
        <v>1324</v>
      </c>
      <c r="N66" s="92" t="s">
        <v>128</v>
      </c>
      <c r="O66" s="92" t="s">
        <v>541</v>
      </c>
      <c r="P66" s="69">
        <f>DAYS360(M66,F66,TRUE)/30</f>
        <v>2.1</v>
      </c>
      <c r="Q66" s="64" t="str">
        <f>IF(DAYS360(M66,F66,TRUE)&gt;120,"-","увольнение в течении испытательного срока")</f>
        <v>увольнение в течении испытательного срока</v>
      </c>
      <c r="R66" s="64" t="str">
        <f>IF(ISBLANK(B66),"-",IF(ISERROR(FIND("вич",B66,1)),"ж","м"))</f>
        <v>м</v>
      </c>
      <c r="S66" s="86" t="s">
        <v>2333</v>
      </c>
      <c r="T66" s="86" t="s">
        <v>2321</v>
      </c>
      <c r="U66" s="190" t="s">
        <v>2711</v>
      </c>
      <c r="V66" s="206" t="s">
        <v>135</v>
      </c>
    </row>
    <row r="67" spans="1:39" customHeight="1" ht="22.5">
      <c r="A67" s="86" t="s">
        <v>786</v>
      </c>
      <c r="B67" s="86" t="s">
        <v>2932</v>
      </c>
      <c r="C67" s="86" t="s">
        <v>504</v>
      </c>
      <c r="D67" s="86" t="s">
        <v>1665</v>
      </c>
      <c r="E67" s="86" t="s">
        <v>618</v>
      </c>
      <c r="F67" s="86" t="s">
        <v>1242</v>
      </c>
      <c r="G67" s="91"/>
      <c r="H67" s="706" t="s">
        <v>2561</v>
      </c>
      <c r="I67" s="303"/>
      <c r="J67" s="707" t="s">
        <v>561</v>
      </c>
      <c r="K67" s="190" t="s">
        <v>2529</v>
      </c>
      <c r="L67" s="92" t="str">
        <f>IF(O67="Постоянный",VLOOKUP(K67,'Включаем не включаем'!$A$1:$B$65536,2,0),"не включаем")</f>
        <v>не включаем</v>
      </c>
      <c r="M67" s="86" t="s">
        <v>1467</v>
      </c>
      <c r="N67" s="92" t="s">
        <v>128</v>
      </c>
      <c r="O67" s="92" t="s">
        <v>541</v>
      </c>
      <c r="P67" s="69">
        <f>DAYS360(M67,F67,TRUE)/30</f>
        <v>0.46666666666667</v>
      </c>
      <c r="Q67" s="64" t="str">
        <f>IF(DAYS360(M67,F67,TRUE)&gt;120,"-","увольнение в течении испытательного срока")</f>
        <v>увольнение в течении испытательного срока</v>
      </c>
      <c r="R67" s="64" t="str">
        <f>IF(ISBLANK(B67),"-",IF(ISERROR(FIND("вич",B67,1)),"ж","м"))</f>
        <v>м</v>
      </c>
      <c r="S67" s="86" t="s">
        <v>2933</v>
      </c>
      <c r="T67" s="86" t="s">
        <v>2321</v>
      </c>
      <c r="U67" s="190" t="s">
        <v>2711</v>
      </c>
      <c r="V67" s="206" t="s">
        <v>135</v>
      </c>
    </row>
    <row r="68" spans="1:39" customHeight="1" ht="22.5">
      <c r="A68" s="86" t="s">
        <v>2934</v>
      </c>
      <c r="B68" s="86" t="s">
        <v>2935</v>
      </c>
      <c r="C68" s="86" t="s">
        <v>504</v>
      </c>
      <c r="D68" s="86" t="s">
        <v>1665</v>
      </c>
      <c r="E68" s="86" t="s">
        <v>618</v>
      </c>
      <c r="F68" s="86" t="s">
        <v>1242</v>
      </c>
      <c r="G68" s="91"/>
      <c r="H68" s="706" t="s">
        <v>2561</v>
      </c>
      <c r="I68" s="303"/>
      <c r="J68" s="707" t="s">
        <v>561</v>
      </c>
      <c r="K68" s="190" t="s">
        <v>2534</v>
      </c>
      <c r="L68" s="92" t="str">
        <f>IF(O68="Постоянный",VLOOKUP(K68,'Включаем не включаем'!$A$1:$B$65536,2,0),"не включаем")</f>
        <v>не включаем</v>
      </c>
      <c r="M68" s="86" t="s">
        <v>2936</v>
      </c>
      <c r="N68" s="92" t="s">
        <v>128</v>
      </c>
      <c r="O68" s="92" t="s">
        <v>541</v>
      </c>
      <c r="P68" s="69">
        <f>DAYS360(M68,F68,TRUE)/30</f>
        <v>10.666666666667</v>
      </c>
      <c r="Q68" s="64" t="str">
        <f>IF(DAYS360(M68,F68,TRUE)&gt;120,"-","увольнение в течении испытательного срока")</f>
        <v>-</v>
      </c>
      <c r="R68" s="64" t="str">
        <f>IF(ISBLANK(B68),"-",IF(ISERROR(FIND("вич",B68,1)),"ж","м"))</f>
        <v>м</v>
      </c>
      <c r="S68" s="86" t="s">
        <v>2937</v>
      </c>
      <c r="T68" s="86" t="s">
        <v>2321</v>
      </c>
      <c r="U68" s="190" t="s">
        <v>2711</v>
      </c>
      <c r="V68" s="206" t="s">
        <v>135</v>
      </c>
    </row>
    <row r="69" spans="1:39" customHeight="1" ht="22.5">
      <c r="A69" s="86" t="s">
        <v>2938</v>
      </c>
      <c r="B69" s="86" t="s">
        <v>2327</v>
      </c>
      <c r="C69" s="86" t="s">
        <v>504</v>
      </c>
      <c r="D69" s="86" t="s">
        <v>1665</v>
      </c>
      <c r="E69" s="86" t="s">
        <v>618</v>
      </c>
      <c r="F69" s="86" t="s">
        <v>1242</v>
      </c>
      <c r="G69" s="91"/>
      <c r="H69" s="706" t="s">
        <v>2561</v>
      </c>
      <c r="I69" s="303"/>
      <c r="J69" s="707" t="s">
        <v>561</v>
      </c>
      <c r="K69" s="190" t="s">
        <v>2553</v>
      </c>
      <c r="L69" s="92" t="str">
        <f>IF(O69="Постоянный",VLOOKUP(K69,'Включаем не включаем'!$A$1:$B$65536,2,0),"не включаем")</f>
        <v>не включаем</v>
      </c>
      <c r="M69" s="86" t="s">
        <v>1181</v>
      </c>
      <c r="N69" s="92" t="s">
        <v>128</v>
      </c>
      <c r="O69" s="92" t="s">
        <v>541</v>
      </c>
      <c r="P69" s="69">
        <f>DAYS360(M69,F69,TRUE)/30</f>
        <v>14.766666666667</v>
      </c>
      <c r="Q69" s="64" t="str">
        <f>IF(DAYS360(M69,F69,TRUE)&gt;120,"-","увольнение в течении испытательного срока")</f>
        <v>-</v>
      </c>
      <c r="R69" s="64" t="str">
        <f>IF(ISBLANK(B69),"-",IF(ISERROR(FIND("вич",B69,1)),"ж","м"))</f>
        <v>м</v>
      </c>
      <c r="S69" s="86" t="s">
        <v>2329</v>
      </c>
      <c r="T69" s="86" t="s">
        <v>2321</v>
      </c>
      <c r="U69" s="190" t="s">
        <v>2711</v>
      </c>
      <c r="V69" s="206" t="s">
        <v>135</v>
      </c>
    </row>
    <row r="70" spans="1:39" customHeight="1" ht="22.5">
      <c r="A70" s="86" t="s">
        <v>2939</v>
      </c>
      <c r="B70" s="86" t="s">
        <v>2940</v>
      </c>
      <c r="C70" s="86" t="s">
        <v>464</v>
      </c>
      <c r="D70" s="86" t="s">
        <v>503</v>
      </c>
      <c r="E70" s="86" t="s">
        <v>618</v>
      </c>
      <c r="F70" s="86" t="s">
        <v>2941</v>
      </c>
      <c r="G70" s="91"/>
      <c r="H70" s="706" t="s">
        <v>2561</v>
      </c>
      <c r="I70" s="303"/>
      <c r="J70" s="707" t="s">
        <v>561</v>
      </c>
      <c r="K70" s="190" t="s">
        <v>2539</v>
      </c>
      <c r="L70" s="92" t="str">
        <f>IF(O70="Постоянный",VLOOKUP(K70,'Включаем не включаем'!$A$1:$B$65536,2,0),"не включаем")</f>
        <v>не включаем</v>
      </c>
      <c r="M70" s="86" t="s">
        <v>937</v>
      </c>
      <c r="N70" s="92" t="s">
        <v>128</v>
      </c>
      <c r="O70" s="92" t="s">
        <v>528</v>
      </c>
      <c r="P70" s="69">
        <f>DAYS360(M70,F70,TRUE)/30</f>
        <v>0.1</v>
      </c>
      <c r="Q70" s="64" t="str">
        <f>IF(DAYS360(M70,F70,TRUE)&gt;120,"-","увольнение в течении испытательного срока")</f>
        <v>увольнение в течении испытательного срока</v>
      </c>
      <c r="R70" s="64" t="str">
        <f>IF(ISBLANK(B70),"-",IF(ISERROR(FIND("вич",B70,1)),"ж","м"))</f>
        <v>ж</v>
      </c>
      <c r="S70" s="86" t="s">
        <v>2942</v>
      </c>
      <c r="T70" s="86" t="s">
        <v>2321</v>
      </c>
      <c r="U70" s="190" t="s">
        <v>2711</v>
      </c>
      <c r="V70" s="206" t="s">
        <v>135</v>
      </c>
    </row>
    <row r="71" spans="1:39" customHeight="1" ht="33.75">
      <c r="A71" s="724" t="s">
        <v>984</v>
      </c>
      <c r="B71" s="724" t="s">
        <v>985</v>
      </c>
      <c r="C71" s="724" t="s">
        <v>987</v>
      </c>
      <c r="D71" s="724" t="s">
        <v>144</v>
      </c>
      <c r="E71" s="724" t="s">
        <v>612</v>
      </c>
      <c r="F71" s="724" t="s">
        <v>2943</v>
      </c>
      <c r="G71" s="91"/>
      <c r="H71" s="68" t="s">
        <v>2561</v>
      </c>
      <c r="I71" s="303"/>
      <c r="J71" s="234" t="s">
        <v>566</v>
      </c>
      <c r="K71" s="190" t="s">
        <v>2545</v>
      </c>
      <c r="L71" s="92" t="str">
        <f>IF(O71="Постоянный",VLOOKUP(K71,'Включаем не включаем'!$A$1:$B$65536,2,0),"не включаем")</f>
        <v>не включаем</v>
      </c>
      <c r="M71" s="724" t="s">
        <v>705</v>
      </c>
      <c r="N71" s="92" t="s">
        <v>128</v>
      </c>
      <c r="O71" s="92" t="s">
        <v>528</v>
      </c>
      <c r="P71" s="69">
        <f>DAYS360(M71,F71,TRUE)/30</f>
        <v>9.9333333333333</v>
      </c>
      <c r="Q71" s="64" t="str">
        <f>IF(DAYS360(M71,F71,TRUE)&gt;120,"-","увольнение в течении испытательного срока")</f>
        <v>-</v>
      </c>
      <c r="R71" s="64" t="str">
        <f>IF(ISBLANK(B71),"-",IF(ISERROR(FIND("вич",B71,1)),"ж","м"))</f>
        <v>м</v>
      </c>
      <c r="S71" s="724" t="s">
        <v>986</v>
      </c>
      <c r="T71" s="724" t="s">
        <v>817</v>
      </c>
      <c r="U71" s="91"/>
      <c r="V71" s="206"/>
    </row>
    <row r="72" spans="1:39" customHeight="1" ht="22.5">
      <c r="A72" s="724" t="s">
        <v>1619</v>
      </c>
      <c r="B72" s="724" t="s">
        <v>1620</v>
      </c>
      <c r="C72" s="724" t="s">
        <v>378</v>
      </c>
      <c r="D72" s="724" t="s">
        <v>329</v>
      </c>
      <c r="E72" s="724" t="s">
        <v>618</v>
      </c>
      <c r="F72" s="724" t="s">
        <v>2943</v>
      </c>
      <c r="G72" s="91"/>
      <c r="H72" s="68" t="s">
        <v>2561</v>
      </c>
      <c r="I72" s="303"/>
      <c r="J72" s="234" t="s">
        <v>566</v>
      </c>
      <c r="K72" s="190" t="s">
        <v>2531</v>
      </c>
      <c r="L72" s="92" t="str">
        <f>IF(O72="Постоянный",VLOOKUP(K72,'Включаем не включаем'!$A$1:$B$65536,2,0),"не включаем")</f>
        <v>не включаем</v>
      </c>
      <c r="M72" s="724" t="s">
        <v>1621</v>
      </c>
      <c r="N72" s="92" t="s">
        <v>128</v>
      </c>
      <c r="O72" s="92" t="s">
        <v>528</v>
      </c>
      <c r="P72" s="69">
        <f>DAYS360(M72,F72,TRUE)/30</f>
        <v>2.6333333333333</v>
      </c>
      <c r="Q72" s="64" t="str">
        <f>IF(DAYS360(M72,F72,TRUE)&gt;120,"-","увольнение в течении испытательного срока")</f>
        <v>увольнение в течении испытательного срока</v>
      </c>
      <c r="R72" s="64" t="str">
        <f>IF(ISBLANK(B72),"-",IF(ISERROR(FIND("вич",B72,1)),"ж","м"))</f>
        <v>м</v>
      </c>
      <c r="S72" s="724" t="s">
        <v>1622</v>
      </c>
      <c r="T72" s="724" t="s">
        <v>996</v>
      </c>
      <c r="U72" s="190" t="s">
        <v>2724</v>
      </c>
      <c r="V72" s="189" t="s">
        <v>130</v>
      </c>
    </row>
    <row r="73" spans="1:39" customHeight="1" ht="22.5">
      <c r="A73" s="724" t="s">
        <v>1813</v>
      </c>
      <c r="B73" s="724" t="s">
        <v>1814</v>
      </c>
      <c r="C73" s="724" t="s">
        <v>1812</v>
      </c>
      <c r="D73" s="724" t="s">
        <v>235</v>
      </c>
      <c r="E73" s="724" t="s">
        <v>618</v>
      </c>
      <c r="F73" s="724" t="s">
        <v>2943</v>
      </c>
      <c r="G73" s="91"/>
      <c r="H73" s="68" t="s">
        <v>2561</v>
      </c>
      <c r="I73" s="303"/>
      <c r="J73" s="234" t="s">
        <v>566</v>
      </c>
      <c r="K73" s="190" t="s">
        <v>2535</v>
      </c>
      <c r="L73" s="92" t="str">
        <f>IF(O73="Постоянный",VLOOKUP(K73,'Включаем не включаем'!$A$1:$B$65536,2,0),"не включаем")</f>
        <v>не включаем</v>
      </c>
      <c r="M73" s="724" t="s">
        <v>1815</v>
      </c>
      <c r="N73" s="92" t="s">
        <v>128</v>
      </c>
      <c r="O73" s="92" t="s">
        <v>528</v>
      </c>
      <c r="P73" s="69">
        <f>DAYS360(M73,F73,TRUE)/30</f>
        <v>6.6333333333333</v>
      </c>
      <c r="Q73" s="64" t="str">
        <f>IF(DAYS360(M73,F73,TRUE)&gt;120,"-","увольнение в течении испытательного срока")</f>
        <v>-</v>
      </c>
      <c r="R73" s="64" t="str">
        <f>IF(ISBLANK(B73),"-",IF(ISERROR(FIND("вич",B73,1)),"ж","м"))</f>
        <v>ж</v>
      </c>
      <c r="S73" s="724" t="s">
        <v>1816</v>
      </c>
      <c r="T73" s="724" t="s">
        <v>996</v>
      </c>
      <c r="U73" s="190" t="s">
        <v>2895</v>
      </c>
      <c r="V73" s="189" t="s">
        <v>226</v>
      </c>
    </row>
    <row r="74" spans="1:39" customHeight="1" ht="33.75">
      <c r="A74" s="724" t="s">
        <v>940</v>
      </c>
      <c r="B74" s="724" t="s">
        <v>2944</v>
      </c>
      <c r="C74" s="724" t="s">
        <v>257</v>
      </c>
      <c r="D74" s="724" t="s">
        <v>249</v>
      </c>
      <c r="E74" s="724" t="s">
        <v>612</v>
      </c>
      <c r="F74" s="724" t="s">
        <v>2943</v>
      </c>
      <c r="G74" s="91"/>
      <c r="H74" s="68" t="s">
        <v>2561</v>
      </c>
      <c r="I74" s="303"/>
      <c r="J74" s="234" t="s">
        <v>566</v>
      </c>
      <c r="K74" s="190" t="s">
        <v>2537</v>
      </c>
      <c r="L74" s="92" t="str">
        <f>IF(O74="Постоянный",VLOOKUP(K74,'Включаем не включаем'!$A$1:$B$65536,2,0),"не включаем")</f>
        <v>не включаем</v>
      </c>
      <c r="M74" s="724" t="s">
        <v>1100</v>
      </c>
      <c r="N74" s="92" t="s">
        <v>128</v>
      </c>
      <c r="O74" s="92" t="s">
        <v>528</v>
      </c>
      <c r="P74" s="69">
        <f>DAYS360(M74,F74,TRUE)/30</f>
        <v>88.666666666667</v>
      </c>
      <c r="Q74" s="64" t="str">
        <f>IF(DAYS360(M74,F74,TRUE)&gt;120,"-","увольнение в течении испытательного срока")</f>
        <v>-</v>
      </c>
      <c r="R74" s="64" t="str">
        <f>IF(ISBLANK(B74),"-",IF(ISERROR(FIND("вич",B74,1)),"ж","м"))</f>
        <v>ж</v>
      </c>
      <c r="S74" s="724" t="s">
        <v>2945</v>
      </c>
      <c r="T74" s="724" t="s">
        <v>996</v>
      </c>
      <c r="U74" s="190" t="s">
        <v>2946</v>
      </c>
      <c r="V74" s="189" t="s">
        <v>594</v>
      </c>
    </row>
    <row r="75" spans="1:39" customHeight="1" ht="22.5">
      <c r="A75" s="724" t="s">
        <v>2947</v>
      </c>
      <c r="B75" s="724" t="s">
        <v>2948</v>
      </c>
      <c r="C75" s="724" t="s">
        <v>378</v>
      </c>
      <c r="D75" s="724" t="s">
        <v>382</v>
      </c>
      <c r="E75" s="724" t="s">
        <v>618</v>
      </c>
      <c r="F75" s="724" t="s">
        <v>2943</v>
      </c>
      <c r="G75" s="91"/>
      <c r="H75" s="68" t="s">
        <v>2561</v>
      </c>
      <c r="I75" s="303"/>
      <c r="J75" s="234" t="s">
        <v>566</v>
      </c>
      <c r="K75" s="190" t="s">
        <v>2535</v>
      </c>
      <c r="L75" s="92" t="str">
        <f>IF(O75="Постоянный",VLOOKUP(K75,'Включаем не включаем'!$A$1:$B$65536,2,0),"не включаем")</f>
        <v>не включаем</v>
      </c>
      <c r="M75" s="724" t="s">
        <v>1393</v>
      </c>
      <c r="N75" s="92" t="s">
        <v>128</v>
      </c>
      <c r="O75" s="92" t="s">
        <v>528</v>
      </c>
      <c r="P75" s="69">
        <f>DAYS360(M75,F75,TRUE)/30</f>
        <v>114.93333333333</v>
      </c>
      <c r="Q75" s="64" t="str">
        <f>IF(DAYS360(M75,F75,TRUE)&gt;120,"-","увольнение в течении испытательного срока")</f>
        <v>-</v>
      </c>
      <c r="R75" s="64" t="str">
        <f>IF(ISBLANK(B75),"-",IF(ISERROR(FIND("вич",B75,1)),"ж","м"))</f>
        <v>ж</v>
      </c>
      <c r="S75" s="724" t="s">
        <v>2949</v>
      </c>
      <c r="T75" s="724" t="s">
        <v>996</v>
      </c>
      <c r="U75" s="190" t="s">
        <v>2724</v>
      </c>
      <c r="V75" s="189" t="s">
        <v>130</v>
      </c>
    </row>
    <row r="76" spans="1:39" customHeight="1" ht="22.5">
      <c r="A76" s="724" t="s">
        <v>2950</v>
      </c>
      <c r="B76" s="724" t="s">
        <v>2951</v>
      </c>
      <c r="C76" s="724" t="s">
        <v>1618</v>
      </c>
      <c r="D76" s="724" t="s">
        <v>635</v>
      </c>
      <c r="E76" s="724" t="s">
        <v>618</v>
      </c>
      <c r="F76" s="724" t="s">
        <v>2943</v>
      </c>
      <c r="G76" s="91"/>
      <c r="H76" s="68" t="s">
        <v>2561</v>
      </c>
      <c r="I76" s="303"/>
      <c r="J76" s="234" t="s">
        <v>566</v>
      </c>
      <c r="K76" s="190" t="s">
        <v>2529</v>
      </c>
      <c r="L76" s="92" t="str">
        <f>IF(O76="Постоянный",VLOOKUP(K76,'Включаем не включаем'!$A$1:$B$65536,2,0),"не включаем")</f>
        <v>не включаем</v>
      </c>
      <c r="M76" s="724" t="s">
        <v>1777</v>
      </c>
      <c r="N76" s="92" t="s">
        <v>128</v>
      </c>
      <c r="O76" s="92" t="s">
        <v>528</v>
      </c>
      <c r="P76" s="69">
        <f>DAYS360(M76,F76,TRUE)/30</f>
        <v>30.933333333333</v>
      </c>
      <c r="Q76" s="64" t="str">
        <f>IF(DAYS360(M76,F76,TRUE)&gt;120,"-","увольнение в течении испытательного срока")</f>
        <v>-</v>
      </c>
      <c r="R76" s="64" t="str">
        <f>IF(ISBLANK(B76),"-",IF(ISERROR(FIND("вич",B76,1)),"ж","м"))</f>
        <v>м</v>
      </c>
      <c r="S76" s="724" t="s">
        <v>2952</v>
      </c>
      <c r="T76" s="724" t="s">
        <v>996</v>
      </c>
      <c r="U76" s="190" t="s">
        <v>2707</v>
      </c>
      <c r="V76" s="189" t="s">
        <v>130</v>
      </c>
    </row>
    <row r="77" spans="1:39" customHeight="1" ht="22.5">
      <c r="A77" s="724" t="s">
        <v>2293</v>
      </c>
      <c r="B77" s="724" t="s">
        <v>2294</v>
      </c>
      <c r="C77" s="724" t="s">
        <v>2296</v>
      </c>
      <c r="D77" s="724" t="s">
        <v>2297</v>
      </c>
      <c r="E77" s="724" t="s">
        <v>618</v>
      </c>
      <c r="F77" s="724" t="s">
        <v>2943</v>
      </c>
      <c r="G77" s="91"/>
      <c r="H77" s="68" t="s">
        <v>2561</v>
      </c>
      <c r="I77" s="303"/>
      <c r="J77" s="234" t="s">
        <v>566</v>
      </c>
      <c r="K77" s="190" t="s">
        <v>2553</v>
      </c>
      <c r="L77" s="92" t="str">
        <f>IF(O77="Постоянный",VLOOKUP(K77,'Включаем не включаем'!$A$1:$B$65536,2,0),"не включаем")</f>
        <v>не включаем</v>
      </c>
      <c r="M77" s="724" t="s">
        <v>1100</v>
      </c>
      <c r="N77" s="92" t="s">
        <v>128</v>
      </c>
      <c r="O77" s="92" t="s">
        <v>528</v>
      </c>
      <c r="P77" s="69">
        <f>DAYS360(M77,F77,TRUE)/30</f>
        <v>88.666666666667</v>
      </c>
      <c r="Q77" s="64" t="str">
        <f>IF(DAYS360(M77,F77,TRUE)&gt;120,"-","увольнение в течении испытательного срока")</f>
        <v>-</v>
      </c>
      <c r="R77" s="64" t="str">
        <f>IF(ISBLANK(B77),"-",IF(ISERROR(FIND("вич",B77,1)),"ж","м"))</f>
        <v>ж</v>
      </c>
      <c r="S77" s="724" t="s">
        <v>2295</v>
      </c>
      <c r="T77" s="724" t="s">
        <v>996</v>
      </c>
      <c r="U77" s="190" t="s">
        <v>2953</v>
      </c>
      <c r="V77" s="189" t="s">
        <v>594</v>
      </c>
    </row>
    <row r="78" spans="1:39" customHeight="1" ht="22.5">
      <c r="A78" s="724" t="s">
        <v>2954</v>
      </c>
      <c r="B78" s="724" t="s">
        <v>2955</v>
      </c>
      <c r="C78" s="724" t="s">
        <v>212</v>
      </c>
      <c r="D78" s="724" t="s">
        <v>215</v>
      </c>
      <c r="E78" s="724" t="s">
        <v>618</v>
      </c>
      <c r="F78" s="724" t="s">
        <v>2100</v>
      </c>
      <c r="G78" s="91"/>
      <c r="H78" s="68" t="s">
        <v>2561</v>
      </c>
      <c r="I78" s="303"/>
      <c r="J78" s="234" t="s">
        <v>566</v>
      </c>
      <c r="K78" s="190" t="s">
        <v>2529</v>
      </c>
      <c r="L78" s="92" t="str">
        <f>IF(O78="Постоянный",VLOOKUP(K78,'Включаем не включаем'!$A$1:$B$65536,2,0),"не включаем")</f>
        <v>не включаем</v>
      </c>
      <c r="M78" s="724" t="s">
        <v>2710</v>
      </c>
      <c r="N78" s="92" t="s">
        <v>128</v>
      </c>
      <c r="O78" s="92" t="s">
        <v>528</v>
      </c>
      <c r="P78" s="69">
        <f>DAYS360(M78,F78,TRUE)/30</f>
        <v>14.566666666667</v>
      </c>
      <c r="Q78" s="64" t="str">
        <f>IF(DAYS360(M78,F78,TRUE)&gt;120,"-","увольнение в течении испытательного срока")</f>
        <v>-</v>
      </c>
      <c r="R78" s="64" t="str">
        <f>IF(ISBLANK(B78),"-",IF(ISERROR(FIND("вич",B78,1)),"ж","м"))</f>
        <v>м</v>
      </c>
      <c r="S78" s="724" t="s">
        <v>2956</v>
      </c>
      <c r="T78" s="724" t="s">
        <v>996</v>
      </c>
      <c r="U78" s="190" t="s">
        <v>2841</v>
      </c>
      <c r="V78" s="189" t="s">
        <v>182</v>
      </c>
    </row>
    <row r="79" spans="1:39" customHeight="1" ht="22.5">
      <c r="A79" s="724" t="s">
        <v>2957</v>
      </c>
      <c r="B79" s="724" t="s">
        <v>2958</v>
      </c>
      <c r="C79" s="724" t="s">
        <v>180</v>
      </c>
      <c r="D79" s="724" t="s">
        <v>2959</v>
      </c>
      <c r="E79" s="724" t="s">
        <v>618</v>
      </c>
      <c r="F79" s="724" t="s">
        <v>2960</v>
      </c>
      <c r="G79" s="91"/>
      <c r="H79" s="68" t="s">
        <v>2561</v>
      </c>
      <c r="I79" s="303"/>
      <c r="J79" s="234" t="s">
        <v>566</v>
      </c>
      <c r="K79" s="190" t="s">
        <v>2548</v>
      </c>
      <c r="L79" s="92" t="str">
        <f>IF(O79="Постоянный",VLOOKUP(K79,'Включаем не включаем'!$A$1:$B$65536,2,0),"не включаем")</f>
        <v>не включаем</v>
      </c>
      <c r="M79" s="724" t="s">
        <v>1136</v>
      </c>
      <c r="N79" s="92" t="s">
        <v>128</v>
      </c>
      <c r="O79" s="92" t="s">
        <v>528</v>
      </c>
      <c r="P79" s="69">
        <f>DAYS360(M79,F79,TRUE)/30</f>
        <v>13.266666666667</v>
      </c>
      <c r="Q79" s="64" t="str">
        <f>IF(DAYS360(M79,F79,TRUE)&gt;120,"-","увольнение в течении испытательного срока")</f>
        <v>-</v>
      </c>
      <c r="R79" s="64" t="str">
        <f>IF(ISBLANK(B79),"-",IF(ISERROR(FIND("вич",B79,1)),"ж","м"))</f>
        <v>м</v>
      </c>
      <c r="S79" s="724" t="s">
        <v>2961</v>
      </c>
      <c r="T79" s="724" t="s">
        <v>996</v>
      </c>
      <c r="U79" s="190" t="s">
        <v>2841</v>
      </c>
      <c r="V79" s="189" t="s">
        <v>182</v>
      </c>
    </row>
    <row r="80" spans="1:39" customHeight="1" ht="33.75">
      <c r="A80" s="724" t="s">
        <v>2962</v>
      </c>
      <c r="B80" s="724" t="s">
        <v>2963</v>
      </c>
      <c r="C80" s="724" t="s">
        <v>410</v>
      </c>
      <c r="D80" s="724" t="s">
        <v>232</v>
      </c>
      <c r="E80" s="724" t="s">
        <v>618</v>
      </c>
      <c r="F80" s="724" t="s">
        <v>1838</v>
      </c>
      <c r="G80" s="91"/>
      <c r="H80" s="68" t="s">
        <v>2561</v>
      </c>
      <c r="I80" s="303"/>
      <c r="J80" s="234" t="s">
        <v>566</v>
      </c>
      <c r="K80" s="190" t="s">
        <v>2529</v>
      </c>
      <c r="L80" s="92" t="str">
        <f>IF(O80="Постоянный",VLOOKUP(K80,'Включаем не включаем'!$A$1:$B$65536,2,0),"не включаем")</f>
        <v>не включаем</v>
      </c>
      <c r="M80" s="724" t="s">
        <v>2964</v>
      </c>
      <c r="N80" s="92" t="s">
        <v>128</v>
      </c>
      <c r="O80" s="92" t="s">
        <v>528</v>
      </c>
      <c r="P80" s="69">
        <f>DAYS360(M80,F80,TRUE)/30</f>
        <v>36.5</v>
      </c>
      <c r="Q80" s="64" t="str">
        <f>IF(DAYS360(M80,F80,TRUE)&gt;120,"-","увольнение в течении испытательного срока")</f>
        <v>-</v>
      </c>
      <c r="R80" s="64" t="str">
        <f>IF(ISBLANK(B80),"-",IF(ISERROR(FIND("вич",B80,1)),"ж","м"))</f>
        <v>м</v>
      </c>
      <c r="S80" s="724" t="s">
        <v>2965</v>
      </c>
      <c r="T80" s="724" t="s">
        <v>996</v>
      </c>
      <c r="U80" s="190" t="s">
        <v>2966</v>
      </c>
      <c r="V80" s="189" t="s">
        <v>226</v>
      </c>
    </row>
    <row r="81" spans="1:39" customHeight="1" ht="33.75">
      <c r="A81" s="724" t="s">
        <v>2967</v>
      </c>
      <c r="B81" s="724" t="s">
        <v>2968</v>
      </c>
      <c r="C81" s="724" t="s">
        <v>725</v>
      </c>
      <c r="D81" s="724" t="s">
        <v>235</v>
      </c>
      <c r="E81" s="724" t="s">
        <v>618</v>
      </c>
      <c r="F81" s="724" t="s">
        <v>1823</v>
      </c>
      <c r="G81" s="91"/>
      <c r="H81" s="68" t="s">
        <v>2561</v>
      </c>
      <c r="I81" s="303"/>
      <c r="J81" s="234" t="s">
        <v>566</v>
      </c>
      <c r="K81" s="190" t="s">
        <v>2531</v>
      </c>
      <c r="L81" s="92" t="str">
        <f>IF(O81="Постоянный",VLOOKUP(K81,'Включаем не включаем'!$A$1:$B$65536,2,0),"не включаем")</f>
        <v>не включаем</v>
      </c>
      <c r="M81" s="724" t="s">
        <v>2969</v>
      </c>
      <c r="N81" s="92" t="s">
        <v>128</v>
      </c>
      <c r="O81" s="92" t="s">
        <v>528</v>
      </c>
      <c r="P81" s="69">
        <f>DAYS360(M81,F81,TRUE)/30</f>
        <v>73.733333333333</v>
      </c>
      <c r="Q81" s="64" t="str">
        <f>IF(DAYS360(M81,F81,TRUE)&gt;120,"-","увольнение в течении испытательного срока")</f>
        <v>-</v>
      </c>
      <c r="R81" s="64" t="str">
        <f>IF(ISBLANK(B81),"-",IF(ISERROR(FIND("вич",B81,1)),"ж","м"))</f>
        <v>м</v>
      </c>
      <c r="S81" s="724" t="s">
        <v>2970</v>
      </c>
      <c r="T81" s="724" t="s">
        <v>613</v>
      </c>
      <c r="U81" s="190" t="s">
        <v>2761</v>
      </c>
      <c r="V81" s="189" t="s">
        <v>280</v>
      </c>
    </row>
    <row r="82" spans="1:39" customHeight="1" ht="22.5">
      <c r="A82" s="724" t="s">
        <v>2971</v>
      </c>
      <c r="B82" s="724" t="s">
        <v>2972</v>
      </c>
      <c r="C82" s="724" t="s">
        <v>504</v>
      </c>
      <c r="D82" s="724" t="s">
        <v>2973</v>
      </c>
      <c r="E82" s="724" t="s">
        <v>618</v>
      </c>
      <c r="F82" s="724" t="s">
        <v>633</v>
      </c>
      <c r="G82" s="91"/>
      <c r="H82" s="68" t="s">
        <v>2561</v>
      </c>
      <c r="I82" s="303"/>
      <c r="J82" s="234" t="s">
        <v>566</v>
      </c>
      <c r="K82" s="190" t="s">
        <v>2528</v>
      </c>
      <c r="L82" s="92" t="str">
        <f>IF(O82="Постоянный",VLOOKUP(K82,'Включаем не включаем'!$A$1:$B$65536,2,0),"не включаем")</f>
        <v>не включаем</v>
      </c>
      <c r="M82" s="724" t="s">
        <v>2893</v>
      </c>
      <c r="N82" s="92" t="s">
        <v>128</v>
      </c>
      <c r="O82" s="92" t="s">
        <v>528</v>
      </c>
      <c r="P82" s="69">
        <f>DAYS360(M82,F82,TRUE)/30</f>
        <v>1.0666666666667</v>
      </c>
      <c r="Q82" s="64" t="str">
        <f>IF(DAYS360(M82,F82,TRUE)&gt;120,"-","увольнение в течении испытательного срока")</f>
        <v>увольнение в течении испытательного срока</v>
      </c>
      <c r="R82" s="64" t="str">
        <f>IF(ISBLANK(B82),"-",IF(ISERROR(FIND("вич",B82,1)),"ж","м"))</f>
        <v>м</v>
      </c>
      <c r="S82" s="724" t="s">
        <v>2974</v>
      </c>
      <c r="T82" s="86" t="s">
        <v>2321</v>
      </c>
      <c r="U82" s="190" t="s">
        <v>2711</v>
      </c>
      <c r="V82" s="189" t="s">
        <v>135</v>
      </c>
    </row>
    <row r="83" spans="1:39" customHeight="1" ht="22.5">
      <c r="A83" s="724" t="s">
        <v>2975</v>
      </c>
      <c r="B83" s="724" t="s">
        <v>2976</v>
      </c>
      <c r="C83" s="724" t="s">
        <v>506</v>
      </c>
      <c r="D83" s="724" t="s">
        <v>510</v>
      </c>
      <c r="E83" s="724" t="s">
        <v>618</v>
      </c>
      <c r="F83" s="724" t="s">
        <v>1237</v>
      </c>
      <c r="G83" s="91"/>
      <c r="H83" s="68" t="s">
        <v>2561</v>
      </c>
      <c r="I83" s="303"/>
      <c r="J83" s="234" t="s">
        <v>566</v>
      </c>
      <c r="K83" s="190" t="s">
        <v>2545</v>
      </c>
      <c r="L83" s="92" t="str">
        <f>IF(O83="Постоянный",VLOOKUP(K83,'Включаем не включаем'!$A$1:$B$65536,2,0),"не включаем")</f>
        <v>не включаем</v>
      </c>
      <c r="M83" s="724" t="s">
        <v>2977</v>
      </c>
      <c r="N83" s="92" t="s">
        <v>128</v>
      </c>
      <c r="O83" s="92" t="s">
        <v>528</v>
      </c>
      <c r="P83" s="69">
        <f>DAYS360(M83,F83,TRUE)/30</f>
        <v>4.6</v>
      </c>
      <c r="Q83" s="64" t="str">
        <f>IF(DAYS360(M83,F83,TRUE)&gt;120,"-","увольнение в течении испытательного срока")</f>
        <v>-</v>
      </c>
      <c r="R83" s="64" t="str">
        <f>IF(ISBLANK(B83),"-",IF(ISERROR(FIND("вич",B83,1)),"ж","м"))</f>
        <v>ж</v>
      </c>
      <c r="S83" s="724" t="s">
        <v>2978</v>
      </c>
      <c r="T83" s="729" t="s">
        <v>2460</v>
      </c>
      <c r="U83" s="190" t="s">
        <v>2979</v>
      </c>
      <c r="V83" s="189" t="s">
        <v>509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dataValidations count="5">
    <dataValidation type="list" errorStyle="stop" operator="between" allowBlank="1" showDropDown="0" showInputMessage="1" showErrorMessage="1" sqref="H3:H83">
      <formula1>Статьи_увольнения</formula1>
    </dataValidation>
    <dataValidation type="list" errorStyle="stop" operator="between" allowBlank="1" showDropDown="0" showInputMessage="1" showErrorMessage="1" sqref="J3:J83">
      <formula1>Месяц</formula1>
    </dataValidation>
    <dataValidation type="list" errorStyle="stop" operator="between" allowBlank="1" showDropDown="0" showInputMessage="0" showErrorMessage="1" sqref="K3:K83">
      <formula1>Реальные_причины_увольнения</formula1>
      <formula2>0</formula2>
    </dataValidation>
    <dataValidation type="list" errorStyle="stop" operator="between" allowBlank="1" showDropDown="0" showInputMessage="0" showErrorMessage="1" sqref="N3:N83">
      <formula1>Город</formula1>
      <formula2>0</formula2>
    </dataValidation>
    <dataValidation type="list" errorStyle="stop" operator="between" allowBlank="1" showDropDown="0" showInputMessage="0" showErrorMessage="1" sqref="O3:O83">
      <formula1>Тип_договора</formula1>
      <formula2>0</formula2>
    </dataValidation>
  </dataValidations>
  <printOptions gridLines="false" gridLinesSet="true"/>
  <pageMargins left="0.39370078740157" right="0.39370078740157" top="0.74803149606299" bottom="0.74803149606299" header="0.51181102362205" footer="0.51181102362205"/>
  <pageSetup paperSize="9" orientation="landscape" scale="34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W139"/>
  <sheetViews>
    <sheetView tabSelected="0" workbookViewId="0" showGridLines="true" showRowColHeaders="1">
      <selection activeCell="C13" sqref="C13:D13"/>
    </sheetView>
  </sheetViews>
  <sheetFormatPr customHeight="true" defaultRowHeight="15" outlineLevelRow="0" outlineLevelCol="0"/>
  <cols>
    <col min="1" max="1" width="43.42578125" customWidth="true" style="225"/>
    <col min="2" max="2" width="20.7109375" customWidth="true" style="225"/>
    <col min="3" max="3" width="32.85546875" customWidth="true" style="73"/>
    <col min="4" max="4" width="5.140625" customWidth="true" style="0"/>
    <col min="5" max="5" width="5.140625" customWidth="true" style="0"/>
    <col min="6" max="6" width="11.7109375" customWidth="true" style="0"/>
    <col min="7" max="7" width="45.5703125" customWidth="true" style="0"/>
    <col min="8" max="8" width="11.7109375" customWidth="true" style="0"/>
    <col min="9" max="9" width="11.7109375" customWidth="true" style="0"/>
    <col min="10" max="10" width="11.7109375" customWidth="true" style="0"/>
    <col min="20" max="20" width="7" customWidth="true" style="0"/>
    <col min="21" max="21" width="9.140625" hidden="true" customWidth="true" style="0"/>
    <col min="22" max="22" width="9.140625" hidden="true" customWidth="true" style="0"/>
    <col min="23" max="23" width="9.140625" hidden="true" customWidth="true" style="0"/>
  </cols>
  <sheetData>
    <row r="1" spans="1:23" customHeight="1" ht="15">
      <c r="A1" s="431" t="s">
        <v>2980</v>
      </c>
    </row>
    <row r="2" spans="1:23" customHeight="1" ht="15">
      <c r="A2"/>
      <c r="B2"/>
    </row>
    <row r="3" spans="1:23" customHeight="1" ht="15">
      <c r="A3"/>
      <c r="B3"/>
    </row>
    <row r="4" spans="1:23" customHeight="1" ht="15">
      <c r="A4" s="268" t="s">
        <v>65</v>
      </c>
      <c r="B4" s="269" t="s">
        <v>2626</v>
      </c>
    </row>
    <row r="5" spans="1:23" customHeight="1" ht="15">
      <c r="A5" s="360" t="s">
        <v>71</v>
      </c>
      <c r="B5" s="269" t="s">
        <v>2629</v>
      </c>
    </row>
    <row r="7" spans="1:23" customHeight="1" ht="15">
      <c r="A7" s="432" t="s">
        <v>2981</v>
      </c>
      <c r="B7" s="718"/>
      <c r="C7" s="718"/>
      <c r="D7" s="279"/>
    </row>
    <row r="8" spans="1:23" customHeight="1" ht="15">
      <c r="A8" s="264" t="s">
        <v>51</v>
      </c>
      <c r="B8" s="264" t="s">
        <v>62</v>
      </c>
      <c r="C8" s="432" t="s">
        <v>122</v>
      </c>
      <c r="D8" s="265" t="s">
        <v>2632</v>
      </c>
    </row>
    <row r="9" spans="1:23" customHeight="1" ht="15">
      <c r="A9" s="266" t="s">
        <v>613</v>
      </c>
      <c r="B9" s="266" t="s">
        <v>566</v>
      </c>
      <c r="C9" s="266" t="s">
        <v>280</v>
      </c>
      <c r="D9" s="277">
        <v>1</v>
      </c>
    </row>
    <row r="10" spans="1:23" customHeight="1" ht="15">
      <c r="A10" s="266" t="s">
        <v>2321</v>
      </c>
      <c r="B10" s="266" t="s">
        <v>566</v>
      </c>
      <c r="C10" s="266" t="s">
        <v>135</v>
      </c>
      <c r="D10" s="277">
        <v>1</v>
      </c>
    </row>
    <row r="11" spans="1:23" customHeight="1" ht="15">
      <c r="A11" s="266" t="s">
        <v>996</v>
      </c>
      <c r="B11" s="266" t="s">
        <v>566</v>
      </c>
      <c r="C11" s="266" t="s">
        <v>226</v>
      </c>
      <c r="D11" s="277">
        <v>2</v>
      </c>
    </row>
    <row r="12" spans="1:23" customHeight="1" ht="15">
      <c r="A12" s="738"/>
      <c r="B12" s="738"/>
      <c r="C12" s="267" t="s">
        <v>130</v>
      </c>
      <c r="D12" s="742">
        <v>3</v>
      </c>
    </row>
    <row r="13" spans="1:23" customHeight="1" ht="15">
      <c r="A13" s="738"/>
      <c r="B13" s="738"/>
      <c r="C13" s="267" t="s">
        <v>182</v>
      </c>
      <c r="D13" s="742">
        <v>1</v>
      </c>
    </row>
    <row r="14" spans="1:23" customHeight="1" ht="15">
      <c r="A14" s="738"/>
      <c r="B14" s="738"/>
      <c r="C14" s="267" t="s">
        <v>594</v>
      </c>
      <c r="D14" s="742">
        <v>1</v>
      </c>
    </row>
    <row r="15" spans="1:23" customHeight="1" ht="15">
      <c r="A15" s="433" t="s">
        <v>2651</v>
      </c>
      <c r="B15" s="737"/>
      <c r="C15" s="737"/>
      <c r="D15" s="278">
        <v>9</v>
      </c>
    </row>
    <row r="16" spans="1:23" customHeight="1" ht="15">
      <c r="A16"/>
      <c r="B16"/>
      <c r="C16"/>
    </row>
    <row r="17" spans="1:23" customHeight="1" ht="15">
      <c r="A17"/>
      <c r="B17"/>
      <c r="C17"/>
    </row>
    <row r="18" spans="1:23" customHeight="1" ht="15">
      <c r="A18"/>
      <c r="B18"/>
      <c r="C18"/>
    </row>
    <row r="19" spans="1:23" customHeight="1" ht="15">
      <c r="A19"/>
      <c r="B19"/>
      <c r="C19"/>
    </row>
    <row r="20" spans="1:23" customHeight="1" ht="15">
      <c r="A20"/>
      <c r="B20"/>
      <c r="C20"/>
    </row>
    <row r="21" spans="1:23" customHeight="1" ht="15">
      <c r="A21"/>
      <c r="B21"/>
      <c r="C21"/>
    </row>
    <row r="22" spans="1:23" customHeight="1" ht="15">
      <c r="A22"/>
      <c r="B22"/>
      <c r="C22"/>
    </row>
    <row r="23" spans="1:23" customHeight="1" ht="15">
      <c r="A23"/>
      <c r="B23"/>
      <c r="C23"/>
    </row>
    <row r="24" spans="1:23" customHeight="1" ht="15">
      <c r="A24"/>
      <c r="B24"/>
      <c r="C24"/>
    </row>
    <row r="25" spans="1:23" customHeight="1" ht="15">
      <c r="A25"/>
      <c r="B25"/>
      <c r="C25"/>
    </row>
    <row r="26" spans="1:23" customHeight="1" ht="15">
      <c r="A26"/>
      <c r="B26"/>
      <c r="C26"/>
    </row>
    <row r="27" spans="1:23" customHeight="1" ht="15">
      <c r="A27"/>
      <c r="B27"/>
      <c r="C27"/>
    </row>
    <row r="28" spans="1:23" customHeight="1" ht="15">
      <c r="A28"/>
      <c r="B28"/>
      <c r="C28"/>
    </row>
    <row r="29" spans="1:23" customHeight="1" ht="15">
      <c r="A29"/>
      <c r="B29"/>
      <c r="C29"/>
    </row>
    <row r="30" spans="1:23" customHeight="1" ht="15">
      <c r="A30"/>
      <c r="B30"/>
      <c r="C30"/>
    </row>
    <row r="31" spans="1:23" customHeight="1" ht="15">
      <c r="A31"/>
      <c r="B31"/>
      <c r="C31"/>
    </row>
    <row r="32" spans="1:23" customHeight="1" ht="15">
      <c r="A32"/>
      <c r="B32"/>
      <c r="C32"/>
    </row>
    <row r="33" spans="1:23" customHeight="1" ht="15">
      <c r="A33"/>
      <c r="B33"/>
      <c r="C33"/>
    </row>
    <row r="34" spans="1:23" customHeight="1" ht="15">
      <c r="A34"/>
      <c r="B34"/>
      <c r="C34"/>
    </row>
    <row r="35" spans="1:23" customHeight="1" ht="15">
      <c r="A35"/>
      <c r="B35"/>
      <c r="C35"/>
    </row>
    <row r="36" spans="1:23" customHeight="1" ht="15">
      <c r="A36"/>
      <c r="B36"/>
      <c r="C36"/>
    </row>
    <row r="37" spans="1:23" customHeight="1" ht="15">
      <c r="A37"/>
      <c r="B37"/>
      <c r="C37"/>
    </row>
    <row r="38" spans="1:23" customHeight="1" ht="15">
      <c r="A38"/>
      <c r="B38"/>
      <c r="C38"/>
    </row>
    <row r="39" spans="1:23" customHeight="1" ht="15">
      <c r="A39"/>
      <c r="B39"/>
      <c r="C39"/>
    </row>
    <row r="40" spans="1:23" customHeight="1" ht="15">
      <c r="A40"/>
      <c r="B40"/>
      <c r="C40"/>
    </row>
    <row r="41" spans="1:23" customHeight="1" ht="15">
      <c r="A41"/>
      <c r="B41"/>
      <c r="C41"/>
    </row>
    <row r="42" spans="1:23" customHeight="1" ht="15">
      <c r="A42"/>
      <c r="B42"/>
      <c r="C42"/>
    </row>
    <row r="43" spans="1:23" customHeight="1" ht="15">
      <c r="A43"/>
      <c r="B43"/>
      <c r="C43"/>
    </row>
    <row r="44" spans="1:23" customHeight="1" ht="15">
      <c r="A44"/>
      <c r="B44"/>
      <c r="C44"/>
    </row>
    <row r="45" spans="1:23" customHeight="1" ht="15">
      <c r="A45"/>
      <c r="B45"/>
      <c r="C45"/>
    </row>
    <row r="46" spans="1:23" customHeight="1" ht="15">
      <c r="A46"/>
      <c r="B46"/>
      <c r="C46"/>
    </row>
    <row r="47" spans="1:23" customHeight="1" ht="15">
      <c r="A47"/>
      <c r="B47"/>
      <c r="C47"/>
    </row>
    <row r="48" spans="1:23" customHeight="1" ht="15">
      <c r="A48"/>
      <c r="B48"/>
      <c r="C48"/>
    </row>
    <row r="49" spans="1:23" customHeight="1" ht="15">
      <c r="A49"/>
      <c r="B49"/>
      <c r="C49"/>
    </row>
    <row r="50" spans="1:23" customHeight="1" ht="15">
      <c r="A50"/>
      <c r="B50"/>
      <c r="C50"/>
    </row>
    <row r="51" spans="1:23" customHeight="1" ht="15">
      <c r="A51"/>
      <c r="B51"/>
      <c r="C51"/>
    </row>
    <row r="52" spans="1:23" customHeight="1" ht="15">
      <c r="A52"/>
      <c r="B52"/>
      <c r="C52"/>
    </row>
    <row r="53" spans="1:23" customHeight="1" ht="15">
      <c r="A53"/>
      <c r="B53"/>
      <c r="C53"/>
    </row>
    <row r="54" spans="1:23" customHeight="1" ht="15">
      <c r="A54"/>
      <c r="B54"/>
      <c r="C54"/>
    </row>
    <row r="55" spans="1:23" customHeight="1" ht="15">
      <c r="A55"/>
      <c r="B55"/>
      <c r="C55"/>
    </row>
    <row r="56" spans="1:23" customHeight="1" ht="15">
      <c r="A56"/>
      <c r="B56"/>
      <c r="C56"/>
    </row>
    <row r="57" spans="1:23" customHeight="1" ht="15">
      <c r="A57"/>
      <c r="B57"/>
      <c r="C57"/>
    </row>
    <row r="58" spans="1:23" customHeight="1" ht="15">
      <c r="A58"/>
      <c r="B58"/>
      <c r="C58"/>
    </row>
    <row r="59" spans="1:23" customHeight="1" ht="15">
      <c r="A59"/>
      <c r="B59"/>
      <c r="C59"/>
    </row>
    <row r="60" spans="1:23" customHeight="1" ht="15">
      <c r="A60"/>
      <c r="B60"/>
      <c r="C60"/>
    </row>
    <row r="61" spans="1:23" customHeight="1" ht="15">
      <c r="A61"/>
      <c r="B61"/>
      <c r="C61"/>
    </row>
    <row r="62" spans="1:23" customHeight="1" ht="15">
      <c r="A62"/>
      <c r="B62"/>
      <c r="C62"/>
    </row>
    <row r="63" spans="1:23" customHeight="1" ht="15">
      <c r="A63"/>
      <c r="B63"/>
      <c r="C63"/>
    </row>
    <row r="64" spans="1:23" customHeight="1" ht="15">
      <c r="A64"/>
      <c r="B64"/>
      <c r="C64"/>
    </row>
    <row r="65" spans="1:23" customHeight="1" ht="15">
      <c r="A65"/>
      <c r="B65"/>
      <c r="C65"/>
    </row>
    <row r="66" spans="1:23" customHeight="1" ht="15">
      <c r="A66"/>
      <c r="B66"/>
      <c r="C66"/>
    </row>
    <row r="67" spans="1:23" customHeight="1" ht="15">
      <c r="A67"/>
      <c r="B67"/>
      <c r="C67"/>
    </row>
    <row r="68" spans="1:23" customHeight="1" ht="15">
      <c r="A68"/>
      <c r="B68"/>
      <c r="C68"/>
    </row>
    <row r="69" spans="1:23" customHeight="1" ht="15">
      <c r="A69"/>
      <c r="B69"/>
      <c r="C69"/>
    </row>
    <row r="70" spans="1:23" customHeight="1" ht="15">
      <c r="A70"/>
      <c r="B70"/>
      <c r="C70"/>
    </row>
    <row r="71" spans="1:23" customHeight="1" ht="15">
      <c r="A71"/>
      <c r="B71"/>
      <c r="C71"/>
    </row>
    <row r="72" spans="1:23" customHeight="1" ht="15">
      <c r="A72"/>
      <c r="B72"/>
      <c r="C72"/>
    </row>
    <row r="73" spans="1:23" customHeight="1" ht="15">
      <c r="A73"/>
      <c r="B73"/>
      <c r="C73"/>
    </row>
    <row r="74" spans="1:23" customHeight="1" ht="15">
      <c r="A74"/>
      <c r="B74"/>
      <c r="C74"/>
    </row>
    <row r="75" spans="1:23" customHeight="1" ht="15">
      <c r="A75"/>
      <c r="B75"/>
      <c r="C75"/>
    </row>
    <row r="76" spans="1:23" customHeight="1" ht="15">
      <c r="A76"/>
      <c r="B76"/>
      <c r="C76"/>
    </row>
    <row r="77" spans="1:23" customHeight="1" ht="15">
      <c r="A77"/>
      <c r="B77"/>
      <c r="C77"/>
    </row>
    <row r="78" spans="1:23" customHeight="1" ht="15">
      <c r="A78"/>
      <c r="B78"/>
      <c r="C78"/>
    </row>
    <row r="79" spans="1:23" customHeight="1" ht="15">
      <c r="A79"/>
      <c r="B79"/>
      <c r="C79"/>
    </row>
    <row r="80" spans="1:23" customHeight="1" ht="15">
      <c r="A80"/>
      <c r="B80"/>
      <c r="C80"/>
    </row>
    <row r="81" spans="1:23" customHeight="1" ht="15">
      <c r="A81"/>
      <c r="B81"/>
      <c r="C81"/>
    </row>
    <row r="82" spans="1:23" customHeight="1" ht="15">
      <c r="A82"/>
      <c r="B82"/>
      <c r="C82"/>
    </row>
    <row r="83" spans="1:23" customHeight="1" ht="15">
      <c r="A83"/>
      <c r="B83"/>
      <c r="C83"/>
    </row>
    <row r="84" spans="1:23" customHeight="1" ht="15">
      <c r="A84"/>
      <c r="B84"/>
      <c r="C84"/>
    </row>
    <row r="85" spans="1:23" customHeight="1" ht="15">
      <c r="A85"/>
      <c r="B85"/>
      <c r="C85"/>
    </row>
    <row r="86" spans="1:23" customHeight="1" ht="15">
      <c r="A86"/>
      <c r="B86"/>
      <c r="C86"/>
    </row>
    <row r="87" spans="1:23" customHeight="1" ht="15">
      <c r="A87"/>
      <c r="B87"/>
      <c r="C87"/>
    </row>
    <row r="88" spans="1:23" customHeight="1" ht="15">
      <c r="A88"/>
      <c r="B88"/>
      <c r="C88"/>
    </row>
    <row r="89" spans="1:23" customHeight="1" ht="15">
      <c r="A89"/>
      <c r="B89"/>
      <c r="C89"/>
    </row>
    <row r="90" spans="1:23" customHeight="1" ht="15">
      <c r="A90"/>
      <c r="B90"/>
      <c r="C90"/>
    </row>
    <row r="91" spans="1:23" customHeight="1" ht="15">
      <c r="A91"/>
      <c r="B91"/>
      <c r="C91"/>
    </row>
    <row r="92" spans="1:23" customHeight="1" ht="15">
      <c r="A92"/>
      <c r="B92"/>
      <c r="C92"/>
    </row>
    <row r="93" spans="1:23" customHeight="1" ht="15">
      <c r="A93"/>
      <c r="B93"/>
      <c r="C93"/>
    </row>
    <row r="94" spans="1:23" customHeight="1" ht="15">
      <c r="A94"/>
      <c r="B94"/>
      <c r="C94"/>
    </row>
    <row r="95" spans="1:23" customHeight="1" ht="15">
      <c r="A95"/>
      <c r="B95"/>
      <c r="C95"/>
    </row>
    <row r="96" spans="1:23" customHeight="1" ht="15">
      <c r="A96"/>
      <c r="B96"/>
      <c r="C96"/>
    </row>
    <row r="97" spans="1:23" customHeight="1" ht="15">
      <c r="A97"/>
      <c r="B97"/>
      <c r="C97"/>
    </row>
    <row r="98" spans="1:23" customHeight="1" ht="15">
      <c r="A98"/>
      <c r="B98"/>
      <c r="C98"/>
    </row>
    <row r="99" spans="1:23" customHeight="1" ht="15">
      <c r="A99"/>
      <c r="B99"/>
      <c r="C99"/>
    </row>
    <row r="100" spans="1:23" customHeight="1" ht="15">
      <c r="A100"/>
      <c r="B100"/>
      <c r="C100"/>
    </row>
    <row r="101" spans="1:23" customHeight="1" ht="15">
      <c r="A101"/>
      <c r="B101"/>
      <c r="C101"/>
    </row>
    <row r="102" spans="1:23" customHeight="1" ht="15">
      <c r="A102"/>
      <c r="B102"/>
      <c r="C102"/>
    </row>
    <row r="103" spans="1:23" customHeight="1" ht="15">
      <c r="A103"/>
      <c r="B103"/>
      <c r="C103"/>
    </row>
    <row r="104" spans="1:23" customHeight="1" ht="15">
      <c r="A104"/>
      <c r="B104"/>
      <c r="C104"/>
    </row>
    <row r="105" spans="1:23" customHeight="1" ht="15">
      <c r="A105"/>
      <c r="B105"/>
      <c r="C105"/>
    </row>
    <row r="106" spans="1:23" customHeight="1" ht="15">
      <c r="A106"/>
      <c r="B106"/>
      <c r="C106"/>
    </row>
    <row r="107" spans="1:23" customHeight="1" ht="15">
      <c r="A107"/>
      <c r="B107"/>
      <c r="C107"/>
    </row>
    <row r="108" spans="1:23" customHeight="1" ht="15">
      <c r="A108"/>
      <c r="B108"/>
      <c r="C108"/>
    </row>
    <row r="109" spans="1:23" customHeight="1" ht="15">
      <c r="A109"/>
      <c r="B109"/>
      <c r="C109"/>
    </row>
    <row r="110" spans="1:23" customHeight="1" ht="15">
      <c r="A110"/>
      <c r="B110"/>
      <c r="C110"/>
    </row>
    <row r="111" spans="1:23" customHeight="1" ht="15">
      <c r="A111"/>
      <c r="B111"/>
      <c r="C111"/>
    </row>
    <row r="112" spans="1:23" customHeight="1" ht="15">
      <c r="A112"/>
      <c r="B112"/>
      <c r="C112"/>
    </row>
    <row r="113" spans="1:23" customHeight="1" ht="15">
      <c r="A113"/>
      <c r="B113"/>
      <c r="C113"/>
    </row>
    <row r="114" spans="1:23" customHeight="1" ht="15">
      <c r="A114"/>
      <c r="B114"/>
      <c r="C114"/>
    </row>
    <row r="115" spans="1:23" customHeight="1" ht="15">
      <c r="A115"/>
      <c r="B115"/>
      <c r="C115"/>
    </row>
    <row r="116" spans="1:23" customHeight="1" ht="15">
      <c r="A116"/>
      <c r="B116"/>
      <c r="C116"/>
    </row>
    <row r="117" spans="1:23" customHeight="1" ht="15">
      <c r="A117"/>
      <c r="B117"/>
      <c r="C117"/>
    </row>
    <row r="118" spans="1:23" customHeight="1" ht="15">
      <c r="A118"/>
      <c r="B118"/>
      <c r="C118"/>
    </row>
    <row r="119" spans="1:23" customHeight="1" ht="15">
      <c r="A119"/>
      <c r="B119"/>
      <c r="C119"/>
    </row>
    <row r="120" spans="1:23" customHeight="1" ht="15">
      <c r="A120"/>
      <c r="B120"/>
      <c r="C120"/>
    </row>
    <row r="121" spans="1:23" customHeight="1" ht="15">
      <c r="A121"/>
      <c r="B121"/>
      <c r="C121"/>
    </row>
    <row r="122" spans="1:23" customHeight="1" ht="15">
      <c r="A122"/>
      <c r="B122"/>
      <c r="C122"/>
    </row>
    <row r="123" spans="1:23" customHeight="1" ht="15">
      <c r="A123"/>
      <c r="B123"/>
      <c r="C123"/>
    </row>
    <row r="124" spans="1:23" customHeight="1" ht="15">
      <c r="A124"/>
      <c r="B124"/>
      <c r="C124"/>
    </row>
    <row r="125" spans="1:23" customHeight="1" ht="15">
      <c r="A125"/>
      <c r="B125"/>
      <c r="C125"/>
    </row>
    <row r="126" spans="1:23" customHeight="1" ht="15">
      <c r="A126"/>
      <c r="B126"/>
      <c r="C126"/>
    </row>
    <row r="127" spans="1:23" customHeight="1" ht="15">
      <c r="A127"/>
      <c r="B127"/>
      <c r="C127"/>
    </row>
    <row r="128" spans="1:23" customHeight="1" ht="15">
      <c r="A128"/>
      <c r="B128"/>
      <c r="C128"/>
    </row>
    <row r="129" spans="1:23" customHeight="1" ht="15">
      <c r="C129"/>
    </row>
    <row r="130" spans="1:23" customHeight="1" ht="15">
      <c r="C130"/>
    </row>
    <row r="131" spans="1:23" customHeight="1" ht="15">
      <c r="C131"/>
    </row>
    <row r="132" spans="1:23" customHeight="1" ht="15">
      <c r="C132"/>
    </row>
    <row r="133" spans="1:23" customHeight="1" ht="15">
      <c r="C133"/>
    </row>
    <row r="134" spans="1:23" customHeight="1" ht="15">
      <c r="C134"/>
    </row>
    <row r="135" spans="1:23" customHeight="1" ht="15">
      <c r="C135"/>
    </row>
    <row r="136" spans="1:23" customHeight="1" ht="15">
      <c r="C136"/>
    </row>
    <row r="137" spans="1:23" customHeight="1" ht="15">
      <c r="C137"/>
    </row>
    <row r="138" spans="1:23" customHeight="1" ht="15">
      <c r="C138"/>
    </row>
    <row r="139" spans="1:23" customHeight="1" ht="15">
      <c r="C139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W180"/>
  <sheetViews>
    <sheetView tabSelected="0" workbookViewId="0" zoomScale="85" zoomScaleNormal="85" showGridLines="true" showRowColHeaders="1">
      <pane xSplit="2" ySplit="2" topLeftCell="C3" activePane="bottomRight" state="frozen"/>
      <selection pane="topRight"/>
      <selection pane="bottomLeft"/>
      <selection pane="bottomRight" activeCell="T10" sqref="T10"/>
    </sheetView>
  </sheetViews>
  <sheetFormatPr customHeight="true" defaultRowHeight="15" outlineLevelRow="1" outlineLevelCol="1"/>
  <cols>
    <col min="1" max="1" width="46.28515625" customWidth="true" style="0"/>
    <col min="2" max="2" width="12.140625" customWidth="true" style="0"/>
    <col min="3" max="3" width="10.28515625" customWidth="true" style="0"/>
    <col min="4" max="4" width="9.42578125" customWidth="true" style="0"/>
    <col min="5" max="5" width="16.42578125" customWidth="true" style="0"/>
    <col min="6" max="6" width="11.42578125" hidden="true" customWidth="true" outlineLevel="1" style="0"/>
    <col min="7" max="7" width="8" hidden="true" customWidth="true" outlineLevel="1" style="0"/>
    <col min="8" max="8" width="13" hidden="true" customWidth="true" outlineLevel="1" style="0"/>
    <col min="9" max="9" width="9.7109375" hidden="true" customWidth="true" outlineLevel="1" style="0"/>
    <col min="10" max="10" width="9.28515625" hidden="true" customWidth="true" outlineLevel="1" style="0"/>
    <col min="11" max="11" width="11.7109375" hidden="true" customWidth="true" outlineLevel="1" style="0"/>
    <col min="12" max="12" width="8.42578125" hidden="true" customWidth="true" outlineLevel="1" style="0"/>
    <col min="13" max="13" width="8.42578125" hidden="true" customWidth="true" outlineLevel="1" style="0"/>
    <col min="14" max="14" width="11.140625" hidden="true" customWidth="true" outlineLevel="1" style="0"/>
    <col min="15" max="15" width="9.42578125" hidden="true" customWidth="true" outlineLevel="1" style="0"/>
    <col min="16" max="16" width="9.42578125" hidden="true" customWidth="true" outlineLevel="1" style="0"/>
    <col min="17" max="17" width="11" hidden="true" customWidth="true" outlineLevel="1" style="0"/>
    <col min="18" max="18" width="9.42578125" customWidth="true" outlineLevel="1" style="0"/>
    <col min="19" max="19" width="9.42578125" customWidth="true" outlineLevel="1" style="0"/>
    <col min="20" max="20" width="9.42578125" customWidth="true" outlineLevel="1" style="0"/>
    <col min="21" max="21" width="9.42578125" customWidth="true" outlineLevel="1" style="0"/>
    <col min="22" max="22" width="9.42578125" customWidth="true" outlineLevel="1" style="0"/>
    <col min="23" max="23" width="9.42578125" customWidth="true" outlineLevel="1" style="0"/>
    <col min="24" max="24" width="9.42578125" customWidth="true" outlineLevel="1" style="0"/>
    <col min="25" max="25" width="9.42578125" customWidth="true" outlineLevel="1" style="0"/>
    <col min="26" max="26" width="9.42578125" customWidth="true" outlineLevel="1" style="0"/>
    <col min="27" max="27" width="9.42578125" customWidth="true" outlineLevel="1" style="0"/>
    <col min="28" max="28" width="9.42578125" customWidth="true" outlineLevel="1" style="0"/>
    <col min="29" max="29" width="9.42578125" customWidth="true" outlineLevel="1" style="0"/>
    <col min="30" max="30" width="9.7109375" customWidth="true" outlineLevel="1" style="0"/>
    <col min="31" max="31" width="9.42578125" customWidth="true" outlineLevel="1" style="0"/>
    <col min="32" max="32" width="9" customWidth="true" outlineLevel="1" style="0"/>
    <col min="33" max="33" width="9.42578125" customWidth="true" outlineLevel="1" style="0"/>
    <col min="34" max="34" width="9.42578125" customWidth="true" outlineLevel="1" style="0"/>
    <col min="35" max="35" width="9.42578125" customWidth="true" outlineLevel="1" style="0"/>
    <col min="36" max="36" width="9.42578125" customWidth="true" outlineLevel="1" style="0"/>
    <col min="37" max="37" width="9.42578125" customWidth="true" outlineLevel="1" style="0"/>
    <col min="38" max="38" width="9.42578125" customWidth="true" outlineLevel="1" style="0"/>
    <col min="39" max="39" width="9.42578125" customWidth="true" style="0"/>
    <col min="40" max="40" width="9.42578125" customWidth="true" style="0"/>
    <col min="41" max="41" width="9.42578125" customWidth="true" style="0"/>
    <col min="42" max="42" width="9.42578125" customWidth="true" style="0"/>
    <col min="43" max="43" width="9.42578125" customWidth="true" style="0"/>
    <col min="44" max="44" width="10.85546875" customWidth="true" style="0"/>
    <col min="45" max="45" width="13" customWidth="true" style="0"/>
    <col min="46" max="46" width="9.140625" customWidth="true" style="0"/>
  </cols>
  <sheetData>
    <row r="1" spans="1:49" customHeight="1" ht="36" s="29" customFormat="1">
      <c r="A1" s="165" t="s">
        <v>2982</v>
      </c>
      <c r="B1" s="749" t="s">
        <v>2983</v>
      </c>
      <c r="C1" s="750" t="s">
        <v>2984</v>
      </c>
      <c r="D1" s="752" t="s">
        <v>2985</v>
      </c>
      <c r="E1" s="754" t="s">
        <v>2986</v>
      </c>
      <c r="F1" s="756" t="s">
        <v>2987</v>
      </c>
      <c r="G1" s="757"/>
      <c r="H1" s="757"/>
      <c r="I1" s="757" t="s">
        <v>2988</v>
      </c>
      <c r="J1" s="757"/>
      <c r="K1" s="757"/>
      <c r="L1" s="757" t="s">
        <v>2989</v>
      </c>
      <c r="M1" s="757"/>
      <c r="N1" s="757"/>
      <c r="O1" s="757" t="s">
        <v>2990</v>
      </c>
      <c r="P1" s="757"/>
      <c r="Q1" s="757"/>
      <c r="R1" s="757" t="s">
        <v>2991</v>
      </c>
      <c r="S1" s="757"/>
      <c r="T1" s="757"/>
      <c r="U1" s="757" t="s">
        <v>2992</v>
      </c>
      <c r="V1" s="757"/>
      <c r="W1" s="757"/>
      <c r="X1" s="757" t="s">
        <v>2993</v>
      </c>
      <c r="Y1" s="757"/>
      <c r="Z1" s="757"/>
      <c r="AA1" s="757" t="s">
        <v>2994</v>
      </c>
      <c r="AB1" s="757"/>
      <c r="AC1" s="757"/>
      <c r="AD1" s="757" t="s">
        <v>2995</v>
      </c>
      <c r="AE1" s="757"/>
      <c r="AF1" s="757"/>
      <c r="AG1" s="757" t="s">
        <v>2996</v>
      </c>
      <c r="AH1" s="757"/>
      <c r="AI1" s="757"/>
      <c r="AJ1" s="757" t="s">
        <v>2997</v>
      </c>
      <c r="AK1" s="757"/>
      <c r="AL1" s="757"/>
      <c r="AM1" s="757" t="s">
        <v>2998</v>
      </c>
      <c r="AN1" s="757"/>
      <c r="AO1" s="757"/>
      <c r="AP1" s="760" t="s">
        <v>2999</v>
      </c>
      <c r="AQ1" s="760"/>
      <c r="AR1" s="760"/>
    </row>
    <row r="2" spans="1:49" customHeight="1" ht="16.9" outlineLevel="1">
      <c r="A2" s="84" t="s">
        <v>514</v>
      </c>
      <c r="B2" s="749"/>
      <c r="C2" s="751"/>
      <c r="D2" s="753"/>
      <c r="E2" s="755"/>
      <c r="F2" s="83" t="s">
        <v>3000</v>
      </c>
      <c r="G2" s="48" t="s">
        <v>3001</v>
      </c>
      <c r="H2" s="48" t="s">
        <v>3002</v>
      </c>
      <c r="I2" s="48" t="s">
        <v>3000</v>
      </c>
      <c r="J2" s="48" t="s">
        <v>3001</v>
      </c>
      <c r="K2" s="48" t="s">
        <v>3002</v>
      </c>
      <c r="L2" s="48" t="s">
        <v>3000</v>
      </c>
      <c r="M2" s="48" t="s">
        <v>3001</v>
      </c>
      <c r="N2" s="48" t="s">
        <v>3002</v>
      </c>
      <c r="O2" s="48" t="s">
        <v>3000</v>
      </c>
      <c r="P2" s="48" t="s">
        <v>3001</v>
      </c>
      <c r="Q2" s="48" t="s">
        <v>3002</v>
      </c>
      <c r="R2" s="48" t="s">
        <v>3000</v>
      </c>
      <c r="S2" s="48" t="s">
        <v>3001</v>
      </c>
      <c r="T2" s="48" t="s">
        <v>3002</v>
      </c>
      <c r="U2" s="48" t="s">
        <v>3000</v>
      </c>
      <c r="V2" s="48" t="s">
        <v>3001</v>
      </c>
      <c r="W2" s="48" t="s">
        <v>3002</v>
      </c>
      <c r="X2" s="48" t="s">
        <v>3000</v>
      </c>
      <c r="Y2" s="48" t="s">
        <v>3001</v>
      </c>
      <c r="Z2" s="48" t="s">
        <v>3002</v>
      </c>
      <c r="AA2" s="48" t="s">
        <v>3000</v>
      </c>
      <c r="AB2" s="48" t="s">
        <v>3001</v>
      </c>
      <c r="AC2" s="48" t="s">
        <v>3002</v>
      </c>
      <c r="AD2" s="48" t="s">
        <v>3000</v>
      </c>
      <c r="AE2" s="48" t="s">
        <v>3001</v>
      </c>
      <c r="AF2" s="48" t="s">
        <v>3002</v>
      </c>
      <c r="AG2" s="48" t="s">
        <v>3000</v>
      </c>
      <c r="AH2" s="48" t="s">
        <v>3001</v>
      </c>
      <c r="AI2" s="48" t="s">
        <v>3002</v>
      </c>
      <c r="AJ2" s="48" t="s">
        <v>3000</v>
      </c>
      <c r="AK2" s="48" t="s">
        <v>3001</v>
      </c>
      <c r="AL2" s="48" t="s">
        <v>3002</v>
      </c>
      <c r="AM2" s="48" t="s">
        <v>3000</v>
      </c>
      <c r="AN2" s="48" t="s">
        <v>3001</v>
      </c>
      <c r="AO2" s="48" t="s">
        <v>3002</v>
      </c>
      <c r="AP2" s="48" t="s">
        <v>3000</v>
      </c>
      <c r="AQ2" s="48" t="s">
        <v>3001</v>
      </c>
      <c r="AR2" s="48" t="s">
        <v>3002</v>
      </c>
    </row>
    <row r="3" spans="1:49" customHeight="1" ht="20.25" outlineLevel="1" s="371" customFormat="1">
      <c r="A3" s="361" t="s">
        <v>3003</v>
      </c>
      <c r="B3" s="443">
        <v>0.2</v>
      </c>
      <c r="C3" s="362">
        <f>B3/12*$C$14</f>
        <v>0.083333333333333</v>
      </c>
      <c r="D3" s="359">
        <f>AR3</f>
        <v>0.080695220360025</v>
      </c>
      <c r="E3" s="363">
        <f>IF(D3&gt;0%,C3/D3,100%)</f>
        <v>1.0326923076923</v>
      </c>
      <c r="F3" s="113">
        <v>331</v>
      </c>
      <c r="G3" s="114">
        <v>2</v>
      </c>
      <c r="H3" s="364">
        <f>G3/F3</f>
        <v>0.0060422960725076</v>
      </c>
      <c r="I3" s="365">
        <v>321</v>
      </c>
      <c r="J3" s="114">
        <v>9</v>
      </c>
      <c r="K3" s="364">
        <f>J3/I3</f>
        <v>0.02803738317757</v>
      </c>
      <c r="L3" s="365">
        <v>321</v>
      </c>
      <c r="M3" s="366">
        <v>5</v>
      </c>
      <c r="N3" s="364">
        <f>M3/L3</f>
        <v>0.015576323987539</v>
      </c>
      <c r="O3" s="365">
        <v>318</v>
      </c>
      <c r="P3" s="114">
        <v>3</v>
      </c>
      <c r="Q3" s="364">
        <f>P3/O3</f>
        <v>0.0094339622641509</v>
      </c>
      <c r="R3" s="365">
        <v>320</v>
      </c>
      <c r="S3" s="114">
        <v>7</v>
      </c>
      <c r="T3" s="364">
        <f>S3/R3</f>
        <v>0.021875</v>
      </c>
      <c r="U3" s="365"/>
      <c r="V3" s="114"/>
      <c r="W3" s="364" t="str">
        <f>V3/U3</f>
        <v>0</v>
      </c>
      <c r="X3" s="365"/>
      <c r="Y3" s="114"/>
      <c r="Z3" s="364" t="str">
        <f>Y3/X3</f>
        <v>0</v>
      </c>
      <c r="AA3" s="365"/>
      <c r="AB3" s="114"/>
      <c r="AC3" s="364" t="str">
        <f>AB3/AA3</f>
        <v>0</v>
      </c>
      <c r="AD3" s="367"/>
      <c r="AE3" s="116"/>
      <c r="AF3" s="364" t="str">
        <f>AE3/AD3</f>
        <v>0</v>
      </c>
      <c r="AG3" s="365"/>
      <c r="AH3" s="114"/>
      <c r="AI3" s="364" t="str">
        <f>AH3/AG3</f>
        <v>0</v>
      </c>
      <c r="AJ3" s="365"/>
      <c r="AK3" s="114"/>
      <c r="AL3" s="364" t="str">
        <f>AK3/AJ3</f>
        <v>0</v>
      </c>
      <c r="AM3" s="367"/>
      <c r="AN3" s="116"/>
      <c r="AO3" s="368" t="str">
        <f>AN3/AM3</f>
        <v>0</v>
      </c>
      <c r="AP3" s="369">
        <f>AVERAGE(F3,I3,L3,O3,R3,U3,X3,AA3,AD3,AG3,AJ3,AM3)</f>
        <v>322.2</v>
      </c>
      <c r="AQ3" s="369">
        <f>SUM(G3,J3,M3,P3,S3,V3,Y3,AB3,AE3,AH3,AK3,AN3)</f>
        <v>26</v>
      </c>
      <c r="AR3" s="370">
        <f>AQ3/AP3</f>
        <v>0.080695220360025</v>
      </c>
    </row>
    <row r="4" spans="1:49" customHeight="1" ht="16.9" outlineLevel="1" s="371" customFormat="1">
      <c r="A4" s="361" t="s">
        <v>527</v>
      </c>
      <c r="B4" s="443">
        <v>0.25</v>
      </c>
      <c r="C4" s="362">
        <f>B4/12*$C$14</f>
        <v>0.10416666666667</v>
      </c>
      <c r="D4" s="359">
        <f>AR4</f>
        <v>0.11560693641618</v>
      </c>
      <c r="E4" s="363">
        <f>IF(D4&gt;0%,C4/D4,100%)</f>
        <v>0.90104166666667</v>
      </c>
      <c r="F4" s="120">
        <v>37</v>
      </c>
      <c r="G4" s="117">
        <v>1</v>
      </c>
      <c r="H4" s="364">
        <f>G4/F4</f>
        <v>0.027027027027027</v>
      </c>
      <c r="I4" s="365">
        <v>35</v>
      </c>
      <c r="J4" s="114">
        <v>1</v>
      </c>
      <c r="K4" s="364">
        <f>J4/I4</f>
        <v>0.028571428571429</v>
      </c>
      <c r="L4" s="365">
        <v>33</v>
      </c>
      <c r="M4" s="366"/>
      <c r="N4" s="364">
        <f>M4/L4</f>
        <v>0</v>
      </c>
      <c r="O4" s="365">
        <v>33</v>
      </c>
      <c r="P4" s="114">
        <v>1</v>
      </c>
      <c r="Q4" s="364">
        <f>P4/O4</f>
        <v>0.03030303030303</v>
      </c>
      <c r="R4" s="365">
        <v>35</v>
      </c>
      <c r="S4" s="114">
        <v>1</v>
      </c>
      <c r="T4" s="364">
        <f>S4/R4</f>
        <v>0.028571428571429</v>
      </c>
      <c r="U4" s="365"/>
      <c r="V4" s="114"/>
      <c r="W4" s="364" t="str">
        <f>V4/U4</f>
        <v>0</v>
      </c>
      <c r="X4" s="365"/>
      <c r="Y4" s="114"/>
      <c r="Z4" s="364" t="str">
        <f>Y4/X4</f>
        <v>0</v>
      </c>
      <c r="AA4" s="365"/>
      <c r="AB4" s="114"/>
      <c r="AC4" s="364" t="str">
        <f>AB4/AA4</f>
        <v>0</v>
      </c>
      <c r="AD4" s="367"/>
      <c r="AE4" s="116"/>
      <c r="AF4" s="364" t="str">
        <f>AE4/AD4</f>
        <v>0</v>
      </c>
      <c r="AG4" s="365"/>
      <c r="AH4" s="114"/>
      <c r="AI4" s="364" t="str">
        <f>AH4/AG4</f>
        <v>0</v>
      </c>
      <c r="AJ4" s="365"/>
      <c r="AK4" s="114"/>
      <c r="AL4" s="364" t="str">
        <f>AK4/AJ4</f>
        <v>0</v>
      </c>
      <c r="AM4" s="367"/>
      <c r="AN4" s="116"/>
      <c r="AO4" s="368" t="str">
        <f>AN4/AM4</f>
        <v>0</v>
      </c>
      <c r="AP4" s="369">
        <f>AVERAGE(F4,I4,L4,O4,R4,U4,X4,AA4,AD4,AG4,AJ4,AM4)</f>
        <v>34.6</v>
      </c>
      <c r="AQ4" s="369">
        <f>SUM(G4,J4,M4,P4,S4,V4,Y4,AB4,AE4,AH4,AK4,AN4)</f>
        <v>4</v>
      </c>
      <c r="AR4" s="370">
        <f>AQ4/AP4</f>
        <v>0.11560693641618</v>
      </c>
    </row>
    <row r="5" spans="1:49" customHeight="1" ht="16.9" outlineLevel="1" s="371" customFormat="1">
      <c r="A5" s="372" t="s">
        <v>540</v>
      </c>
      <c r="B5" s="62">
        <v>0.165</v>
      </c>
      <c r="C5" s="62">
        <f>B5/12*$C$14</f>
        <v>0.06875</v>
      </c>
      <c r="D5" s="192">
        <f>AR5</f>
        <v>0.073170731707317</v>
      </c>
      <c r="E5" s="373">
        <f>IF(D5&gt;0%,C5/D5,100%)</f>
        <v>0.93958333333333</v>
      </c>
      <c r="F5" s="120">
        <v>41</v>
      </c>
      <c r="G5" s="117"/>
      <c r="H5" s="364">
        <f>G5/F5</f>
        <v>0</v>
      </c>
      <c r="I5" s="365">
        <v>42</v>
      </c>
      <c r="J5" s="114">
        <v>1</v>
      </c>
      <c r="K5" s="364">
        <f>J5/I5</f>
        <v>0.023809523809524</v>
      </c>
      <c r="L5" s="374">
        <v>41</v>
      </c>
      <c r="M5" s="366">
        <v>1</v>
      </c>
      <c r="N5" s="364">
        <f>M5/L5</f>
        <v>0.024390243902439</v>
      </c>
      <c r="O5" s="367">
        <v>40</v>
      </c>
      <c r="P5" s="114">
        <v>1</v>
      </c>
      <c r="Q5" s="364">
        <f>P5/O5</f>
        <v>0.025</v>
      </c>
      <c r="R5" s="365">
        <v>41</v>
      </c>
      <c r="S5" s="114"/>
      <c r="T5" s="364">
        <f>S5/R5</f>
        <v>0</v>
      </c>
      <c r="U5" s="365"/>
      <c r="V5" s="114"/>
      <c r="W5" s="364" t="str">
        <f>V5/U5</f>
        <v>0</v>
      </c>
      <c r="X5" s="365"/>
      <c r="Y5" s="114"/>
      <c r="Z5" s="364" t="str">
        <f>Y5/X5</f>
        <v>0</v>
      </c>
      <c r="AA5" s="365"/>
      <c r="AB5" s="114"/>
      <c r="AC5" s="364" t="str">
        <f>AB5/AA5</f>
        <v>0</v>
      </c>
      <c r="AD5" s="367"/>
      <c r="AE5" s="116"/>
      <c r="AF5" s="364" t="str">
        <f>AE5/AD5</f>
        <v>0</v>
      </c>
      <c r="AG5" s="365"/>
      <c r="AH5" s="114"/>
      <c r="AI5" s="364" t="str">
        <f>AH5/AG5</f>
        <v>0</v>
      </c>
      <c r="AJ5" s="365"/>
      <c r="AK5" s="114"/>
      <c r="AL5" s="364" t="str">
        <f>AK5/AJ5</f>
        <v>0</v>
      </c>
      <c r="AM5" s="367"/>
      <c r="AN5" s="116"/>
      <c r="AO5" s="368" t="str">
        <f>AN5/AM5</f>
        <v>0</v>
      </c>
      <c r="AP5" s="369">
        <f>AVERAGE(F5,I5,L5,O5,R5,U5,X5,AA5,AD5,AG5,AJ5,AM5)</f>
        <v>41</v>
      </c>
      <c r="AQ5" s="369">
        <f>SUM(G5,J5,M5,P5,S5,V5,Y5,AB5,AE5,AH5,AK5,AN5)</f>
        <v>3</v>
      </c>
      <c r="AR5" s="370">
        <f>AQ5/AP5</f>
        <v>0.073170731707317</v>
      </c>
    </row>
    <row r="6" spans="1:49" customHeight="1" ht="16.9" outlineLevel="1" s="29" customFormat="1">
      <c r="A6" s="361" t="s">
        <v>770</v>
      </c>
      <c r="B6" s="443">
        <v>0.1</v>
      </c>
      <c r="C6" s="362">
        <f>B6/12*$C$14</f>
        <v>0.041666666666667</v>
      </c>
      <c r="D6" s="359">
        <f>AR6</f>
        <v>0</v>
      </c>
      <c r="E6" s="363">
        <f>IF(D6&gt;0%,C6/D6,100%)</f>
        <v>1</v>
      </c>
      <c r="F6" s="119">
        <v>10</v>
      </c>
      <c r="G6" s="116"/>
      <c r="H6" s="375">
        <f>G6/F6</f>
        <v>0</v>
      </c>
      <c r="I6" s="367">
        <v>11</v>
      </c>
      <c r="J6" s="116"/>
      <c r="K6" s="375">
        <f>J6/I6</f>
        <v>0</v>
      </c>
      <c r="L6" s="376">
        <v>11</v>
      </c>
      <c r="M6" s="377"/>
      <c r="N6" s="375">
        <f>M6/L6</f>
        <v>0</v>
      </c>
      <c r="O6" s="367">
        <v>11</v>
      </c>
      <c r="P6" s="116">
        <v>0.0</v>
      </c>
      <c r="Q6" s="375">
        <f>P6/O6</f>
        <v>0</v>
      </c>
      <c r="R6" s="367">
        <v>11</v>
      </c>
      <c r="S6" s="116"/>
      <c r="T6" s="375">
        <f>S6/R6</f>
        <v>0</v>
      </c>
      <c r="U6" s="367"/>
      <c r="V6" s="116"/>
      <c r="W6" s="375" t="str">
        <f>V6/U6</f>
        <v>0</v>
      </c>
      <c r="X6" s="367"/>
      <c r="Y6" s="116"/>
      <c r="Z6" s="375" t="str">
        <f>Y6/X6</f>
        <v>0</v>
      </c>
      <c r="AA6" s="367"/>
      <c r="AB6" s="116"/>
      <c r="AC6" s="375" t="str">
        <f>AB6/AA6</f>
        <v>0</v>
      </c>
      <c r="AD6" s="367"/>
      <c r="AE6" s="116"/>
      <c r="AF6" s="375" t="str">
        <f>AE6/AD6</f>
        <v>0</v>
      </c>
      <c r="AG6" s="367"/>
      <c r="AH6" s="116"/>
      <c r="AI6" s="375" t="str">
        <f>AH6/AG6</f>
        <v>0</v>
      </c>
      <c r="AJ6" s="367"/>
      <c r="AK6" s="116"/>
      <c r="AL6" s="375" t="str">
        <f>AK6/AJ6</f>
        <v>0</v>
      </c>
      <c r="AM6" s="367"/>
      <c r="AN6" s="116"/>
      <c r="AO6" s="368" t="str">
        <f>AN6/AM6</f>
        <v>0</v>
      </c>
      <c r="AP6" s="369">
        <f>AVERAGE(F6,I6,L6,O6,R6,U6,X6,AA6,AD6,AG6,AJ6,AM6)</f>
        <v>10.8</v>
      </c>
      <c r="AQ6" s="369">
        <f>SUM(G6,J6,M6,P6,S6,V6,Y6,AB6,AE6,AH6,AK6,AN6)</f>
        <v>0</v>
      </c>
      <c r="AR6" s="370">
        <f>AQ6/AP6</f>
        <v>0</v>
      </c>
    </row>
    <row r="7" spans="1:49" customHeight="1" ht="16.9" outlineLevel="1" s="29" customFormat="1">
      <c r="A7" s="189" t="s">
        <v>567</v>
      </c>
      <c r="B7" s="196">
        <v>0.15</v>
      </c>
      <c r="C7" s="62">
        <f>B7/12*$C$14</f>
        <v>0.0625</v>
      </c>
      <c r="D7" s="192">
        <f>AR7</f>
        <v>0.13297872340426</v>
      </c>
      <c r="E7" s="373">
        <f>IF(D7&gt;0%,C7/D7,100%)</f>
        <v>0.47</v>
      </c>
      <c r="F7" s="115">
        <v>36</v>
      </c>
      <c r="G7" s="116"/>
      <c r="H7" s="375">
        <f>G7/F7</f>
        <v>0</v>
      </c>
      <c r="I7" s="367">
        <v>38</v>
      </c>
      <c r="J7" s="116">
        <v>1</v>
      </c>
      <c r="K7" s="375">
        <f>J7/I7</f>
        <v>0.026315789473684</v>
      </c>
      <c r="L7" s="376">
        <v>38</v>
      </c>
      <c r="M7" s="377">
        <v>2</v>
      </c>
      <c r="N7" s="375">
        <f>M7/L7</f>
        <v>0.052631578947368</v>
      </c>
      <c r="O7" s="367">
        <v>38</v>
      </c>
      <c r="P7" s="116">
        <v>1</v>
      </c>
      <c r="Q7" s="375">
        <f>P7/O7</f>
        <v>0.026315789473684</v>
      </c>
      <c r="R7" s="367">
        <v>38</v>
      </c>
      <c r="S7" s="116">
        <v>1</v>
      </c>
      <c r="T7" s="375">
        <f>S7/R7</f>
        <v>0.026315789473684</v>
      </c>
      <c r="U7" s="367"/>
      <c r="V7" s="116"/>
      <c r="W7" s="375" t="str">
        <f>V7/U7</f>
        <v>0</v>
      </c>
      <c r="X7" s="367"/>
      <c r="Y7" s="116"/>
      <c r="Z7" s="375" t="str">
        <f>Y7/X7</f>
        <v>0</v>
      </c>
      <c r="AA7" s="367"/>
      <c r="AB7" s="116"/>
      <c r="AC7" s="375" t="str">
        <f>AB7/AA7</f>
        <v>0</v>
      </c>
      <c r="AD7" s="367"/>
      <c r="AE7" s="116"/>
      <c r="AF7" s="375" t="str">
        <f>AE7/AD7</f>
        <v>0</v>
      </c>
      <c r="AG7" s="367"/>
      <c r="AH7" s="116"/>
      <c r="AI7" s="375" t="str">
        <f>AH7/AG7</f>
        <v>0</v>
      </c>
      <c r="AJ7" s="367"/>
      <c r="AK7" s="116"/>
      <c r="AL7" s="375" t="str">
        <f>AK7/AJ7</f>
        <v>0</v>
      </c>
      <c r="AM7" s="367"/>
      <c r="AN7" s="116"/>
      <c r="AO7" s="368" t="str">
        <f>AN7/AM7</f>
        <v>0</v>
      </c>
      <c r="AP7" s="369">
        <f>AVERAGE(F7,I7,L7,O7,R7,U7,X7,AA7,AD7,AG7,AJ7,AM7)</f>
        <v>37.6</v>
      </c>
      <c r="AQ7" s="369">
        <f>SUM(G7,J7,M7,P7,S7,V7,Y7,AB7,AE7,AH7,AK7,AN7)</f>
        <v>5</v>
      </c>
      <c r="AR7" s="370">
        <f>AQ7/AP7</f>
        <v>0.13297872340426</v>
      </c>
    </row>
    <row r="8" spans="1:49" customHeight="1" ht="16.9" outlineLevel="1" s="29" customFormat="1">
      <c r="A8" s="378" t="s">
        <v>572</v>
      </c>
      <c r="B8" s="443">
        <v>0.12</v>
      </c>
      <c r="C8" s="362">
        <f>B8/12*$C$14</f>
        <v>0.05</v>
      </c>
      <c r="D8" s="359">
        <f>AR8</f>
        <v>0</v>
      </c>
      <c r="E8" s="363">
        <f>IF(D8&gt;0%,C8/D8,100%)</f>
        <v>1</v>
      </c>
      <c r="F8" s="115">
        <v>17</v>
      </c>
      <c r="G8" s="116"/>
      <c r="H8" s="375">
        <f>G8/F8</f>
        <v>0</v>
      </c>
      <c r="I8" s="367">
        <v>17</v>
      </c>
      <c r="J8" s="116"/>
      <c r="K8" s="375">
        <f>J8/I8</f>
        <v>0</v>
      </c>
      <c r="L8" s="376">
        <v>19</v>
      </c>
      <c r="M8" s="377"/>
      <c r="N8" s="375">
        <f>M8/L8</f>
        <v>0</v>
      </c>
      <c r="O8" s="367">
        <v>17</v>
      </c>
      <c r="P8" s="116"/>
      <c r="Q8" s="375">
        <f>P8/O8</f>
        <v>0</v>
      </c>
      <c r="R8" s="367">
        <v>17</v>
      </c>
      <c r="S8" s="116"/>
      <c r="T8" s="375">
        <f>S8/R8</f>
        <v>0</v>
      </c>
      <c r="U8" s="367"/>
      <c r="V8" s="116"/>
      <c r="W8" s="375" t="str">
        <f>V8/U8</f>
        <v>0</v>
      </c>
      <c r="X8" s="367"/>
      <c r="Y8" s="116"/>
      <c r="Z8" s="375" t="str">
        <f>Y8/X8</f>
        <v>0</v>
      </c>
      <c r="AA8" s="367"/>
      <c r="AB8" s="116"/>
      <c r="AC8" s="375" t="str">
        <f>AB8/AA8</f>
        <v>0</v>
      </c>
      <c r="AD8" s="367"/>
      <c r="AE8" s="116"/>
      <c r="AF8" s="375" t="str">
        <f>AE8/AD8</f>
        <v>0</v>
      </c>
      <c r="AG8" s="367"/>
      <c r="AH8" s="116"/>
      <c r="AI8" s="375" t="str">
        <f>AH8/AG8</f>
        <v>0</v>
      </c>
      <c r="AJ8" s="367"/>
      <c r="AK8" s="116"/>
      <c r="AL8" s="375" t="str">
        <f>AK8/AJ8</f>
        <v>0</v>
      </c>
      <c r="AM8" s="367"/>
      <c r="AN8" s="116"/>
      <c r="AO8" s="368" t="str">
        <f>AN8/AM8</f>
        <v>0</v>
      </c>
      <c r="AP8" s="369">
        <f>AVERAGE(F8,I8,L8,O8,R8,U8,X8,AA8,AD8,AG8,AJ8,AM8)</f>
        <v>17.4</v>
      </c>
      <c r="AQ8" s="369">
        <f>SUM(G8,J8,M8,P8,S8,V8,Y8,AB8,AE8,AH8,AK8,AN8)</f>
        <v>0</v>
      </c>
      <c r="AR8" s="370">
        <f>AQ8/AP8</f>
        <v>0</v>
      </c>
    </row>
    <row r="9" spans="1:49" customHeight="1" ht="15" outlineLevel="1" s="122" customFormat="1">
      <c r="A9" s="379" t="s">
        <v>3004</v>
      </c>
      <c r="B9" s="396">
        <v>0.2</v>
      </c>
      <c r="C9" s="396">
        <f>AVERAGE(C3:C8)</f>
        <v>0.068402777777778</v>
      </c>
      <c r="D9" s="396">
        <f>AVERAGE(D3:D8)</f>
        <v>0.067075268647964</v>
      </c>
      <c r="E9" s="396">
        <f>IF(D9&gt;0%,C9/D9,100%)</f>
        <v>1.0197913352652</v>
      </c>
      <c r="F9" s="381">
        <f>SUM(F3:F8)</f>
        <v>472</v>
      </c>
      <c r="G9" s="381">
        <f>SUM(G3:G8)</f>
        <v>3</v>
      </c>
      <c r="H9" s="380">
        <f>G9/F9</f>
        <v>0.0063559322033898</v>
      </c>
      <c r="I9" s="381">
        <f>SUM(I3:I8)</f>
        <v>464</v>
      </c>
      <c r="J9" s="381">
        <f>SUM(J3:J8)</f>
        <v>12</v>
      </c>
      <c r="K9" s="380">
        <f>J9/I9</f>
        <v>0.025862068965517</v>
      </c>
      <c r="L9" s="381">
        <f>SUM(L3:L8)</f>
        <v>463</v>
      </c>
      <c r="M9" s="381">
        <f>SUM(M3:M8)</f>
        <v>8</v>
      </c>
      <c r="N9" s="380">
        <f>M9/L9</f>
        <v>0.017278617710583</v>
      </c>
      <c r="O9" s="381">
        <f>SUM(O3:O8)</f>
        <v>457</v>
      </c>
      <c r="P9" s="381">
        <f>SUM(P3:P8)</f>
        <v>6</v>
      </c>
      <c r="Q9" s="380">
        <f>P9/O9</f>
        <v>0.013129102844639</v>
      </c>
      <c r="R9" s="381">
        <f>SUM(R3:R8)</f>
        <v>462</v>
      </c>
      <c r="S9" s="381">
        <f>SUM(S3:S8)</f>
        <v>9</v>
      </c>
      <c r="T9" s="380">
        <f>S9/R9</f>
        <v>0.019480519480519</v>
      </c>
      <c r="U9" s="381">
        <f>SUM(U3:U8)</f>
        <v>0</v>
      </c>
      <c r="V9" s="381">
        <f>SUM(V3:V8)</f>
        <v>0</v>
      </c>
      <c r="W9" s="380" t="str">
        <f>V9/U9</f>
        <v>0</v>
      </c>
      <c r="X9" s="381">
        <f>SUM(X3:X8)</f>
        <v>0</v>
      </c>
      <c r="Y9" s="381">
        <f>SUM(Y3:Y8)</f>
        <v>0</v>
      </c>
      <c r="Z9" s="380" t="str">
        <f>Y9/X9</f>
        <v>0</v>
      </c>
      <c r="AA9" s="381">
        <f>SUM(AA3:AA8)</f>
        <v>0</v>
      </c>
      <c r="AB9" s="381">
        <f>SUM(AB3:AB8)</f>
        <v>0</v>
      </c>
      <c r="AC9" s="380" t="str">
        <f>AB9/AA9</f>
        <v>0</v>
      </c>
      <c r="AD9" s="381">
        <f>SUM(AD3:AD8)</f>
        <v>0</v>
      </c>
      <c r="AE9" s="381">
        <f>SUM(AE3:AE8)</f>
        <v>0</v>
      </c>
      <c r="AF9" s="380" t="str">
        <f>AE9/AD9</f>
        <v>0</v>
      </c>
      <c r="AG9" s="381">
        <f>SUM(AG3:AG8)</f>
        <v>0</v>
      </c>
      <c r="AH9" s="381">
        <f>SUM(AH3:AH8)</f>
        <v>0</v>
      </c>
      <c r="AI9" s="380" t="str">
        <f>AH9/AG9</f>
        <v>0</v>
      </c>
      <c r="AJ9" s="381">
        <f>SUM(AJ3:AJ8)</f>
        <v>0</v>
      </c>
      <c r="AK9" s="381">
        <f>SUM(AK3:AK8)</f>
        <v>0</v>
      </c>
      <c r="AL9" s="380" t="str">
        <f>AK9/AJ9</f>
        <v>0</v>
      </c>
      <c r="AM9" s="381">
        <f>SUM(AM3:AM8)</f>
        <v>0</v>
      </c>
      <c r="AN9" s="381">
        <f>SUM(AN3:AN8)</f>
        <v>0</v>
      </c>
      <c r="AO9" s="380" t="str">
        <f>AN9/AM9</f>
        <v>0</v>
      </c>
      <c r="AP9" s="382">
        <f>AVERAGE(F9,I9,L9,O9,R9,U9,X9,AA9,AD9,AG9,AJ9,AM9)</f>
        <v>193.16666666667</v>
      </c>
      <c r="AQ9" s="382">
        <f>SUM(G9,J9,M9,P9,S9,V9,Y9,AB9,AE9,AH9,AK9,AN9)</f>
        <v>38</v>
      </c>
      <c r="AR9" s="380">
        <f>AQ9/AP9</f>
        <v>0.19672131147541</v>
      </c>
    </row>
    <row r="10" spans="1:49" customHeight="1" ht="15" outlineLevel="1" s="371" customFormat="1">
      <c r="A10" s="383" t="s">
        <v>3005</v>
      </c>
      <c r="B10" s="384"/>
      <c r="C10" s="384"/>
      <c r="D10" s="384"/>
      <c r="E10" s="384"/>
      <c r="F10" s="385"/>
      <c r="G10" s="385"/>
      <c r="H10" s="380">
        <f>H9</f>
        <v>0.0063559322033898</v>
      </c>
      <c r="I10" s="386"/>
      <c r="J10" s="385"/>
      <c r="K10" s="380">
        <f>H9+K9</f>
        <v>0.032218001168907</v>
      </c>
      <c r="L10" s="385"/>
      <c r="M10" s="385"/>
      <c r="N10" s="380">
        <f>K10+N9</f>
        <v>0.04949661887949</v>
      </c>
      <c r="O10" s="385"/>
      <c r="P10" s="385"/>
      <c r="Q10" s="380">
        <f>N10+Q9</f>
        <v>0.062625721724129</v>
      </c>
      <c r="R10" s="385"/>
      <c r="S10" s="385"/>
      <c r="T10" s="380">
        <f>Q10+T9</f>
        <v>0.082106241204649</v>
      </c>
      <c r="U10" s="385"/>
      <c r="V10" s="385"/>
      <c r="W10" s="380" t="str">
        <f>T10+W9</f>
        <v>0</v>
      </c>
      <c r="X10" s="385"/>
      <c r="Y10" s="385"/>
      <c r="Z10" s="380" t="str">
        <f>W10+Z9</f>
        <v>0</v>
      </c>
      <c r="AA10" s="385"/>
      <c r="AB10" s="385"/>
      <c r="AC10" s="380" t="str">
        <f>Z10+AC9</f>
        <v>0</v>
      </c>
      <c r="AD10" s="385"/>
      <c r="AE10" s="385"/>
      <c r="AF10" s="380" t="str">
        <f>AC10+AF9</f>
        <v>0</v>
      </c>
      <c r="AG10" s="385"/>
      <c r="AH10" s="385"/>
      <c r="AI10" s="380" t="str">
        <f>AF10+AI9</f>
        <v>0</v>
      </c>
      <c r="AJ10" s="385"/>
      <c r="AK10" s="385"/>
      <c r="AL10" s="380" t="str">
        <f>AI10+AL9</f>
        <v>0</v>
      </c>
      <c r="AM10" s="385"/>
      <c r="AN10" s="385"/>
      <c r="AO10" s="380" t="str">
        <f>AL10+AO9</f>
        <v>0</v>
      </c>
      <c r="AP10" s="385"/>
      <c r="AQ10" s="385"/>
      <c r="AR10" s="380">
        <f>AR9</f>
        <v>0.19672131147541</v>
      </c>
    </row>
    <row r="11" spans="1:49" customHeight="1" ht="15" outlineLevel="1" s="371" customFormat="1">
      <c r="A11" s="387" t="s">
        <v>2984</v>
      </c>
      <c r="B11" s="387"/>
      <c r="C11" s="387"/>
      <c r="D11" s="387"/>
      <c r="E11" s="387"/>
      <c r="F11" s="385"/>
      <c r="G11" s="385"/>
      <c r="H11" s="388">
        <f>B9/12*1</f>
        <v>0.016666666666667</v>
      </c>
      <c r="I11" s="389"/>
      <c r="J11" s="385"/>
      <c r="K11" s="388">
        <f>H11+($B$9/12)</f>
        <v>0.033333333333333</v>
      </c>
      <c r="L11" s="385"/>
      <c r="M11" s="385"/>
      <c r="N11" s="388">
        <f>K11+($B$9/12)</f>
        <v>0.05</v>
      </c>
      <c r="O11" s="385"/>
      <c r="P11" s="385"/>
      <c r="Q11" s="388">
        <f>N11+($B$9/12)</f>
        <v>0.066666666666667</v>
      </c>
      <c r="R11" s="385"/>
      <c r="S11" s="385"/>
      <c r="T11" s="388">
        <f>Q11+($B$9/12)</f>
        <v>0.083333333333333</v>
      </c>
      <c r="U11" s="385"/>
      <c r="V11" s="385"/>
      <c r="W11" s="388">
        <f>T11+($B$9/12)</f>
        <v>0.1</v>
      </c>
      <c r="X11" s="385"/>
      <c r="Y11" s="385"/>
      <c r="Z11" s="388">
        <f>W11+($B$9/12)</f>
        <v>0.11666666666667</v>
      </c>
      <c r="AA11" s="385"/>
      <c r="AB11" s="385"/>
      <c r="AC11" s="388">
        <f>Z11+($B$9/12)</f>
        <v>0.13333333333333</v>
      </c>
      <c r="AD11" s="385"/>
      <c r="AE11" s="385"/>
      <c r="AF11" s="388">
        <f>AC11+($B$9/12)</f>
        <v>0.15</v>
      </c>
      <c r="AG11" s="385"/>
      <c r="AH11" s="385"/>
      <c r="AI11" s="388">
        <f>AF11+($B$9/12)</f>
        <v>0.16666666666667</v>
      </c>
      <c r="AJ11" s="385">
        <v>0.0</v>
      </c>
      <c r="AK11" s="385"/>
      <c r="AL11" s="388">
        <f>AI11+($B$9/12)</f>
        <v>0.18333333333333</v>
      </c>
      <c r="AM11" s="385"/>
      <c r="AN11" s="385"/>
      <c r="AO11" s="388">
        <f>AL11+($B$9/12)</f>
        <v>0.2</v>
      </c>
      <c r="AP11" s="385"/>
      <c r="AQ11" s="385"/>
      <c r="AR11" s="388">
        <f>B9</f>
        <v>0.2</v>
      </c>
    </row>
    <row r="12" spans="1:49" customHeight="1" ht="15" outlineLevel="1" s="371" customFormat="1">
      <c r="A12" s="387" t="s">
        <v>3006</v>
      </c>
      <c r="B12" s="387"/>
      <c r="C12" s="387"/>
      <c r="D12" s="387"/>
      <c r="E12" s="389"/>
      <c r="F12" s="385"/>
      <c r="G12" s="385"/>
      <c r="H12" s="380">
        <f>H11/H10</f>
        <v>2.6222222222222</v>
      </c>
      <c r="I12" s="385"/>
      <c r="J12" s="385"/>
      <c r="K12" s="380">
        <f>K11/K10</f>
        <v>1.0346182917611</v>
      </c>
      <c r="L12" s="385"/>
      <c r="M12" s="385"/>
      <c r="N12" s="380">
        <f>N11/N10</f>
        <v>1.0101700102331</v>
      </c>
      <c r="O12" s="385"/>
      <c r="P12" s="385"/>
      <c r="Q12" s="380">
        <f>Q11/Q10</f>
        <v>1.0645253233222</v>
      </c>
      <c r="R12" s="385"/>
      <c r="S12" s="385"/>
      <c r="T12" s="380">
        <f>T11/T10</f>
        <v>1.0149451748208</v>
      </c>
      <c r="U12" s="385"/>
      <c r="V12" s="385"/>
      <c r="W12" s="380" t="str">
        <f>W11/W10</f>
        <v>0</v>
      </c>
      <c r="X12" s="385"/>
      <c r="Y12" s="385"/>
      <c r="Z12" s="380" t="str">
        <f>Z11/Z10</f>
        <v>0</v>
      </c>
      <c r="AA12" s="385"/>
      <c r="AB12" s="385"/>
      <c r="AC12" s="380" t="str">
        <f>AC11/AC10</f>
        <v>0</v>
      </c>
      <c r="AD12" s="385"/>
      <c r="AE12" s="385"/>
      <c r="AF12" s="380" t="str">
        <f>AF11/AF10</f>
        <v>0</v>
      </c>
      <c r="AG12" s="385"/>
      <c r="AH12" s="385"/>
      <c r="AI12" s="380" t="str">
        <f>AI11/AI10</f>
        <v>0</v>
      </c>
      <c r="AJ12" s="385"/>
      <c r="AK12" s="385"/>
      <c r="AL12" s="380" t="str">
        <f>AL11/AL10</f>
        <v>0</v>
      </c>
      <c r="AM12" s="385"/>
      <c r="AN12" s="385"/>
      <c r="AO12" s="380" t="str">
        <f>AO11/AO10</f>
        <v>0</v>
      </c>
      <c r="AP12" s="385"/>
      <c r="AQ12" s="385"/>
      <c r="AR12" s="380">
        <f>AR11/AR10</f>
        <v>1.0166666666667</v>
      </c>
    </row>
    <row r="13" spans="1:49" customHeight="1" ht="15" outlineLevel="1">
      <c r="A13" s="52"/>
      <c r="B13" s="52"/>
      <c r="C13" s="52"/>
      <c r="D13" s="52"/>
      <c r="E13" s="281"/>
      <c r="F13" s="50"/>
      <c r="G13" s="50"/>
      <c r="H13" s="222"/>
      <c r="I13" s="50"/>
      <c r="J13" s="50"/>
      <c r="K13" s="49"/>
      <c r="L13" s="50"/>
      <c r="M13" s="50"/>
      <c r="N13" s="49"/>
      <c r="O13" s="50"/>
      <c r="P13" s="50"/>
      <c r="Q13" s="49"/>
      <c r="R13" s="50"/>
      <c r="S13" s="50"/>
      <c r="T13" s="49"/>
      <c r="U13" s="50"/>
      <c r="V13" s="50"/>
      <c r="W13" s="49"/>
      <c r="X13" s="50"/>
      <c r="Y13" s="50"/>
      <c r="Z13" s="49"/>
      <c r="AA13" s="50"/>
      <c r="AB13" s="50"/>
      <c r="AC13" s="49"/>
      <c r="AD13" s="50"/>
      <c r="AE13" s="50"/>
      <c r="AF13" s="49"/>
      <c r="AG13" s="50"/>
      <c r="AH13" s="50"/>
      <c r="AI13" s="49"/>
      <c r="AJ13" s="50"/>
      <c r="AK13" s="50"/>
      <c r="AL13" s="49"/>
      <c r="AM13" s="50"/>
      <c r="AN13" s="50"/>
      <c r="AO13" s="49"/>
      <c r="AP13" s="50"/>
      <c r="AQ13" s="50"/>
      <c r="AR13" s="222"/>
    </row>
    <row r="14" spans="1:49" customHeight="1" ht="14.25" s="29" customFormat="1">
      <c r="A14" s="52"/>
      <c r="B14" s="223" t="s">
        <v>46</v>
      </c>
      <c r="C14" s="52">
        <v>5</v>
      </c>
      <c r="D14" s="446"/>
      <c r="E14" s="191"/>
      <c r="F14" s="50"/>
      <c r="G14" s="50"/>
      <c r="H14" s="53"/>
      <c r="I14" s="50"/>
      <c r="J14" s="50"/>
      <c r="K14" s="54"/>
      <c r="L14" s="50"/>
      <c r="M14" s="50"/>
      <c r="N14" s="54"/>
      <c r="O14" s="50"/>
      <c r="P14" s="50"/>
      <c r="Q14" s="54"/>
      <c r="R14" s="50"/>
      <c r="S14" s="50"/>
      <c r="T14" s="54"/>
      <c r="U14" s="50"/>
      <c r="V14" s="50"/>
      <c r="W14" s="54"/>
      <c r="X14" s="50"/>
      <c r="Y14" s="50"/>
      <c r="Z14" s="54"/>
      <c r="AA14" s="50"/>
      <c r="AB14" s="50"/>
      <c r="AC14" s="54"/>
      <c r="AD14" s="50"/>
      <c r="AE14" s="50"/>
      <c r="AF14" s="54"/>
      <c r="AG14" s="50"/>
      <c r="AH14" s="50"/>
      <c r="AI14" s="54"/>
      <c r="AJ14" s="50"/>
      <c r="AK14" s="50"/>
      <c r="AL14" s="54"/>
      <c r="AM14" s="50"/>
      <c r="AN14" s="50"/>
      <c r="AO14" s="54"/>
      <c r="AP14" s="50"/>
      <c r="AQ14" s="50"/>
      <c r="AR14" s="51"/>
    </row>
    <row r="15" spans="1:49" customHeight="1" ht="36" s="29" customFormat="1">
      <c r="A15" s="165" t="s">
        <v>3007</v>
      </c>
      <c r="B15" s="749" t="s">
        <v>2983</v>
      </c>
      <c r="C15" s="750" t="s">
        <v>2984</v>
      </c>
      <c r="D15" s="750" t="s">
        <v>2985</v>
      </c>
      <c r="E15" s="754" t="s">
        <v>2986</v>
      </c>
      <c r="F15" s="756" t="s">
        <v>2987</v>
      </c>
      <c r="G15" s="757"/>
      <c r="H15" s="757"/>
      <c r="I15" s="757" t="s">
        <v>2988</v>
      </c>
      <c r="J15" s="757"/>
      <c r="K15" s="757"/>
      <c r="L15" s="757" t="s">
        <v>2989</v>
      </c>
      <c r="M15" s="757"/>
      <c r="N15" s="757"/>
      <c r="O15" s="757" t="s">
        <v>2990</v>
      </c>
      <c r="P15" s="757"/>
      <c r="Q15" s="757"/>
      <c r="R15" s="757" t="s">
        <v>2991</v>
      </c>
      <c r="S15" s="757"/>
      <c r="T15" s="757"/>
      <c r="U15" s="757" t="s">
        <v>2992</v>
      </c>
      <c r="V15" s="757"/>
      <c r="W15" s="757"/>
      <c r="X15" s="757" t="s">
        <v>2993</v>
      </c>
      <c r="Y15" s="757"/>
      <c r="Z15" s="757"/>
      <c r="AA15" s="757" t="s">
        <v>2994</v>
      </c>
      <c r="AB15" s="757"/>
      <c r="AC15" s="757"/>
      <c r="AD15" s="757" t="s">
        <v>2995</v>
      </c>
      <c r="AE15" s="757"/>
      <c r="AF15" s="757"/>
      <c r="AG15" s="757" t="s">
        <v>2996</v>
      </c>
      <c r="AH15" s="757"/>
      <c r="AI15" s="757"/>
      <c r="AJ15" s="757" t="s">
        <v>2997</v>
      </c>
      <c r="AK15" s="757"/>
      <c r="AL15" s="757"/>
      <c r="AM15" s="757" t="s">
        <v>2998</v>
      </c>
      <c r="AN15" s="757"/>
      <c r="AO15" s="757"/>
      <c r="AP15" s="760" t="s">
        <v>2999</v>
      </c>
      <c r="AQ15" s="760"/>
      <c r="AR15" s="760"/>
    </row>
    <row r="16" spans="1:49" customHeight="1" ht="16.9">
      <c r="A16" s="84" t="s">
        <v>122</v>
      </c>
      <c r="B16" s="749"/>
      <c r="C16" s="751"/>
      <c r="D16" s="751"/>
      <c r="E16" s="755"/>
      <c r="F16" s="342" t="s">
        <v>3000</v>
      </c>
      <c r="G16" s="188" t="s">
        <v>3001</v>
      </c>
      <c r="H16" s="48" t="s">
        <v>3002</v>
      </c>
      <c r="I16" s="188" t="s">
        <v>3000</v>
      </c>
      <c r="J16" s="48" t="s">
        <v>3001</v>
      </c>
      <c r="K16" s="48" t="s">
        <v>3002</v>
      </c>
      <c r="L16" s="48" t="s">
        <v>3000</v>
      </c>
      <c r="M16" s="48" t="s">
        <v>3001</v>
      </c>
      <c r="N16" s="48" t="s">
        <v>3002</v>
      </c>
      <c r="O16" s="48" t="s">
        <v>3000</v>
      </c>
      <c r="P16" s="48" t="s">
        <v>3001</v>
      </c>
      <c r="Q16" s="48" t="s">
        <v>3002</v>
      </c>
      <c r="R16" s="48" t="s">
        <v>3000</v>
      </c>
      <c r="S16" s="48" t="s">
        <v>3001</v>
      </c>
      <c r="T16" s="48" t="s">
        <v>3002</v>
      </c>
      <c r="U16" s="48" t="s">
        <v>3000</v>
      </c>
      <c r="V16" s="48" t="s">
        <v>3001</v>
      </c>
      <c r="W16" s="48" t="s">
        <v>3002</v>
      </c>
      <c r="X16" s="48" t="s">
        <v>3000</v>
      </c>
      <c r="Y16" s="48" t="s">
        <v>3001</v>
      </c>
      <c r="Z16" s="48" t="s">
        <v>3002</v>
      </c>
      <c r="AA16" s="48" t="s">
        <v>3000</v>
      </c>
      <c r="AB16" s="48" t="s">
        <v>3001</v>
      </c>
      <c r="AC16" s="48" t="s">
        <v>3002</v>
      </c>
      <c r="AD16" s="48" t="s">
        <v>3000</v>
      </c>
      <c r="AE16" s="48" t="s">
        <v>3001</v>
      </c>
      <c r="AF16" s="48" t="s">
        <v>3002</v>
      </c>
      <c r="AG16" s="48" t="s">
        <v>3000</v>
      </c>
      <c r="AH16" s="48" t="s">
        <v>3001</v>
      </c>
      <c r="AI16" s="48" t="s">
        <v>3002</v>
      </c>
      <c r="AJ16" s="48" t="s">
        <v>3000</v>
      </c>
      <c r="AK16" s="48" t="s">
        <v>3001</v>
      </c>
      <c r="AL16" s="48" t="s">
        <v>3002</v>
      </c>
      <c r="AM16" s="48" t="s">
        <v>3000</v>
      </c>
      <c r="AN16" s="48" t="s">
        <v>3001</v>
      </c>
      <c r="AO16" s="48" t="s">
        <v>3002</v>
      </c>
      <c r="AP16" s="48" t="s">
        <v>3000</v>
      </c>
      <c r="AQ16" s="48" t="s">
        <v>3001</v>
      </c>
      <c r="AR16" s="48" t="s">
        <v>3002</v>
      </c>
      <c r="AS16" s="355"/>
      <c r="AT16" s="356"/>
      <c r="AU16" s="356"/>
    </row>
    <row r="17" spans="1:49" customHeight="1" ht="15" s="524" customFormat="1">
      <c r="A17" s="460" t="s">
        <v>135</v>
      </c>
      <c r="B17" s="461">
        <v>0.15</v>
      </c>
      <c r="C17" s="462">
        <f>B17/12*$C$14</f>
        <v>0.0625</v>
      </c>
      <c r="D17" s="462">
        <f>C17/12*$C$14</f>
        <v>0.026041666666667</v>
      </c>
      <c r="E17" s="469">
        <f>IF(D17&gt;0%,C17/D17,100%)</f>
        <v>2.4</v>
      </c>
      <c r="F17" s="552">
        <v>36</v>
      </c>
      <c r="G17" s="519"/>
      <c r="H17" s="698">
        <f>G17/F17</f>
        <v>0</v>
      </c>
      <c r="I17" s="552">
        <v>35</v>
      </c>
      <c r="J17" s="699">
        <v>1</v>
      </c>
      <c r="K17" s="528">
        <f>J17/I17</f>
        <v>0.028571428571429</v>
      </c>
      <c r="L17" s="520">
        <v>37</v>
      </c>
      <c r="M17" s="553">
        <v>2</v>
      </c>
      <c r="N17" s="528">
        <f>M17/L17</f>
        <v>0.054054054054054</v>
      </c>
      <c r="O17" s="520"/>
      <c r="P17" s="553"/>
      <c r="Q17" s="528" t="str">
        <f>P17/O17</f>
        <v>0</v>
      </c>
      <c r="R17" s="520"/>
      <c r="S17" s="553"/>
      <c r="T17" s="528" t="str">
        <f>S17/R17</f>
        <v>0</v>
      </c>
      <c r="U17" s="520"/>
      <c r="V17" s="553"/>
      <c r="W17" s="528" t="str">
        <f>V17/U17</f>
        <v>0</v>
      </c>
      <c r="X17" s="520"/>
      <c r="Y17" s="553"/>
      <c r="Z17" s="528" t="str">
        <f>Y17/X17</f>
        <v>0</v>
      </c>
      <c r="AA17" s="520"/>
      <c r="AB17" s="553"/>
      <c r="AC17" s="528" t="str">
        <f>AB17/AA17</f>
        <v>0</v>
      </c>
      <c r="AD17" s="520"/>
      <c r="AE17" s="553"/>
      <c r="AF17" s="528" t="str">
        <f>AE17/AD17</f>
        <v>0</v>
      </c>
      <c r="AG17" s="520"/>
      <c r="AH17" s="553"/>
      <c r="AI17" s="528" t="str">
        <f>AH17/AG17</f>
        <v>0</v>
      </c>
      <c r="AJ17" s="520"/>
      <c r="AK17" s="553"/>
      <c r="AL17" s="528" t="str">
        <f>AK17/AJ17</f>
        <v>0</v>
      </c>
      <c r="AM17" s="520"/>
      <c r="AN17" s="553"/>
      <c r="AO17" s="554" t="str">
        <f>AN17/AM17</f>
        <v>0</v>
      </c>
      <c r="AP17" s="529">
        <f>AVERAGE(F17,I17,L17,O17,R17,U17,X17,AA17,AD17,AG17,AJ17,AM17)</f>
        <v>36</v>
      </c>
      <c r="AQ17" s="529">
        <f>SUM(G17,J17,M17,P17,S17,V17,Y17,AB17,AE17,AH17,AK17,AN17)</f>
        <v>3</v>
      </c>
      <c r="AR17" s="530">
        <f>AQ17/AP17</f>
        <v>0.083333333333333</v>
      </c>
      <c r="AS17" s="521"/>
      <c r="AT17" s="522"/>
      <c r="AU17" s="521"/>
      <c r="AV17" s="521"/>
      <c r="AW17" s="523"/>
    </row>
    <row r="18" spans="1:49" customHeight="1" ht="15" s="551" customFormat="1">
      <c r="A18" s="537" t="s">
        <v>560</v>
      </c>
      <c r="B18" s="538">
        <v>0.18</v>
      </c>
      <c r="C18" s="538">
        <f>B18/12*$C$14</f>
        <v>0.075</v>
      </c>
      <c r="D18" s="538">
        <v>0.0</v>
      </c>
      <c r="E18" s="539">
        <f>IF(D18&gt;0%,C18/D18,100%)</f>
        <v>1</v>
      </c>
      <c r="F18" s="540">
        <f>F57+F26+F41+F73+F68+F92+F61+F65+F22+1+3</f>
        <v>390</v>
      </c>
      <c r="G18" s="540">
        <f>G57+G26+G41+G73+G68+G92+G61+G65+G22+1+3</f>
        <v>7</v>
      </c>
      <c r="H18" s="701">
        <f>G18/F18</f>
        <v>0.017948717948718</v>
      </c>
      <c r="I18" s="540">
        <f>I57+I26+I41+I73+I68+I92+I61+I65+I22+1+3</f>
        <v>376</v>
      </c>
      <c r="J18" s="541"/>
      <c r="K18" s="542">
        <f>J18/I18</f>
        <v>0</v>
      </c>
      <c r="L18" s="541">
        <v>15</v>
      </c>
      <c r="M18" s="541">
        <v>2</v>
      </c>
      <c r="N18" s="542">
        <f>M18/L18</f>
        <v>0.13333333333333</v>
      </c>
      <c r="O18" s="541"/>
      <c r="P18" s="541"/>
      <c r="Q18" s="542" t="str">
        <f>P18/O18</f>
        <v>0</v>
      </c>
      <c r="R18" s="541"/>
      <c r="S18" s="541"/>
      <c r="T18" s="543" t="str">
        <f>S18/R18</f>
        <v>0</v>
      </c>
      <c r="U18" s="541"/>
      <c r="V18" s="541"/>
      <c r="W18" s="543" t="str">
        <f>V18/U18</f>
        <v>0</v>
      </c>
      <c r="X18" s="541"/>
      <c r="Y18" s="541"/>
      <c r="Z18" s="543" t="str">
        <f>Y18/X18</f>
        <v>0</v>
      </c>
      <c r="AA18" s="541"/>
      <c r="AB18" s="541"/>
      <c r="AC18" s="543" t="str">
        <f>AB18/AA18</f>
        <v>0</v>
      </c>
      <c r="AD18" s="541"/>
      <c r="AE18" s="541"/>
      <c r="AF18" s="543" t="str">
        <f>AE18/AD18</f>
        <v>0</v>
      </c>
      <c r="AG18" s="541"/>
      <c r="AH18" s="544"/>
      <c r="AI18" s="542" t="str">
        <f>AH18/AG18</f>
        <v>0</v>
      </c>
      <c r="AJ18" s="541"/>
      <c r="AK18" s="544"/>
      <c r="AL18" s="542" t="str">
        <f>AK18/AJ18</f>
        <v>0</v>
      </c>
      <c r="AM18" s="541"/>
      <c r="AN18" s="544"/>
      <c r="AO18" s="545" t="str">
        <f>AN18/AM18</f>
        <v>0</v>
      </c>
      <c r="AP18" s="546">
        <f>AVERAGE(F18,I18,L18,O18,R18,U18,X18,AA18,AD18,AG18,AJ18,AM18)</f>
        <v>260.33333333333</v>
      </c>
      <c r="AQ18" s="546">
        <f>SUM(G18,J18,M18,P18,S18,V18,Y18,AB18,AE18,AH18,AK18,AN18)</f>
        <v>9</v>
      </c>
      <c r="AR18" s="547">
        <f>AQ18/AP18</f>
        <v>0.034571062740077</v>
      </c>
      <c r="AS18" s="548"/>
      <c r="AT18" s="549"/>
      <c r="AU18" s="548"/>
      <c r="AV18" s="548"/>
      <c r="AW18" s="550"/>
    </row>
    <row r="19" spans="1:49" customHeight="1" ht="17.25" outlineLevel="1" s="371" customFormat="1">
      <c r="A19" s="453" t="s">
        <v>3008</v>
      </c>
      <c r="B19" s="452">
        <v>0.1</v>
      </c>
      <c r="C19" s="452">
        <f>B19/12*$C$14</f>
        <v>0.041666666666667</v>
      </c>
      <c r="D19" s="452">
        <f>AR19</f>
        <v>0</v>
      </c>
      <c r="E19" s="470">
        <f>IF(D19&gt;0%,C19/D19,100%)</f>
        <v>1</v>
      </c>
      <c r="F19" s="343">
        <v>7</v>
      </c>
      <c r="G19" s="343"/>
      <c r="H19" s="472">
        <f>G19/F19</f>
        <v>0</v>
      </c>
      <c r="I19" s="343">
        <v>7</v>
      </c>
      <c r="J19" s="343"/>
      <c r="K19" s="420">
        <f>J19/I19</f>
        <v>0</v>
      </c>
      <c r="L19" s="343">
        <v>6</v>
      </c>
      <c r="M19" s="343"/>
      <c r="N19" s="420">
        <f>M19/L19</f>
        <v>0</v>
      </c>
      <c r="O19" s="343">
        <v>6</v>
      </c>
      <c r="P19" s="343"/>
      <c r="Q19" s="418">
        <f>P19/O19</f>
        <v>0</v>
      </c>
      <c r="R19" s="343">
        <v>6</v>
      </c>
      <c r="S19" s="343"/>
      <c r="T19" s="364">
        <f>S19/R19</f>
        <v>0</v>
      </c>
      <c r="U19" s="343"/>
      <c r="V19" s="343"/>
      <c r="W19" s="364" t="str">
        <f>V19/U19</f>
        <v>0</v>
      </c>
      <c r="X19" s="343"/>
      <c r="Y19" s="343"/>
      <c r="Z19" s="364" t="str">
        <f>Y19/X19</f>
        <v>0</v>
      </c>
      <c r="AA19" s="343"/>
      <c r="AB19" s="343"/>
      <c r="AC19" s="364" t="str">
        <f>AB19/AA19</f>
        <v>0</v>
      </c>
      <c r="AD19" s="343"/>
      <c r="AE19" s="343"/>
      <c r="AF19" s="364" t="str">
        <f>AE19/AD19</f>
        <v>0</v>
      </c>
      <c r="AG19" s="118"/>
      <c r="AH19" s="423"/>
      <c r="AI19" s="418" t="str">
        <f>AH19/AG19</f>
        <v>0</v>
      </c>
      <c r="AJ19" s="118"/>
      <c r="AK19" s="423"/>
      <c r="AL19" s="418" t="str">
        <f>AK19/AJ19</f>
        <v>0</v>
      </c>
      <c r="AM19" s="118"/>
      <c r="AN19" s="423"/>
      <c r="AO19" s="424" t="str">
        <f>AN19/AM19</f>
        <v>0</v>
      </c>
      <c r="AP19" s="425">
        <f>AVERAGE(F19,I19,L19,O19,R19,U19,X19,AA19,AD19,AG19,AJ19,AM19)</f>
        <v>6.4</v>
      </c>
      <c r="AQ19" s="425">
        <f>SUM(G19,J19,M19,P19,S19,V19,Y19,AB19,AE19,AH19,AK19,AN19)</f>
        <v>0</v>
      </c>
      <c r="AR19" s="426">
        <f>AQ19/AP19</f>
        <v>0</v>
      </c>
      <c r="AS19" s="390"/>
      <c r="AT19" s="391"/>
      <c r="AU19" s="390"/>
      <c r="AV19" s="390"/>
      <c r="AW19" s="392"/>
    </row>
    <row r="20" spans="1:49" customHeight="1" ht="17.25" outlineLevel="1" s="371" customFormat="1">
      <c r="A20" s="453" t="s">
        <v>152</v>
      </c>
      <c r="B20" s="452">
        <v>0.04</v>
      </c>
      <c r="C20" s="452">
        <f>B20/12*$C$14</f>
        <v>0.016666666666667</v>
      </c>
      <c r="D20" s="452">
        <f>AR20</f>
        <v>0</v>
      </c>
      <c r="E20" s="470">
        <f>IF(D20&gt;0%,C20/D20,100%)</f>
        <v>1</v>
      </c>
      <c r="F20" s="343">
        <v>5</v>
      </c>
      <c r="G20" s="343"/>
      <c r="H20" s="473">
        <f>G20/F20</f>
        <v>0</v>
      </c>
      <c r="I20" s="447">
        <v>8</v>
      </c>
      <c r="J20" s="447"/>
      <c r="K20" s="448">
        <f>J20/I20</f>
        <v>0</v>
      </c>
      <c r="L20" s="447">
        <v>5</v>
      </c>
      <c r="M20" s="447"/>
      <c r="N20" s="448">
        <f>M20/L20</f>
        <v>0</v>
      </c>
      <c r="O20" s="447">
        <v>5</v>
      </c>
      <c r="P20" s="447"/>
      <c r="Q20" s="418">
        <f>P20/O20</f>
        <v>0</v>
      </c>
      <c r="R20" s="447">
        <v>5</v>
      </c>
      <c r="S20" s="447"/>
      <c r="T20" s="418">
        <f>S20/R20</f>
        <v>0</v>
      </c>
      <c r="U20" s="447"/>
      <c r="V20" s="447"/>
      <c r="W20" s="418" t="str">
        <f>V20/U20</f>
        <v>0</v>
      </c>
      <c r="X20" s="447"/>
      <c r="Y20" s="447"/>
      <c r="Z20" s="418" t="str">
        <f>Y20/X20</f>
        <v>0</v>
      </c>
      <c r="AA20" s="447"/>
      <c r="AB20" s="447"/>
      <c r="AC20" s="418" t="str">
        <f>AB20/AA20</f>
        <v>0</v>
      </c>
      <c r="AD20" s="447"/>
      <c r="AE20" s="447"/>
      <c r="AF20" s="364" t="str">
        <f>AE20/AD20</f>
        <v>0</v>
      </c>
      <c r="AG20" s="447"/>
      <c r="AH20" s="449"/>
      <c r="AI20" s="442" t="str">
        <f>AH20/AG20</f>
        <v>0</v>
      </c>
      <c r="AJ20" s="118"/>
      <c r="AK20" s="423"/>
      <c r="AL20" s="418" t="str">
        <f>AK20/AJ20</f>
        <v>0</v>
      </c>
      <c r="AM20" s="118"/>
      <c r="AN20" s="423"/>
      <c r="AO20" s="424" t="str">
        <f>AN20/AM20</f>
        <v>0</v>
      </c>
      <c r="AP20" s="425">
        <f>AVERAGE(F20,I20,L20,O20,R20,U20,X20,AA20,AD20,AG20,AJ20,AM20)</f>
        <v>5.6</v>
      </c>
      <c r="AQ20" s="425">
        <f>SUM(G20,J20,M20,P20,S20,V20,Y20,AB20,AE20,AH20,AK20,AN20)</f>
        <v>0</v>
      </c>
      <c r="AR20" s="426">
        <f>AQ20/AP20</f>
        <v>0</v>
      </c>
      <c r="AS20" s="390"/>
      <c r="AT20" s="391"/>
      <c r="AU20" s="390"/>
      <c r="AV20" s="390"/>
      <c r="AW20" s="392"/>
    </row>
    <row r="21" spans="1:49" customHeight="1" ht="17.25" outlineLevel="1" s="371" customFormat="1">
      <c r="A21" s="453" t="s">
        <v>453</v>
      </c>
      <c r="B21" s="452">
        <v>0.03</v>
      </c>
      <c r="C21" s="452">
        <f>B21/12*$C$14</f>
        <v>0.0125</v>
      </c>
      <c r="D21" s="452">
        <f>AR21</f>
        <v/>
      </c>
      <c r="E21" s="470">
        <f>IF(D21&gt;0%,C21/D21,100%)</f>
        <v>1</v>
      </c>
      <c r="F21" s="343">
        <v>5</v>
      </c>
      <c r="G21" s="343"/>
      <c r="H21" s="473">
        <f>G21/F21</f>
        <v>0</v>
      </c>
      <c r="I21" s="447">
        <v>5</v>
      </c>
      <c r="J21" s="447"/>
      <c r="K21" s="448">
        <f>J21/I21</f>
        <v>0</v>
      </c>
      <c r="L21" s="447">
        <v>4</v>
      </c>
      <c r="M21" s="447"/>
      <c r="N21" s="448">
        <f>M21/L21</f>
        <v>0</v>
      </c>
      <c r="O21" s="447">
        <v>4</v>
      </c>
      <c r="P21" s="447"/>
      <c r="Q21" s="418">
        <f>P21/O21</f>
        <v>0</v>
      </c>
      <c r="R21" s="447">
        <v>4</v>
      </c>
      <c r="S21" s="447"/>
      <c r="T21" s="418">
        <f>S21/R21</f>
        <v>0</v>
      </c>
      <c r="U21" s="447"/>
      <c r="V21" s="447"/>
      <c r="W21" s="418" t="str">
        <f>V21/U21</f>
        <v>0</v>
      </c>
      <c r="X21" s="447"/>
      <c r="Y21" s="447"/>
      <c r="Z21" s="418" t="str">
        <f>Y21/X21</f>
        <v>0</v>
      </c>
      <c r="AA21" s="447"/>
      <c r="AB21" s="447"/>
      <c r="AC21" s="418" t="str">
        <f>AB21/AA21</f>
        <v>0</v>
      </c>
      <c r="AD21" s="447"/>
      <c r="AE21" s="447"/>
      <c r="AF21" s="364" t="str">
        <f>AE21/AD21</f>
        <v>0</v>
      </c>
      <c r="AG21" s="447"/>
      <c r="AH21" s="449"/>
      <c r="AI21" s="442" t="str">
        <f>AH21/AG21</f>
        <v>0</v>
      </c>
      <c r="AJ21" s="118"/>
      <c r="AK21" s="423"/>
      <c r="AL21" s="418" t="str">
        <f>AK21/AJ21</f>
        <v>0</v>
      </c>
      <c r="AM21" s="118"/>
      <c r="AN21" s="423"/>
      <c r="AO21" s="424" t="str">
        <f>AN21/AM21</f>
        <v>0</v>
      </c>
      <c r="AP21" s="428">
        <f>AVERAGE(F21,I21,L21,O21,R21,U21,X21,AA21,AD21,AG21,AJ21,AM21)</f>
        <v>4.4</v>
      </c>
      <c r="AQ21" s="428"/>
      <c r="AR21" s="429"/>
      <c r="AS21" s="390"/>
      <c r="AT21" s="391"/>
      <c r="AU21" s="390"/>
      <c r="AV21" s="390"/>
      <c r="AW21" s="392"/>
    </row>
    <row r="22" spans="1:49" customHeight="1" ht="17.25" s="572" customFormat="1">
      <c r="A22" s="534" t="s">
        <v>182</v>
      </c>
      <c r="B22" s="535">
        <v>0.1</v>
      </c>
      <c r="C22" s="535">
        <f>B22/12*$C$14</f>
        <v>0.041666666666667</v>
      </c>
      <c r="D22" s="535">
        <f>AR22</f>
        <v>0.19753086419753</v>
      </c>
      <c r="E22" s="536">
        <f>IF(D22&gt;0%,C22/D22,100%)</f>
        <v>0.2109375</v>
      </c>
      <c r="F22" s="555">
        <v>23</v>
      </c>
      <c r="G22" s="556">
        <f>SUM(G23:G25)</f>
        <v>0</v>
      </c>
      <c r="H22" s="557">
        <f>G22/F22</f>
        <v>0</v>
      </c>
      <c r="I22" s="558">
        <v>22</v>
      </c>
      <c r="J22" s="558">
        <f>SUM(J23:J25)</f>
        <v>0</v>
      </c>
      <c r="K22" s="559">
        <f>J22/I22</f>
        <v>0</v>
      </c>
      <c r="L22" s="558">
        <v>20</v>
      </c>
      <c r="M22" s="558">
        <v>2</v>
      </c>
      <c r="N22" s="559">
        <f>M22/L22</f>
        <v>0.1</v>
      </c>
      <c r="O22" s="558">
        <f>O23+O24+O25</f>
        <v>16</v>
      </c>
      <c r="P22" s="558">
        <f>SUM(P23:P25)</f>
        <v>0</v>
      </c>
      <c r="Q22" s="560">
        <f>P22/O22</f>
        <v>0</v>
      </c>
      <c r="R22" s="558"/>
      <c r="S22" s="558">
        <f>SUM(S23:S25)</f>
        <v>1</v>
      </c>
      <c r="T22" s="560" t="str">
        <f>S22/R22</f>
        <v>0</v>
      </c>
      <c r="U22" s="558"/>
      <c r="V22" s="558">
        <v>1</v>
      </c>
      <c r="W22" s="560" t="str">
        <f>V22/U22</f>
        <v>0</v>
      </c>
      <c r="X22" s="558"/>
      <c r="Y22" s="558">
        <f>SUM(Y23:Y25)</f>
        <v>0</v>
      </c>
      <c r="Z22" s="560" t="str">
        <f>Y22/X22</f>
        <v>0</v>
      </c>
      <c r="AA22" s="558"/>
      <c r="AB22" s="558">
        <f>SUM(AB23:AB25)</f>
        <v>0</v>
      </c>
      <c r="AC22" s="560" t="str">
        <f>AB22/AA22</f>
        <v>0</v>
      </c>
      <c r="AD22" s="558"/>
      <c r="AE22" s="558">
        <f>SUM(AE23:AE25)</f>
        <v>0</v>
      </c>
      <c r="AF22" s="561" t="str">
        <f>AE22/AD22</f>
        <v>0</v>
      </c>
      <c r="AG22" s="558"/>
      <c r="AH22" s="562">
        <f>SUM(AH23:AH25)</f>
        <v>0</v>
      </c>
      <c r="AI22" s="563" t="str">
        <f>AH22/AG22</f>
        <v>0</v>
      </c>
      <c r="AJ22" s="564"/>
      <c r="AK22" s="565">
        <f>SUM(AK23:AK25)</f>
        <v>0</v>
      </c>
      <c r="AL22" s="560" t="str">
        <f>AK22/AJ22</f>
        <v>0</v>
      </c>
      <c r="AM22" s="564"/>
      <c r="AN22" s="565">
        <f>SUM(AN23:AN25)</f>
        <v>0</v>
      </c>
      <c r="AO22" s="566" t="str">
        <f>AN22/AM22</f>
        <v>0</v>
      </c>
      <c r="AP22" s="567">
        <f>AVERAGE(F22,I22,L22,O22,R22,U22,X22,AA22,AD22,AG22,AJ22,AM22)</f>
        <v>20.25</v>
      </c>
      <c r="AQ22" s="567">
        <f>SUM(G22,J22,M22,P22,S22,V22,Y22,AB22,AE22,AH22,AK22,AN22)</f>
        <v>4</v>
      </c>
      <c r="AR22" s="568">
        <f>AQ22/AP22</f>
        <v>0.19753086419753</v>
      </c>
      <c r="AS22" s="569"/>
      <c r="AT22" s="570"/>
      <c r="AU22" s="569"/>
      <c r="AV22" s="569"/>
      <c r="AW22" s="571"/>
    </row>
    <row r="23" spans="1:49" customHeight="1" ht="17.25" outlineLevel="1" s="371" customFormat="1">
      <c r="A23" s="453" t="s">
        <v>3009</v>
      </c>
      <c r="B23" s="459">
        <v>0.04</v>
      </c>
      <c r="C23" s="455">
        <f>B23/12*$C$14</f>
        <v>0.016666666666667</v>
      </c>
      <c r="D23" s="452">
        <f>AR23</f>
        <v>0.086206896551724</v>
      </c>
      <c r="E23" s="470">
        <f>IF(D23&gt;0%,C23/D23,100%)</f>
        <v>0.19333333333333</v>
      </c>
      <c r="F23" s="120">
        <v>13</v>
      </c>
      <c r="G23" s="421"/>
      <c r="H23" s="473">
        <f>G23/F23</f>
        <v>0</v>
      </c>
      <c r="I23" s="447">
        <v>13</v>
      </c>
      <c r="J23" s="447"/>
      <c r="K23" s="448">
        <f>J23/I23</f>
        <v>0</v>
      </c>
      <c r="L23" s="447">
        <v>11</v>
      </c>
      <c r="M23" s="447"/>
      <c r="N23" s="448">
        <f>M23/L23</f>
        <v>0</v>
      </c>
      <c r="O23" s="447">
        <v>11</v>
      </c>
      <c r="P23" s="447"/>
      <c r="Q23" s="418">
        <f>P23/O23</f>
        <v>0</v>
      </c>
      <c r="R23" s="447">
        <v>10</v>
      </c>
      <c r="S23" s="447">
        <v>1</v>
      </c>
      <c r="T23" s="418">
        <f>S23/R23</f>
        <v>0.1</v>
      </c>
      <c r="U23" s="447"/>
      <c r="V23" s="447"/>
      <c r="W23" s="418" t="str">
        <f>V23/U23</f>
        <v>0</v>
      </c>
      <c r="X23" s="447"/>
      <c r="Y23" s="447"/>
      <c r="Z23" s="418" t="str">
        <f>Y23/X23</f>
        <v>0</v>
      </c>
      <c r="AA23" s="447"/>
      <c r="AB23" s="447"/>
      <c r="AC23" s="418" t="str">
        <f>AB23/AA23</f>
        <v>0</v>
      </c>
      <c r="AD23" s="447"/>
      <c r="AE23" s="447"/>
      <c r="AF23" s="364" t="str">
        <f>AE23/AD23</f>
        <v>0</v>
      </c>
      <c r="AG23" s="447"/>
      <c r="AH23" s="449"/>
      <c r="AI23" s="442" t="str">
        <f>AH23/AG23</f>
        <v>0</v>
      </c>
      <c r="AJ23" s="118"/>
      <c r="AK23" s="423"/>
      <c r="AL23" s="418" t="str">
        <f>AK23/AJ23</f>
        <v>0</v>
      </c>
      <c r="AM23" s="118"/>
      <c r="AN23" s="423"/>
      <c r="AO23" s="424" t="str">
        <f>AN23/AM23</f>
        <v>0</v>
      </c>
      <c r="AP23" s="369">
        <f>AVERAGE(F23,I23,L23,O23,R23,U23,X23,AA23,AD23,AG23,AJ23,AM23)</f>
        <v>11.6</v>
      </c>
      <c r="AQ23" s="369">
        <f>SUM(G23,J23,M23,P23,S23,V23,Y23,AB23,AE23,AH23,AK23,AN23)</f>
        <v>1</v>
      </c>
      <c r="AR23" s="370">
        <f>AQ23/AP23</f>
        <v>0.086206896551724</v>
      </c>
      <c r="AS23" s="390"/>
      <c r="AT23" s="391"/>
      <c r="AU23" s="390"/>
      <c r="AV23" s="390"/>
      <c r="AW23" s="392"/>
    </row>
    <row r="24" spans="1:49" customHeight="1" ht="17.25" outlineLevel="1" s="371" customFormat="1">
      <c r="A24" s="453" t="s">
        <v>3010</v>
      </c>
      <c r="B24" s="459">
        <v>0.02</v>
      </c>
      <c r="C24" s="455">
        <f>B24/12*$C$14</f>
        <v>0.0083333333333333</v>
      </c>
      <c r="D24" s="452">
        <f>AR24</f>
        <v>0</v>
      </c>
      <c r="E24" s="470">
        <f>IF(D24&gt;0%,C24/D24,100%)</f>
        <v>1</v>
      </c>
      <c r="F24" s="120">
        <v>3</v>
      </c>
      <c r="G24" s="421"/>
      <c r="H24" s="473">
        <f>G24/F24</f>
        <v>0</v>
      </c>
      <c r="I24" s="447">
        <v>3</v>
      </c>
      <c r="J24" s="447"/>
      <c r="K24" s="448">
        <f>J24/I24</f>
        <v>0</v>
      </c>
      <c r="L24" s="447">
        <v>3</v>
      </c>
      <c r="M24" s="447"/>
      <c r="N24" s="448">
        <f>M24/L24</f>
        <v>0</v>
      </c>
      <c r="O24" s="447">
        <v>3</v>
      </c>
      <c r="P24" s="447"/>
      <c r="Q24" s="418">
        <f>P24/O24</f>
        <v>0</v>
      </c>
      <c r="R24" s="447">
        <v>3</v>
      </c>
      <c r="S24" s="447"/>
      <c r="T24" s="418">
        <f>S24/R24</f>
        <v>0</v>
      </c>
      <c r="U24" s="447"/>
      <c r="V24" s="447"/>
      <c r="W24" s="418" t="str">
        <f>V24/U24</f>
        <v>0</v>
      </c>
      <c r="X24" s="447"/>
      <c r="Y24" s="447"/>
      <c r="Z24" s="418" t="str">
        <f>Y24/X24</f>
        <v>0</v>
      </c>
      <c r="AA24" s="447"/>
      <c r="AB24" s="447"/>
      <c r="AC24" s="418" t="str">
        <f>AB24/AA24</f>
        <v>0</v>
      </c>
      <c r="AD24" s="447"/>
      <c r="AE24" s="447"/>
      <c r="AF24" s="364" t="str">
        <f>AE24/AD24</f>
        <v>0</v>
      </c>
      <c r="AG24" s="447"/>
      <c r="AH24" s="449"/>
      <c r="AI24" s="442" t="str">
        <f>AH24/AG24</f>
        <v>0</v>
      </c>
      <c r="AJ24" s="118"/>
      <c r="AK24" s="423"/>
      <c r="AL24" s="418" t="str">
        <f>AK24/AJ24</f>
        <v>0</v>
      </c>
      <c r="AM24" s="118"/>
      <c r="AN24" s="423"/>
      <c r="AO24" s="424" t="str">
        <f>AN24/AM24</f>
        <v>0</v>
      </c>
      <c r="AP24" s="369">
        <f>AVERAGE(F24,I24,L24,O24,R24,U24,X24,AA24,AD24,AG24,AJ24,AM24)</f>
        <v>3</v>
      </c>
      <c r="AQ24" s="369">
        <f>SUM(G24,J24,M24,P24,S24,V24,Y24,AB24,AE24,AH24,AK24,AN24)</f>
        <v>0</v>
      </c>
      <c r="AR24" s="370">
        <f>AQ24/AP24</f>
        <v>0</v>
      </c>
      <c r="AS24" s="390"/>
      <c r="AT24" s="391"/>
      <c r="AU24" s="390"/>
      <c r="AV24" s="390"/>
      <c r="AW24" s="392"/>
    </row>
    <row r="25" spans="1:49" customHeight="1" ht="17.25" outlineLevel="1" s="371" customFormat="1">
      <c r="A25" s="453" t="s">
        <v>3011</v>
      </c>
      <c r="B25" s="459">
        <v>0.02</v>
      </c>
      <c r="C25" s="455">
        <f>B25/12*$C$14</f>
        <v>0.0083333333333333</v>
      </c>
      <c r="D25" s="452">
        <f>AR25</f>
        <v>0</v>
      </c>
      <c r="E25" s="470">
        <f>IF(D25&gt;0%,C25/D25,100%)</f>
        <v>1</v>
      </c>
      <c r="F25" s="120">
        <v>2</v>
      </c>
      <c r="G25" s="421"/>
      <c r="H25" s="473">
        <f>G25/F25</f>
        <v>0</v>
      </c>
      <c r="I25" s="447">
        <v>2</v>
      </c>
      <c r="J25" s="447"/>
      <c r="K25" s="448">
        <f>J25/I25</f>
        <v>0</v>
      </c>
      <c r="L25" s="447">
        <v>2</v>
      </c>
      <c r="M25" s="447"/>
      <c r="N25" s="448">
        <f>M25/L25</f>
        <v>0</v>
      </c>
      <c r="O25" s="447">
        <v>2</v>
      </c>
      <c r="P25" s="447"/>
      <c r="Q25" s="418">
        <f>P25/O25</f>
        <v>0</v>
      </c>
      <c r="R25" s="447">
        <v>2</v>
      </c>
      <c r="S25" s="447"/>
      <c r="T25" s="418">
        <f>S25/R25</f>
        <v>0</v>
      </c>
      <c r="U25" s="447"/>
      <c r="V25" s="447"/>
      <c r="W25" s="418" t="str">
        <f>V25/U25</f>
        <v>0</v>
      </c>
      <c r="X25" s="447"/>
      <c r="Y25" s="447"/>
      <c r="Z25" s="418" t="str">
        <f>Y25/X25</f>
        <v>0</v>
      </c>
      <c r="AA25" s="447"/>
      <c r="AB25" s="447"/>
      <c r="AC25" s="418" t="str">
        <f>AB25/AA25</f>
        <v>0</v>
      </c>
      <c r="AD25" s="447"/>
      <c r="AE25" s="447"/>
      <c r="AF25" s="364" t="str">
        <f>AE25/AD25</f>
        <v>0</v>
      </c>
      <c r="AG25" s="447"/>
      <c r="AH25" s="449"/>
      <c r="AI25" s="442" t="str">
        <f>AH25/AG25</f>
        <v>0</v>
      </c>
      <c r="AJ25" s="118"/>
      <c r="AK25" s="423"/>
      <c r="AL25" s="418" t="str">
        <f>AK25/AJ25</f>
        <v>0</v>
      </c>
      <c r="AM25" s="118"/>
      <c r="AN25" s="423"/>
      <c r="AO25" s="424" t="str">
        <f>AN25/AM25</f>
        <v>0</v>
      </c>
      <c r="AP25" s="369">
        <f>AVERAGE(F25,I25,L25,O25,R25,U25,X25,AA25,AD25,AG25,AJ25,AM25)</f>
        <v>2</v>
      </c>
      <c r="AQ25" s="369">
        <f>SUM(G25,J25,M25,P25,S25,V25,Y25,AB25,AE25,AH25,AK25,AN25)</f>
        <v>0</v>
      </c>
      <c r="AR25" s="370">
        <f>AQ25/AP25</f>
        <v>0</v>
      </c>
      <c r="AS25" s="390"/>
      <c r="AT25" s="391"/>
      <c r="AU25" s="390"/>
      <c r="AV25" s="390"/>
      <c r="AW25" s="392"/>
    </row>
    <row r="26" spans="1:49" customHeight="1" ht="17.25" s="590" customFormat="1">
      <c r="A26" s="531" t="s">
        <v>176</v>
      </c>
      <c r="B26" s="532">
        <v>0.17</v>
      </c>
      <c r="C26" s="532">
        <f>B26/12*$C$14</f>
        <v>0.070833333333333</v>
      </c>
      <c r="D26" s="532">
        <f>AR26</f>
        <v>0.20338983050847</v>
      </c>
      <c r="E26" s="533">
        <f>IF(D26&gt;0%,C26/D26,100%)</f>
        <v>0.34826388888889</v>
      </c>
      <c r="F26" s="573">
        <v>33</v>
      </c>
      <c r="G26" s="574">
        <v>1</v>
      </c>
      <c r="H26" s="575">
        <f>G26/F26</f>
        <v>0.03030303030303</v>
      </c>
      <c r="I26" s="576">
        <v>36</v>
      </c>
      <c r="J26" s="576">
        <f>SUM(J27:J34)</f>
        <v>1</v>
      </c>
      <c r="K26" s="577">
        <f>J26/I26</f>
        <v>0.027777777777778</v>
      </c>
      <c r="L26" s="576">
        <v>36</v>
      </c>
      <c r="M26" s="576">
        <f>SUM(M27:M34)</f>
        <v>0</v>
      </c>
      <c r="N26" s="577">
        <f>M26/L26</f>
        <v>0</v>
      </c>
      <c r="O26" s="576">
        <v>36</v>
      </c>
      <c r="P26" s="576">
        <f>SUM(P27:P34)</f>
        <v>1</v>
      </c>
      <c r="Q26" s="578">
        <f>P26/O26</f>
        <v>0.027777777777778</v>
      </c>
      <c r="R26" s="576">
        <f>SUM(R27:R34)</f>
        <v>36</v>
      </c>
      <c r="S26" s="576">
        <f>SUM(S27:S34)</f>
        <v>0</v>
      </c>
      <c r="T26" s="578">
        <f>S26/R26</f>
        <v>0</v>
      </c>
      <c r="U26" s="576">
        <f>SUM(U27:U34)</f>
        <v>0</v>
      </c>
      <c r="V26" s="576">
        <f>SUM(V27:V34)</f>
        <v>0</v>
      </c>
      <c r="W26" s="578" t="str">
        <f>V26/U26</f>
        <v>0</v>
      </c>
      <c r="X26" s="576">
        <f>SUM(X27:X34)</f>
        <v>0</v>
      </c>
      <c r="Y26" s="576">
        <f>SUM(Y27:Y34)</f>
        <v>0</v>
      </c>
      <c r="Z26" s="578" t="str">
        <f>Y26/X26</f>
        <v>0</v>
      </c>
      <c r="AA26" s="576">
        <f>SUM(AA27:AA34)</f>
        <v>0</v>
      </c>
      <c r="AB26" s="576">
        <f>SUM(AB27:AB34)</f>
        <v>0</v>
      </c>
      <c r="AC26" s="578" t="str">
        <f>AB26/AA26</f>
        <v>0</v>
      </c>
      <c r="AD26" s="576">
        <f>SUM(AD27:AD34)</f>
        <v>0</v>
      </c>
      <c r="AE26" s="576">
        <f>SUM(AE27:AE34)</f>
        <v>0</v>
      </c>
      <c r="AF26" s="579" t="str">
        <f>AE26/AD26</f>
        <v>0</v>
      </c>
      <c r="AG26" s="576">
        <f>SUM(AG27:AG34)</f>
        <v>0</v>
      </c>
      <c r="AH26" s="580">
        <f>SUM(AH27:AH34)</f>
        <v>0</v>
      </c>
      <c r="AI26" s="581" t="str">
        <f>AH26/AG26</f>
        <v>0</v>
      </c>
      <c r="AJ26" s="582">
        <f>SUM(AJ27:AJ34)</f>
        <v>0</v>
      </c>
      <c r="AK26" s="583">
        <f>SUM(AK27:AK34)</f>
        <v>0</v>
      </c>
      <c r="AL26" s="578" t="str">
        <f>AK26/AJ26</f>
        <v>0</v>
      </c>
      <c r="AM26" s="582">
        <f>SUM(AM27:AM34)</f>
        <v>0</v>
      </c>
      <c r="AN26" s="583">
        <f>SUM(AN27:AN34)</f>
        <v>0</v>
      </c>
      <c r="AO26" s="584" t="str">
        <f>AN26/AM26</f>
        <v>0</v>
      </c>
      <c r="AP26" s="585">
        <f>AVERAGE(F26,I26,L26,O26,R26,U26,X26,AA26,AD26,AG26,AJ26,AM26)</f>
        <v>14.75</v>
      </c>
      <c r="AQ26" s="585">
        <f>SUM(G26,J26,M26,P26,S26,V26,Y26,AB26,AE26,AH26,AK26,AN26)</f>
        <v>3</v>
      </c>
      <c r="AR26" s="586">
        <f>AQ26/AP26</f>
        <v>0.20338983050847</v>
      </c>
      <c r="AS26" s="587"/>
      <c r="AT26" s="588"/>
      <c r="AU26" s="587"/>
      <c r="AV26" s="587"/>
      <c r="AW26" s="589"/>
    </row>
    <row r="27" spans="1:49" customHeight="1" ht="17.25" outlineLevel="1" s="371" customFormat="1">
      <c r="A27" s="453" t="s">
        <v>3012</v>
      </c>
      <c r="B27" s="455">
        <v>0.06</v>
      </c>
      <c r="C27" s="455">
        <f>B27/12*$C$14</f>
        <v>0.025</v>
      </c>
      <c r="D27" s="452">
        <f>AR27</f>
        <v>0</v>
      </c>
      <c r="E27" s="470">
        <f>IF(D27&gt;0%,C27/D27,100%)</f>
        <v>1</v>
      </c>
      <c r="F27" s="120">
        <v>5</v>
      </c>
      <c r="G27" s="421"/>
      <c r="H27" s="473">
        <f>G27/F27</f>
        <v>0</v>
      </c>
      <c r="I27" s="447">
        <v>4</v>
      </c>
      <c r="J27" s="447"/>
      <c r="K27" s="448">
        <f>J27/I27</f>
        <v>0</v>
      </c>
      <c r="L27" s="447">
        <v>6</v>
      </c>
      <c r="M27" s="447"/>
      <c r="N27" s="448">
        <f>M27/L27</f>
        <v>0</v>
      </c>
      <c r="O27" s="447">
        <v>5</v>
      </c>
      <c r="P27" s="447"/>
      <c r="Q27" s="418">
        <f>P27/O27</f>
        <v>0</v>
      </c>
      <c r="R27" s="447">
        <v>5</v>
      </c>
      <c r="S27" s="447"/>
      <c r="T27" s="418">
        <f>S27/R27</f>
        <v>0</v>
      </c>
      <c r="U27" s="447"/>
      <c r="V27" s="447"/>
      <c r="W27" s="418" t="str">
        <f>V27/U27</f>
        <v>0</v>
      </c>
      <c r="X27" s="447"/>
      <c r="Y27" s="447"/>
      <c r="Z27" s="418" t="str">
        <f>Y27/X27</f>
        <v>0</v>
      </c>
      <c r="AA27" s="447"/>
      <c r="AB27" s="447"/>
      <c r="AC27" s="418" t="str">
        <f>AB27/AA27</f>
        <v>0</v>
      </c>
      <c r="AD27" s="447"/>
      <c r="AE27" s="447"/>
      <c r="AF27" s="364" t="str">
        <f>AE27/AD27</f>
        <v>0</v>
      </c>
      <c r="AG27" s="447"/>
      <c r="AH27" s="449"/>
      <c r="AI27" s="442" t="str">
        <f>AH27/AG27</f>
        <v>0</v>
      </c>
      <c r="AJ27" s="118"/>
      <c r="AK27" s="423"/>
      <c r="AL27" s="418" t="str">
        <f>AK27/AJ27</f>
        <v>0</v>
      </c>
      <c r="AM27" s="118"/>
      <c r="AN27" s="423"/>
      <c r="AO27" s="424" t="str">
        <f>AN27/AM27</f>
        <v>0</v>
      </c>
      <c r="AP27" s="369">
        <f>AVERAGE(F27,I27,L27,O27,R27,U27,X27,AA27,AD27,AG27,AJ27,AM27)</f>
        <v>5</v>
      </c>
      <c r="AQ27" s="369">
        <f>SUM(G27,J27,M27,P27,S27,V27,Y27,AB27,AE27,AH27,AK27,AN27)</f>
        <v>0</v>
      </c>
      <c r="AR27" s="370">
        <f>AQ27/AP27</f>
        <v>0</v>
      </c>
      <c r="AS27" s="390"/>
      <c r="AT27" s="391"/>
      <c r="AU27" s="390"/>
      <c r="AV27" s="390"/>
      <c r="AW27" s="392"/>
    </row>
    <row r="28" spans="1:49" customHeight="1" ht="17.25" outlineLevel="1" s="371" customFormat="1">
      <c r="A28" s="453" t="s">
        <v>3013</v>
      </c>
      <c r="B28" s="455">
        <v>0.03</v>
      </c>
      <c r="C28" s="455">
        <f>B28/12*$C$14</f>
        <v>0.0125</v>
      </c>
      <c r="D28" s="452">
        <f>AR28</f>
        <v>0</v>
      </c>
      <c r="E28" s="470">
        <f>IF(D28&gt;0%,C28/D28,100%)</f>
        <v>1</v>
      </c>
      <c r="F28" s="120">
        <v>3</v>
      </c>
      <c r="G28" s="421"/>
      <c r="H28" s="473">
        <f>G28/F28</f>
        <v>0</v>
      </c>
      <c r="I28" s="447">
        <v>3</v>
      </c>
      <c r="J28" s="447"/>
      <c r="K28" s="448">
        <f>J28/I28</f>
        <v>0</v>
      </c>
      <c r="L28" s="447">
        <v>3</v>
      </c>
      <c r="M28" s="447"/>
      <c r="N28" s="448">
        <f>M28/L28</f>
        <v>0</v>
      </c>
      <c r="O28" s="447">
        <v>3</v>
      </c>
      <c r="P28" s="447"/>
      <c r="Q28" s="418">
        <f>P28/O28</f>
        <v>0</v>
      </c>
      <c r="R28" s="447">
        <v>3</v>
      </c>
      <c r="S28" s="447"/>
      <c r="T28" s="418">
        <f>S28/R28</f>
        <v>0</v>
      </c>
      <c r="U28" s="447"/>
      <c r="V28" s="447"/>
      <c r="W28" s="418" t="str">
        <f>V28/U28</f>
        <v>0</v>
      </c>
      <c r="X28" s="447"/>
      <c r="Y28" s="447"/>
      <c r="Z28" s="418" t="str">
        <f>Y28/X28</f>
        <v>0</v>
      </c>
      <c r="AA28" s="447"/>
      <c r="AB28" s="447"/>
      <c r="AC28" s="418" t="str">
        <f>AB28/AA28</f>
        <v>0</v>
      </c>
      <c r="AD28" s="447"/>
      <c r="AE28" s="447"/>
      <c r="AF28" s="364" t="str">
        <f>AE28/AD28</f>
        <v>0</v>
      </c>
      <c r="AG28" s="447"/>
      <c r="AH28" s="449"/>
      <c r="AI28" s="442" t="str">
        <f>AH28/AG28</f>
        <v>0</v>
      </c>
      <c r="AJ28" s="118"/>
      <c r="AK28" s="423"/>
      <c r="AL28" s="418" t="str">
        <f>AK28/AJ28</f>
        <v>0</v>
      </c>
      <c r="AM28" s="118"/>
      <c r="AN28" s="423"/>
      <c r="AO28" s="424" t="str">
        <f>AN28/AM28</f>
        <v>0</v>
      </c>
      <c r="AP28" s="369">
        <f>AVERAGE(F28,I28,L28,O28,R28,U28,X28,AA28,AD28,AG28,AJ28,AM28)</f>
        <v>3</v>
      </c>
      <c r="AQ28" s="369">
        <f>SUM(G28,J28,M28,P28,S28,V28,Y28,AB28,AE28,AH28,AK28,AN28)</f>
        <v>0</v>
      </c>
      <c r="AR28" s="370">
        <f>AQ28/AP28</f>
        <v>0</v>
      </c>
      <c r="AS28" s="390"/>
      <c r="AT28" s="391"/>
      <c r="AU28" s="390"/>
      <c r="AV28" s="390"/>
      <c r="AW28" s="392"/>
    </row>
    <row r="29" spans="1:49" customHeight="1" ht="17.25" outlineLevel="1" s="371" customFormat="1">
      <c r="A29" s="453" t="s">
        <v>3014</v>
      </c>
      <c r="B29" s="455">
        <v>0.1</v>
      </c>
      <c r="C29" s="455">
        <f>B29/12*$C$14</f>
        <v>0.041666666666667</v>
      </c>
      <c r="D29" s="452">
        <f>AR29</f>
        <v>0</v>
      </c>
      <c r="E29" s="470">
        <f>IF(D29&gt;0%,C29/D29,100%)</f>
        <v>1</v>
      </c>
      <c r="F29" s="120">
        <v>5</v>
      </c>
      <c r="G29" s="421"/>
      <c r="H29" s="473">
        <f>G29/F29</f>
        <v>0</v>
      </c>
      <c r="I29" s="447">
        <v>4</v>
      </c>
      <c r="J29" s="447"/>
      <c r="K29" s="448">
        <f>J29/I29</f>
        <v>0</v>
      </c>
      <c r="L29" s="447">
        <v>5</v>
      </c>
      <c r="M29" s="447"/>
      <c r="N29" s="448">
        <f>M29/L29</f>
        <v>0</v>
      </c>
      <c r="O29" s="447">
        <v>3</v>
      </c>
      <c r="P29" s="447"/>
      <c r="Q29" s="418">
        <f>P29/O29</f>
        <v>0</v>
      </c>
      <c r="R29" s="447">
        <v>4</v>
      </c>
      <c r="S29" s="447"/>
      <c r="T29" s="418">
        <f>S29/R29</f>
        <v>0</v>
      </c>
      <c r="U29" s="447"/>
      <c r="V29" s="447"/>
      <c r="W29" s="418" t="str">
        <f>V29/U29</f>
        <v>0</v>
      </c>
      <c r="X29" s="447"/>
      <c r="Y29" s="447"/>
      <c r="Z29" s="418" t="str">
        <f>Y29/X29</f>
        <v>0</v>
      </c>
      <c r="AA29" s="447"/>
      <c r="AB29" s="447"/>
      <c r="AC29" s="418" t="str">
        <f>AB29/AA29</f>
        <v>0</v>
      </c>
      <c r="AD29" s="447"/>
      <c r="AE29" s="447"/>
      <c r="AF29" s="364" t="str">
        <f>AE29/AD29</f>
        <v>0</v>
      </c>
      <c r="AG29" s="447"/>
      <c r="AH29" s="449"/>
      <c r="AI29" s="442" t="str">
        <f>AH29/AG29</f>
        <v>0</v>
      </c>
      <c r="AJ29" s="118"/>
      <c r="AK29" s="423"/>
      <c r="AL29" s="418" t="str">
        <f>AK29/AJ29</f>
        <v>0</v>
      </c>
      <c r="AM29" s="118"/>
      <c r="AN29" s="423"/>
      <c r="AO29" s="424" t="str">
        <f>AN29/AM29</f>
        <v>0</v>
      </c>
      <c r="AP29" s="369">
        <f>AVERAGE(F29,I29,L29,O29,R29,U29,X29,AA29,AD29,AG29,AJ29,AM29)</f>
        <v>4.2</v>
      </c>
      <c r="AQ29" s="369">
        <f>SUM(G29,J29,M29,P29,S29,V29,Y29,AB29,AE29,AH29,AK29,AN29)</f>
        <v>0</v>
      </c>
      <c r="AR29" s="370">
        <f>AQ29/AP29</f>
        <v>0</v>
      </c>
      <c r="AS29" s="390"/>
      <c r="AT29" s="391"/>
      <c r="AU29" s="390"/>
      <c r="AV29" s="390"/>
      <c r="AW29" s="392"/>
    </row>
    <row r="30" spans="1:49" customHeight="1" ht="17.25" outlineLevel="1" s="371" customFormat="1">
      <c r="A30" s="453" t="s">
        <v>3015</v>
      </c>
      <c r="B30" s="455">
        <v>0.1</v>
      </c>
      <c r="C30" s="455">
        <f>B30/12*$C$14</f>
        <v>0.041666666666667</v>
      </c>
      <c r="D30" s="452">
        <f>AR30</f>
        <v>0</v>
      </c>
      <c r="E30" s="470">
        <f>IF(D30&gt;0%,C30/D30,100%)</f>
        <v>1</v>
      </c>
      <c r="F30" s="120">
        <v>8</v>
      </c>
      <c r="G30" s="421"/>
      <c r="H30" s="473">
        <f>G30/F30</f>
        <v>0</v>
      </c>
      <c r="I30" s="447">
        <v>9</v>
      </c>
      <c r="J30" s="447"/>
      <c r="K30" s="448">
        <f>J30/I30</f>
        <v>0</v>
      </c>
      <c r="L30" s="447">
        <v>9</v>
      </c>
      <c r="M30" s="447"/>
      <c r="N30" s="448">
        <f>M30/L30</f>
        <v>0</v>
      </c>
      <c r="O30" s="447">
        <v>9</v>
      </c>
      <c r="P30" s="447"/>
      <c r="Q30" s="418">
        <f>P30/O30</f>
        <v>0</v>
      </c>
      <c r="R30" s="447">
        <v>9</v>
      </c>
      <c r="S30" s="447"/>
      <c r="T30" s="418">
        <f>S30/R30</f>
        <v>0</v>
      </c>
      <c r="U30" s="447"/>
      <c r="V30" s="447"/>
      <c r="W30" s="418" t="str">
        <f>V30/U30</f>
        <v>0</v>
      </c>
      <c r="X30" s="447"/>
      <c r="Y30" s="447"/>
      <c r="Z30" s="418" t="str">
        <f>Y30/X30</f>
        <v>0</v>
      </c>
      <c r="AA30" s="447"/>
      <c r="AB30" s="447"/>
      <c r="AC30" s="418" t="str">
        <f>AB30/AA30</f>
        <v>0</v>
      </c>
      <c r="AD30" s="447"/>
      <c r="AE30" s="447"/>
      <c r="AF30" s="364" t="str">
        <f>AE30/AD30</f>
        <v>0</v>
      </c>
      <c r="AG30" s="447"/>
      <c r="AH30" s="449"/>
      <c r="AI30" s="442" t="str">
        <f>AH30/AG30</f>
        <v>0</v>
      </c>
      <c r="AJ30" s="118"/>
      <c r="AK30" s="423"/>
      <c r="AL30" s="418" t="str">
        <f>AK30/AJ30</f>
        <v>0</v>
      </c>
      <c r="AM30" s="118"/>
      <c r="AN30" s="423"/>
      <c r="AO30" s="424" t="str">
        <f>AN30/AM30</f>
        <v>0</v>
      </c>
      <c r="AP30" s="369">
        <f>AVERAGE(F30,I30,L30,O30,R30,U30,X30,AA30,AD30,AG30,AJ30,AM30)</f>
        <v>8.8</v>
      </c>
      <c r="AQ30" s="369">
        <f>SUM(G30,J30,M30,P30,S30,V30,Y30,AB30,AE30,AH30,AK30,AN30)</f>
        <v>0</v>
      </c>
      <c r="AR30" s="370">
        <f>AQ30/AP30</f>
        <v>0</v>
      </c>
      <c r="AS30" s="390"/>
      <c r="AT30" s="391"/>
      <c r="AU30" s="390"/>
      <c r="AV30" s="390"/>
      <c r="AW30" s="392"/>
    </row>
    <row r="31" spans="1:49" customHeight="1" ht="17.25" outlineLevel="1" s="371" customFormat="1">
      <c r="A31" s="453" t="s">
        <v>3016</v>
      </c>
      <c r="B31" s="455">
        <v>0.07</v>
      </c>
      <c r="C31" s="455">
        <f>B31/12*$C$14</f>
        <v>0.029166666666667</v>
      </c>
      <c r="D31" s="452">
        <f>AR31</f>
        <v>0.25</v>
      </c>
      <c r="E31" s="470">
        <f>IF(D31&gt;0%,C31/D31,100%)</f>
        <v>0.11666666666667</v>
      </c>
      <c r="F31" s="120">
        <v>4</v>
      </c>
      <c r="G31" s="421"/>
      <c r="H31" s="473">
        <f>G31/F31</f>
        <v>0</v>
      </c>
      <c r="I31" s="447">
        <v>4</v>
      </c>
      <c r="J31" s="447">
        <v>1</v>
      </c>
      <c r="K31" s="448">
        <f>J31/I31</f>
        <v>0.25</v>
      </c>
      <c r="L31" s="447">
        <v>4</v>
      </c>
      <c r="M31" s="447"/>
      <c r="N31" s="448">
        <f>M31/L31</f>
        <v>0</v>
      </c>
      <c r="O31" s="447">
        <v>4</v>
      </c>
      <c r="P31" s="447"/>
      <c r="Q31" s="418">
        <f>P31/O31</f>
        <v>0</v>
      </c>
      <c r="R31" s="447">
        <v>4</v>
      </c>
      <c r="S31" s="447"/>
      <c r="T31" s="418">
        <f>S31/R31</f>
        <v>0</v>
      </c>
      <c r="U31" s="447"/>
      <c r="V31" s="447"/>
      <c r="W31" s="418" t="str">
        <f>V31/U31</f>
        <v>0</v>
      </c>
      <c r="X31" s="447"/>
      <c r="Y31" s="447"/>
      <c r="Z31" s="418" t="str">
        <f>Y31/X31</f>
        <v>0</v>
      </c>
      <c r="AA31" s="447"/>
      <c r="AB31" s="447"/>
      <c r="AC31" s="418" t="str">
        <f>AB31/AA31</f>
        <v>0</v>
      </c>
      <c r="AD31" s="447"/>
      <c r="AE31" s="447"/>
      <c r="AF31" s="364" t="str">
        <f>AE31/AD31</f>
        <v>0</v>
      </c>
      <c r="AG31" s="447"/>
      <c r="AH31" s="449"/>
      <c r="AI31" s="442" t="str">
        <f>AH31/AG31</f>
        <v>0</v>
      </c>
      <c r="AJ31" s="118"/>
      <c r="AK31" s="423"/>
      <c r="AL31" s="418" t="str">
        <f>AK31/AJ31</f>
        <v>0</v>
      </c>
      <c r="AM31" s="118"/>
      <c r="AN31" s="423"/>
      <c r="AO31" s="424" t="str">
        <f>AN31/AM31</f>
        <v>0</v>
      </c>
      <c r="AP31" s="369">
        <f>AVERAGE(F31,I31,L31,O31,R31,U31,X31,AA31,AD31,AG31,AJ31,AM31)</f>
        <v>4</v>
      </c>
      <c r="AQ31" s="369">
        <f>SUM(G31,J31,M31,P31,S31,V31,Y31,AB31,AE31,AH31,AK31,AN31)</f>
        <v>1</v>
      </c>
      <c r="AR31" s="370">
        <f>AQ31/AP31</f>
        <v>0.25</v>
      </c>
      <c r="AS31" s="390"/>
      <c r="AT31" s="391"/>
      <c r="AU31" s="390"/>
      <c r="AV31" s="390"/>
      <c r="AW31" s="392"/>
    </row>
    <row r="32" spans="1:49" customHeight="1" ht="17.25" outlineLevel="1" s="371" customFormat="1">
      <c r="A32" s="453" t="s">
        <v>3017</v>
      </c>
      <c r="B32" s="455">
        <v>0.05</v>
      </c>
      <c r="C32" s="455">
        <f>B32/12*$C$14</f>
        <v>0.020833333333333</v>
      </c>
      <c r="D32" s="452">
        <f>AR32</f>
        <v>0.18518518518519</v>
      </c>
      <c r="E32" s="470">
        <f>IF(D32&gt;0%,C32/D32,100%)</f>
        <v>0.1125</v>
      </c>
      <c r="F32" s="120">
        <v>5</v>
      </c>
      <c r="G32" s="421"/>
      <c r="H32" s="473">
        <f>G32/F32</f>
        <v>0</v>
      </c>
      <c r="I32" s="447">
        <v>5</v>
      </c>
      <c r="J32" s="447"/>
      <c r="K32" s="448">
        <f>J32/I32</f>
        <v>0</v>
      </c>
      <c r="L32" s="447">
        <v>5</v>
      </c>
      <c r="M32" s="447"/>
      <c r="N32" s="448">
        <f>M32/L32</f>
        <v>0</v>
      </c>
      <c r="O32" s="447">
        <v>7</v>
      </c>
      <c r="P32" s="447">
        <v>1</v>
      </c>
      <c r="Q32" s="418">
        <f>P32/O32</f>
        <v>0.14285714285714</v>
      </c>
      <c r="R32" s="447">
        <v>5</v>
      </c>
      <c r="S32" s="447"/>
      <c r="T32" s="418">
        <f>S32/R32</f>
        <v>0</v>
      </c>
      <c r="U32" s="447"/>
      <c r="V32" s="447"/>
      <c r="W32" s="418" t="str">
        <f>V32/U32</f>
        <v>0</v>
      </c>
      <c r="X32" s="447"/>
      <c r="Y32" s="447"/>
      <c r="Z32" s="418" t="str">
        <f>Y32/X32</f>
        <v>0</v>
      </c>
      <c r="AA32" s="447"/>
      <c r="AB32" s="447"/>
      <c r="AC32" s="418" t="str">
        <f>AB32/AA32</f>
        <v>0</v>
      </c>
      <c r="AD32" s="447"/>
      <c r="AE32" s="447"/>
      <c r="AF32" s="364" t="str">
        <f>AE32/AD32</f>
        <v>0</v>
      </c>
      <c r="AG32" s="447"/>
      <c r="AH32" s="449"/>
      <c r="AI32" s="442" t="str">
        <f>AH32/AG32</f>
        <v>0</v>
      </c>
      <c r="AJ32" s="118"/>
      <c r="AK32" s="423"/>
      <c r="AL32" s="418" t="str">
        <f>AK32/AJ32</f>
        <v>0</v>
      </c>
      <c r="AM32" s="118"/>
      <c r="AN32" s="423"/>
      <c r="AO32" s="424" t="str">
        <f>AN32/AM32</f>
        <v>0</v>
      </c>
      <c r="AP32" s="369">
        <f>AVERAGE(F32,I32,L32,O32,R32,U32,X32,AA32,AD32,AG32,AJ32,AM32)</f>
        <v>5.4</v>
      </c>
      <c r="AQ32" s="369">
        <f>SUM(G32,J32,M32,P32,S32,V32,Y32,AB32,AE32,AH32,AK32,AN32)</f>
        <v>1</v>
      </c>
      <c r="AR32" s="370">
        <f>AQ32/AP32</f>
        <v>0.18518518518519</v>
      </c>
      <c r="AS32" s="390"/>
      <c r="AT32" s="391"/>
      <c r="AU32" s="390"/>
      <c r="AV32" s="390"/>
      <c r="AW32" s="392"/>
    </row>
    <row r="33" spans="1:49" customHeight="1" ht="17.25" outlineLevel="1" s="371" customFormat="1">
      <c r="A33" s="453" t="s">
        <v>3018</v>
      </c>
      <c r="B33" s="455">
        <v>0.0</v>
      </c>
      <c r="C33" s="455">
        <f>B33/12*$C$14</f>
        <v>0</v>
      </c>
      <c r="D33" s="452">
        <f>AR33</f>
        <v/>
      </c>
      <c r="E33" s="470">
        <f>IF(D33&gt;0%,C33/D33,100%)</f>
        <v>1</v>
      </c>
      <c r="F33" s="120">
        <v>2</v>
      </c>
      <c r="G33" s="421"/>
      <c r="H33" s="473">
        <f>G33/F33</f>
        <v>0</v>
      </c>
      <c r="I33" s="447">
        <v>2</v>
      </c>
      <c r="J33" s="447"/>
      <c r="K33" s="448">
        <f>J33/I33</f>
        <v>0</v>
      </c>
      <c r="L33" s="447">
        <v>2</v>
      </c>
      <c r="M33" s="447"/>
      <c r="N33" s="448">
        <f>M33/L33</f>
        <v>0</v>
      </c>
      <c r="O33" s="447">
        <v>4</v>
      </c>
      <c r="P33" s="447"/>
      <c r="Q33" s="418">
        <f>P33/O33</f>
        <v>0</v>
      </c>
      <c r="R33" s="447">
        <v>4</v>
      </c>
      <c r="S33" s="447"/>
      <c r="T33" s="418">
        <f>S33/R33</f>
        <v>0</v>
      </c>
      <c r="U33" s="447"/>
      <c r="V33" s="447"/>
      <c r="W33" s="418" t="str">
        <f>V33/U33</f>
        <v>0</v>
      </c>
      <c r="X33" s="447"/>
      <c r="Y33" s="447"/>
      <c r="Z33" s="418" t="str">
        <f>Y33/X33</f>
        <v>0</v>
      </c>
      <c r="AA33" s="447"/>
      <c r="AB33" s="447"/>
      <c r="AC33" s="418" t="str">
        <f>AB33/AA33</f>
        <v>0</v>
      </c>
      <c r="AD33" s="447"/>
      <c r="AE33" s="447"/>
      <c r="AF33" s="364" t="str">
        <f>AE33/AD33</f>
        <v>0</v>
      </c>
      <c r="AG33" s="447"/>
      <c r="AH33" s="449"/>
      <c r="AI33" s="442" t="str">
        <f>AH33/AG33</f>
        <v>0</v>
      </c>
      <c r="AJ33" s="118"/>
      <c r="AK33" s="423"/>
      <c r="AL33" s="418" t="str">
        <f>AK33/AJ33</f>
        <v>0</v>
      </c>
      <c r="AM33" s="118"/>
      <c r="AN33" s="423"/>
      <c r="AO33" s="424" t="str">
        <f>AN33/AM33</f>
        <v>0</v>
      </c>
      <c r="AP33" s="369">
        <f>AVERAGE(F33,I33,L33,O33,R33,U33,X33,AA33,AD33,AG33,AJ33,AM33)</f>
        <v>2.8</v>
      </c>
      <c r="AQ33" s="369"/>
      <c r="AR33" s="370"/>
      <c r="AS33" s="390"/>
      <c r="AT33" s="391"/>
      <c r="AU33" s="390"/>
      <c r="AV33" s="390"/>
      <c r="AW33" s="392"/>
    </row>
    <row r="34" spans="1:49" customHeight="1" ht="17.25" outlineLevel="1" s="371" customFormat="1">
      <c r="A34" s="453" t="s">
        <v>1233</v>
      </c>
      <c r="B34" s="455">
        <v>0.0</v>
      </c>
      <c r="C34" s="455">
        <f>B34/12*$C$14</f>
        <v>0</v>
      </c>
      <c r="D34" s="452">
        <f>AR34</f>
        <v>0</v>
      </c>
      <c r="E34" s="470">
        <f>IF(D34&gt;0%,C34/D34,100%)</f>
        <v>1</v>
      </c>
      <c r="F34" s="120">
        <v>1</v>
      </c>
      <c r="G34" s="421"/>
      <c r="H34" s="473">
        <f>G34/F34</f>
        <v>0</v>
      </c>
      <c r="I34" s="447">
        <v>2</v>
      </c>
      <c r="J34" s="447"/>
      <c r="K34" s="448">
        <f>J34/I34</f>
        <v>0</v>
      </c>
      <c r="L34" s="447">
        <v>2</v>
      </c>
      <c r="M34" s="447"/>
      <c r="N34" s="448">
        <f>M34/L34</f>
        <v>0</v>
      </c>
      <c r="O34" s="447">
        <v>1</v>
      </c>
      <c r="P34" s="447"/>
      <c r="Q34" s="418">
        <f>P34/O34</f>
        <v>0</v>
      </c>
      <c r="R34" s="447">
        <v>2</v>
      </c>
      <c r="S34" s="447"/>
      <c r="T34" s="418">
        <f>S34/R34</f>
        <v>0</v>
      </c>
      <c r="U34" s="447"/>
      <c r="V34" s="447"/>
      <c r="W34" s="418" t="str">
        <f>V34/U34</f>
        <v>0</v>
      </c>
      <c r="X34" s="447"/>
      <c r="Y34" s="447"/>
      <c r="Z34" s="418" t="str">
        <f>Y34/X34</f>
        <v>0</v>
      </c>
      <c r="AA34" s="447"/>
      <c r="AB34" s="447"/>
      <c r="AC34" s="418" t="str">
        <f>AB34/AA34</f>
        <v>0</v>
      </c>
      <c r="AD34" s="447"/>
      <c r="AE34" s="447"/>
      <c r="AF34" s="364" t="str">
        <f>AE34/AD34</f>
        <v>0</v>
      </c>
      <c r="AG34" s="447"/>
      <c r="AH34" s="449"/>
      <c r="AI34" s="442" t="str">
        <f>AH34/AG34</f>
        <v>0</v>
      </c>
      <c r="AJ34" s="118"/>
      <c r="AK34" s="423"/>
      <c r="AL34" s="418" t="str">
        <f>AK34/AJ34</f>
        <v>0</v>
      </c>
      <c r="AM34" s="118"/>
      <c r="AN34" s="423"/>
      <c r="AO34" s="424" t="str">
        <f>AN34/AM34</f>
        <v>0</v>
      </c>
      <c r="AP34" s="369">
        <f>AVERAGE(F34,I34,L34,O34,R34,U34,X34,AA34,AD34,AG34,AJ34,AM34)</f>
        <v>1.6</v>
      </c>
      <c r="AQ34" s="369">
        <f>SUM(G34,J34,M34,P34,S34,V34,Y34,AB34,AE34,AH34,AK34,AN34)</f>
        <v>0</v>
      </c>
      <c r="AR34" s="370">
        <f>AQ34/AP34</f>
        <v>0</v>
      </c>
      <c r="AS34" s="390"/>
      <c r="AT34" s="391"/>
      <c r="AU34" s="390"/>
      <c r="AV34" s="390"/>
      <c r="AW34" s="392"/>
    </row>
    <row r="35" spans="1:49" customHeight="1" ht="17.25" s="611" customFormat="1">
      <c r="A35" s="591" t="s">
        <v>143</v>
      </c>
      <c r="B35" s="592">
        <v>0.165</v>
      </c>
      <c r="C35" s="592">
        <f>B35/12*$C$14</f>
        <v>0.06875</v>
      </c>
      <c r="D35" s="592">
        <f>AR35</f>
        <v>0.07361963190184</v>
      </c>
      <c r="E35" s="593">
        <f>IF(D35&gt;0%,C35/D35,100%)</f>
        <v>0.93385416666667</v>
      </c>
      <c r="F35" s="594">
        <v>40</v>
      </c>
      <c r="G35" s="595"/>
      <c r="H35" s="596">
        <f>G35/F35</f>
        <v>0</v>
      </c>
      <c r="I35" s="597">
        <v>42</v>
      </c>
      <c r="J35" s="597">
        <v>1</v>
      </c>
      <c r="K35" s="598">
        <f>J35/I35</f>
        <v>0.023809523809524</v>
      </c>
      <c r="L35" s="597">
        <v>41</v>
      </c>
      <c r="M35" s="597">
        <v>1</v>
      </c>
      <c r="N35" s="598">
        <f>M35/L35</f>
        <v>0.024390243902439</v>
      </c>
      <c r="O35" s="597">
        <v>40</v>
      </c>
      <c r="P35" s="597">
        <v>1</v>
      </c>
      <c r="Q35" s="599">
        <f>P35/O35</f>
        <v>0.025</v>
      </c>
      <c r="R35" s="597"/>
      <c r="S35" s="597"/>
      <c r="T35" s="599" t="str">
        <f>S35/R35</f>
        <v>0</v>
      </c>
      <c r="U35" s="597"/>
      <c r="V35" s="597"/>
      <c r="W35" s="599" t="str">
        <f>V35/U35</f>
        <v>0</v>
      </c>
      <c r="X35" s="597"/>
      <c r="Y35" s="597"/>
      <c r="Z35" s="599" t="str">
        <f>Y35/X35</f>
        <v>0</v>
      </c>
      <c r="AA35" s="597"/>
      <c r="AB35" s="597"/>
      <c r="AC35" s="599" t="str">
        <f>AB35/AA35</f>
        <v>0</v>
      </c>
      <c r="AD35" s="597"/>
      <c r="AE35" s="597"/>
      <c r="AF35" s="600" t="str">
        <f>AE35/AD35</f>
        <v>0</v>
      </c>
      <c r="AG35" s="597"/>
      <c r="AH35" s="601"/>
      <c r="AI35" s="602" t="str">
        <f>AH35/AG35</f>
        <v>0</v>
      </c>
      <c r="AJ35" s="603"/>
      <c r="AK35" s="604"/>
      <c r="AL35" s="599" t="str">
        <f>AK35/AJ35</f>
        <v>0</v>
      </c>
      <c r="AM35" s="603"/>
      <c r="AN35" s="604"/>
      <c r="AO35" s="605" t="str">
        <f>AN35/AM35</f>
        <v>0</v>
      </c>
      <c r="AP35" s="606">
        <f>AVERAGE(F35,I35,L35,O35,R35,U35,X35,AA35,AD35,AG35,AJ35,AM35)</f>
        <v>40.75</v>
      </c>
      <c r="AQ35" s="606">
        <f>SUM(G35,J35,M35,P35,S35,V35,Y35,AB35,AE35,AH35,AK35,AN35)</f>
        <v>3</v>
      </c>
      <c r="AR35" s="607">
        <f>AQ35/AP35</f>
        <v>0.07361963190184</v>
      </c>
      <c r="AS35" s="608"/>
      <c r="AT35" s="609"/>
      <c r="AU35" s="608"/>
      <c r="AV35" s="608"/>
      <c r="AW35" s="610"/>
    </row>
    <row r="36" spans="1:49" customHeight="1" ht="17.25" s="611" customFormat="1">
      <c r="A36" s="591" t="s">
        <v>509</v>
      </c>
      <c r="B36" s="592">
        <v>0.12</v>
      </c>
      <c r="C36" s="612">
        <f>B36/12*$C$14</f>
        <v>0.05</v>
      </c>
      <c r="D36" s="612">
        <f>AR36</f>
        <v>0</v>
      </c>
      <c r="E36" s="613">
        <f>IF(D36&gt;0%,C36/D36,100%)</f>
        <v>1</v>
      </c>
      <c r="F36" s="594">
        <f>SUM(F37:F40)</f>
        <v>17</v>
      </c>
      <c r="G36" s="595">
        <f>SUM(G37:G40)</f>
        <v>0</v>
      </c>
      <c r="H36" s="596">
        <f>G36/F36</f>
        <v>0</v>
      </c>
      <c r="I36" s="597">
        <f>SUM(I37:I40)</f>
        <v>17</v>
      </c>
      <c r="J36" s="597">
        <f>SUM(J37:J40)</f>
        <v>0</v>
      </c>
      <c r="K36" s="598">
        <f>J36/I36</f>
        <v>0</v>
      </c>
      <c r="L36" s="597">
        <v>19</v>
      </c>
      <c r="M36" s="597">
        <f>SUM(M37:M40)</f>
        <v>0</v>
      </c>
      <c r="N36" s="598">
        <f>M36/L36</f>
        <v>0</v>
      </c>
      <c r="O36" s="597">
        <v>17</v>
      </c>
      <c r="P36" s="597">
        <f>SUM(P37:P40)</f>
        <v>0</v>
      </c>
      <c r="Q36" s="599">
        <f>P36/O36</f>
        <v>0</v>
      </c>
      <c r="R36" s="597">
        <f>SUM(R37:R40)</f>
        <v>17</v>
      </c>
      <c r="S36" s="597">
        <f>SUM(S37:S40)</f>
        <v>0</v>
      </c>
      <c r="T36" s="599">
        <f>S36/R36</f>
        <v>0</v>
      </c>
      <c r="U36" s="597">
        <f>SUM(U37:U40)</f>
        <v>0</v>
      </c>
      <c r="V36" s="597">
        <f>SUM(V37:V40)</f>
        <v>0</v>
      </c>
      <c r="W36" s="599" t="str">
        <f>V36/U36</f>
        <v>0</v>
      </c>
      <c r="X36" s="597">
        <f>SUM(X37:X40)</f>
        <v>0</v>
      </c>
      <c r="Y36" s="597">
        <f>SUM(Y37:Y40)</f>
        <v>0</v>
      </c>
      <c r="Z36" s="599" t="str">
        <f>Y36/X36</f>
        <v>0</v>
      </c>
      <c r="AA36" s="597">
        <f>SUM(AA37:AA40)</f>
        <v>0</v>
      </c>
      <c r="AB36" s="597">
        <f>SUM(AB37:AB40)</f>
        <v>0</v>
      </c>
      <c r="AC36" s="599" t="str">
        <f>AB36/AA36</f>
        <v>0</v>
      </c>
      <c r="AD36" s="597">
        <f>SUM(AD37:AD40)</f>
        <v>0</v>
      </c>
      <c r="AE36" s="597">
        <f>SUM(AE37:AE40)</f>
        <v>0</v>
      </c>
      <c r="AF36" s="600" t="str">
        <f>AE36/AD36</f>
        <v>0</v>
      </c>
      <c r="AG36" s="597">
        <f>SUM(AG37:AG40)</f>
        <v>0</v>
      </c>
      <c r="AH36" s="601">
        <f>SUM(AH37:AH40)</f>
        <v>0</v>
      </c>
      <c r="AI36" s="602" t="str">
        <f>AH36/AG36</f>
        <v>0</v>
      </c>
      <c r="AJ36" s="603">
        <f>SUM(AJ37:AJ40)</f>
        <v>0</v>
      </c>
      <c r="AK36" s="604">
        <f>SUM(AK37:AK40)</f>
        <v>0</v>
      </c>
      <c r="AL36" s="599" t="str">
        <f>AK36/AJ36</f>
        <v>0</v>
      </c>
      <c r="AM36" s="603">
        <f>SUM(AM37:AM40)</f>
        <v>0</v>
      </c>
      <c r="AN36" s="604">
        <f>SUM(AN37:AN40)</f>
        <v>0</v>
      </c>
      <c r="AO36" s="605" t="str">
        <f>AN36/AM36</f>
        <v>0</v>
      </c>
      <c r="AP36" s="606">
        <f>AVERAGE(F36,I36,L36,O36,R36,U36,X36,AA36,AD36,AG36,AJ36,AM36)</f>
        <v>7.25</v>
      </c>
      <c r="AQ36" s="606">
        <f>SUM(G36,J36,M36,P36,S36,V36,Y36,AB36,AE36,AH36,AK36,AN36)</f>
        <v>0</v>
      </c>
      <c r="AR36" s="607">
        <f>AQ36/AP36</f>
        <v>0</v>
      </c>
      <c r="AS36" s="608"/>
      <c r="AT36" s="609"/>
      <c r="AU36" s="608"/>
      <c r="AV36" s="608"/>
      <c r="AW36" s="610"/>
    </row>
    <row r="37" spans="1:49" customHeight="1" ht="17.25" outlineLevel="1" s="371" customFormat="1">
      <c r="A37" s="453" t="s">
        <v>3019</v>
      </c>
      <c r="B37" s="452">
        <v>0.0</v>
      </c>
      <c r="C37" s="452">
        <f>B37/12*$C$14</f>
        <v>0</v>
      </c>
      <c r="D37" s="452">
        <f>AR37</f>
        <v>0</v>
      </c>
      <c r="E37" s="471">
        <f>IF(D37&gt;0%,C37/D37,100%)</f>
        <v>1</v>
      </c>
      <c r="F37" s="120">
        <v>3</v>
      </c>
      <c r="G37" s="421"/>
      <c r="H37" s="473">
        <f>G37/F37</f>
        <v>0</v>
      </c>
      <c r="I37" s="447">
        <v>3</v>
      </c>
      <c r="J37" s="447"/>
      <c r="K37" s="448">
        <f>J37/I37</f>
        <v>0</v>
      </c>
      <c r="L37" s="447">
        <v>3</v>
      </c>
      <c r="M37" s="447"/>
      <c r="N37" s="448">
        <f>M37/L37</f>
        <v>0</v>
      </c>
      <c r="O37" s="447"/>
      <c r="P37" s="447"/>
      <c r="Q37" s="418" t="str">
        <f>P37/O37</f>
        <v>0</v>
      </c>
      <c r="R37" s="447">
        <v>3</v>
      </c>
      <c r="S37" s="447"/>
      <c r="T37" s="418">
        <f>S37/R37</f>
        <v>0</v>
      </c>
      <c r="U37" s="447"/>
      <c r="V37" s="447"/>
      <c r="W37" s="418" t="str">
        <f>V37/U37</f>
        <v>0</v>
      </c>
      <c r="X37" s="447"/>
      <c r="Y37" s="447"/>
      <c r="Z37" s="418" t="str">
        <f>Y37/X37</f>
        <v>0</v>
      </c>
      <c r="AA37" s="447"/>
      <c r="AB37" s="447"/>
      <c r="AC37" s="418" t="str">
        <f>AB37/AA37</f>
        <v>0</v>
      </c>
      <c r="AD37" s="447"/>
      <c r="AE37" s="447"/>
      <c r="AF37" s="364" t="str">
        <f>AE37/AD37</f>
        <v>0</v>
      </c>
      <c r="AG37" s="447"/>
      <c r="AH37" s="449"/>
      <c r="AI37" s="442" t="str">
        <f>AH37/AG37</f>
        <v>0</v>
      </c>
      <c r="AJ37" s="118"/>
      <c r="AK37" s="423"/>
      <c r="AL37" s="418" t="str">
        <f>AK37/AJ37</f>
        <v>0</v>
      </c>
      <c r="AM37" s="118"/>
      <c r="AN37" s="423"/>
      <c r="AO37" s="424" t="str">
        <f>AN37/AM37</f>
        <v>0</v>
      </c>
      <c r="AP37" s="369">
        <f>AVERAGE(F37,I37,L37,O37,R37,U37,X37,AA37,AD37,AG37,AJ37,AM37)</f>
        <v>3</v>
      </c>
      <c r="AQ37" s="369">
        <f>SUM(G37,J37,M37,P37,S37,V37,Y37,AB37,AE37,AH37,AK37,AN37)</f>
        <v>0</v>
      </c>
      <c r="AR37" s="370">
        <f>AQ37/AP37</f>
        <v>0</v>
      </c>
      <c r="AS37" s="390"/>
      <c r="AT37" s="391"/>
      <c r="AU37" s="390"/>
      <c r="AV37" s="390"/>
      <c r="AW37" s="392"/>
    </row>
    <row r="38" spans="1:49" customHeight="1" ht="17.25" outlineLevel="1" s="371" customFormat="1">
      <c r="A38" s="453" t="s">
        <v>3020</v>
      </c>
      <c r="B38" s="452">
        <v>0.3</v>
      </c>
      <c r="C38" s="452">
        <f>B38/12*$C$14</f>
        <v>0.125</v>
      </c>
      <c r="D38" s="452">
        <f>AR38</f>
        <v>0</v>
      </c>
      <c r="E38" s="471">
        <f>IF(D38&gt;0%,C38/D38,100%)</f>
        <v>1</v>
      </c>
      <c r="F38" s="120">
        <v>6</v>
      </c>
      <c r="G38" s="421"/>
      <c r="H38" s="473">
        <f>G38/F38</f>
        <v>0</v>
      </c>
      <c r="I38" s="447">
        <v>6</v>
      </c>
      <c r="J38" s="447"/>
      <c r="K38" s="448">
        <f>J38/I38</f>
        <v>0</v>
      </c>
      <c r="L38" s="447">
        <v>6</v>
      </c>
      <c r="M38" s="447"/>
      <c r="N38" s="448">
        <f>M38/L38</f>
        <v>0</v>
      </c>
      <c r="O38" s="447"/>
      <c r="P38" s="447"/>
      <c r="Q38" s="418" t="str">
        <f>P38/O38</f>
        <v>0</v>
      </c>
      <c r="R38" s="447">
        <v>6</v>
      </c>
      <c r="S38" s="447"/>
      <c r="T38" s="418">
        <f>S38/R38</f>
        <v>0</v>
      </c>
      <c r="U38" s="447"/>
      <c r="V38" s="447"/>
      <c r="W38" s="418" t="str">
        <f>V38/U38</f>
        <v>0</v>
      </c>
      <c r="X38" s="447"/>
      <c r="Y38" s="447"/>
      <c r="Z38" s="418" t="str">
        <f>Y38/X38</f>
        <v>0</v>
      </c>
      <c r="AA38" s="447"/>
      <c r="AB38" s="447"/>
      <c r="AC38" s="418" t="str">
        <f>AB38/AA38</f>
        <v>0</v>
      </c>
      <c r="AD38" s="447"/>
      <c r="AE38" s="447"/>
      <c r="AF38" s="364" t="str">
        <f>AE38/AD38</f>
        <v>0</v>
      </c>
      <c r="AG38" s="447"/>
      <c r="AH38" s="449"/>
      <c r="AI38" s="442" t="str">
        <f>AH38/AG38</f>
        <v>0</v>
      </c>
      <c r="AJ38" s="118"/>
      <c r="AK38" s="423"/>
      <c r="AL38" s="418" t="str">
        <f>AK38/AJ38</f>
        <v>0</v>
      </c>
      <c r="AM38" s="118"/>
      <c r="AN38" s="423"/>
      <c r="AO38" s="424" t="str">
        <f>AN38/AM38</f>
        <v>0</v>
      </c>
      <c r="AP38" s="369">
        <f>AVERAGE(F38,I38,L38,O38,R38,U38,X38,AA38,AD38,AG38,AJ38,AM38)</f>
        <v>6</v>
      </c>
      <c r="AQ38" s="369">
        <f>SUM(G38,J38,M38,P38,S38,V38,Y38,AB38,AE38,AH38,AK38,AN38)</f>
        <v>0</v>
      </c>
      <c r="AR38" s="370">
        <f>AQ38/AP38</f>
        <v>0</v>
      </c>
      <c r="AS38" s="390"/>
      <c r="AT38" s="391"/>
      <c r="AU38" s="390"/>
      <c r="AV38" s="390"/>
      <c r="AW38" s="392"/>
    </row>
    <row r="39" spans="1:49" customHeight="1" ht="17.25" outlineLevel="1" s="371" customFormat="1">
      <c r="A39" s="453" t="s">
        <v>3021</v>
      </c>
      <c r="B39" s="452">
        <v>0.05</v>
      </c>
      <c r="C39" s="452">
        <f>B39/12*$C$14</f>
        <v>0.020833333333333</v>
      </c>
      <c r="D39" s="452">
        <f>AR39</f>
        <v>0</v>
      </c>
      <c r="E39" s="471">
        <f>IF(D39&gt;0%,C39/D39,100%)</f>
        <v>1</v>
      </c>
      <c r="F39" s="120">
        <v>4</v>
      </c>
      <c r="G39" s="421"/>
      <c r="H39" s="473">
        <f>G39/F39</f>
        <v>0</v>
      </c>
      <c r="I39" s="447">
        <v>4</v>
      </c>
      <c r="J39" s="447"/>
      <c r="K39" s="448">
        <f>J39/I39</f>
        <v>0</v>
      </c>
      <c r="L39" s="447">
        <v>4</v>
      </c>
      <c r="M39" s="447"/>
      <c r="N39" s="448">
        <f>M39/L39</f>
        <v>0</v>
      </c>
      <c r="O39" s="447"/>
      <c r="P39" s="447"/>
      <c r="Q39" s="418" t="str">
        <f>P39/O39</f>
        <v>0</v>
      </c>
      <c r="R39" s="447">
        <v>4</v>
      </c>
      <c r="S39" s="447"/>
      <c r="T39" s="418">
        <f>S39/R39</f>
        <v>0</v>
      </c>
      <c r="U39" s="447"/>
      <c r="V39" s="447"/>
      <c r="W39" s="418" t="str">
        <f>V39/U39</f>
        <v>0</v>
      </c>
      <c r="X39" s="447"/>
      <c r="Y39" s="447"/>
      <c r="Z39" s="418" t="str">
        <f>Y39/X39</f>
        <v>0</v>
      </c>
      <c r="AA39" s="447"/>
      <c r="AB39" s="447"/>
      <c r="AC39" s="418" t="str">
        <f>AB39/AA39</f>
        <v>0</v>
      </c>
      <c r="AD39" s="447"/>
      <c r="AE39" s="447"/>
      <c r="AF39" s="364" t="str">
        <f>AE39/AD39</f>
        <v>0</v>
      </c>
      <c r="AG39" s="447"/>
      <c r="AH39" s="449"/>
      <c r="AI39" s="442" t="str">
        <f>AH39/AG39</f>
        <v>0</v>
      </c>
      <c r="AJ39" s="118"/>
      <c r="AK39" s="423"/>
      <c r="AL39" s="418" t="str">
        <f>AK39/AJ39</f>
        <v>0</v>
      </c>
      <c r="AM39" s="118"/>
      <c r="AN39" s="423"/>
      <c r="AO39" s="424" t="str">
        <f>AN39/AM39</f>
        <v>0</v>
      </c>
      <c r="AP39" s="369">
        <f>AVERAGE(F39,I39,L39,O39,R39,U39,X39,AA39,AD39,AG39,AJ39,AM39)</f>
        <v>4</v>
      </c>
      <c r="AQ39" s="369">
        <f>SUM(G39,J39,M39,P39,S39,V39,Y39,AB39,AE39,AH39,AK39,AN39)</f>
        <v>0</v>
      </c>
      <c r="AR39" s="370">
        <f>AQ39/AP39</f>
        <v>0</v>
      </c>
      <c r="AS39" s="390"/>
      <c r="AT39" s="391"/>
      <c r="AU39" s="390"/>
      <c r="AV39" s="390"/>
      <c r="AW39" s="392"/>
    </row>
    <row r="40" spans="1:49" customHeight="1" ht="17.25" outlineLevel="1" s="371" customFormat="1">
      <c r="A40" s="453" t="s">
        <v>3022</v>
      </c>
      <c r="B40" s="452">
        <v>0.3</v>
      </c>
      <c r="C40" s="452">
        <f>B40/12*$C$14</f>
        <v>0.125</v>
      </c>
      <c r="D40" s="452">
        <f>AR40</f>
        <v>0</v>
      </c>
      <c r="E40" s="471">
        <f>IF(D40&gt;0%,C40/D40,100%)</f>
        <v>1</v>
      </c>
      <c r="F40" s="120">
        <v>4</v>
      </c>
      <c r="G40" s="421"/>
      <c r="H40" s="473">
        <f>G40/F40</f>
        <v>0</v>
      </c>
      <c r="I40" s="447">
        <v>4</v>
      </c>
      <c r="J40" s="447"/>
      <c r="K40" s="448">
        <f>J40/I40</f>
        <v>0</v>
      </c>
      <c r="L40" s="447">
        <v>6</v>
      </c>
      <c r="M40" s="447"/>
      <c r="N40" s="448">
        <f>M40/L40</f>
        <v>0</v>
      </c>
      <c r="O40" s="447"/>
      <c r="P40" s="447"/>
      <c r="Q40" s="418" t="str">
        <f>P40/O40</f>
        <v>0</v>
      </c>
      <c r="R40" s="447">
        <v>4</v>
      </c>
      <c r="S40" s="447"/>
      <c r="T40" s="418">
        <f>S40/R40</f>
        <v>0</v>
      </c>
      <c r="U40" s="447"/>
      <c r="V40" s="447"/>
      <c r="W40" s="418" t="str">
        <f>V40/U40</f>
        <v>0</v>
      </c>
      <c r="X40" s="447"/>
      <c r="Y40" s="447"/>
      <c r="Z40" s="418" t="str">
        <f>Y40/X40</f>
        <v>0</v>
      </c>
      <c r="AA40" s="447"/>
      <c r="AB40" s="447"/>
      <c r="AC40" s="418" t="str">
        <f>AB40/AA40</f>
        <v>0</v>
      </c>
      <c r="AD40" s="447"/>
      <c r="AE40" s="447"/>
      <c r="AF40" s="364" t="str">
        <f>AE40/AD40</f>
        <v>0</v>
      </c>
      <c r="AG40" s="447"/>
      <c r="AH40" s="449"/>
      <c r="AI40" s="442" t="str">
        <f>AH40/AG40</f>
        <v>0</v>
      </c>
      <c r="AJ40" s="118"/>
      <c r="AK40" s="423"/>
      <c r="AL40" s="418" t="str">
        <f>AK40/AJ40</f>
        <v>0</v>
      </c>
      <c r="AM40" s="118"/>
      <c r="AN40" s="423"/>
      <c r="AO40" s="424" t="str">
        <f>AN40/AM40</f>
        <v>0</v>
      </c>
      <c r="AP40" s="425">
        <f>AVERAGE(F40,I40,L40,O40,R40,U40,X40,AA40,AD40,AG40,AJ40,AM40)</f>
        <v>4.5</v>
      </c>
      <c r="AQ40" s="425">
        <f>SUM(G40,J40,M40,P40,S40,V40,Y40,AB40,AE40,AH40,AK40,AN40)</f>
        <v>0</v>
      </c>
      <c r="AR40" s="426">
        <f>AQ40/AP40</f>
        <v>0</v>
      </c>
      <c r="AS40" s="390"/>
      <c r="AT40" s="391"/>
      <c r="AU40" s="390"/>
      <c r="AV40" s="390"/>
      <c r="AW40" s="392"/>
    </row>
    <row r="41" spans="1:49" customHeight="1" ht="17.25" s="630" customFormat="1">
      <c r="A41" s="393" t="s">
        <v>226</v>
      </c>
      <c r="B41" s="395">
        <v>0.15</v>
      </c>
      <c r="C41" s="395">
        <f>B41/12*$C$14</f>
        <v>0.0625</v>
      </c>
      <c r="D41" s="395">
        <f>AR41</f>
        <v>0.1468788249694</v>
      </c>
      <c r="E41" s="422">
        <f>IF(D41&gt;0%,C41/D41,100%)</f>
        <v>0.42552083333333</v>
      </c>
      <c r="F41" s="515">
        <f>F42+F43+F48+F54+F61+F65+F68</f>
        <v>204</v>
      </c>
      <c r="G41" s="614">
        <f>G42+G43+G48+G54+G61+G65+G68</f>
        <v>2</v>
      </c>
      <c r="H41" s="615">
        <f>G41/F41</f>
        <v>0.0098039215686275</v>
      </c>
      <c r="I41" s="616">
        <f>I42+I43+I48+I54+I61+I65+I68</f>
        <v>196</v>
      </c>
      <c r="J41" s="616">
        <f>J42+J43+J48+J54+J61+J65</f>
        <v>3</v>
      </c>
      <c r="K41" s="617">
        <f>J41/I41</f>
        <v>0.01530612244898</v>
      </c>
      <c r="L41" s="616">
        <v>102</v>
      </c>
      <c r="M41" s="616">
        <f>M42+M43+M48+M54+M61+M65+M68</f>
        <v>2</v>
      </c>
      <c r="N41" s="617">
        <f>M41/L41</f>
        <v>0.019607843137255</v>
      </c>
      <c r="O41" s="616">
        <v>111</v>
      </c>
      <c r="P41" s="616">
        <f>P42+P43+P48+P54+P61+P65+P68</f>
        <v>1</v>
      </c>
      <c r="Q41" s="618">
        <f>P41/O41</f>
        <v>0.009009009009009</v>
      </c>
      <c r="R41" s="616">
        <f>R42+R43+R48+R54+R61+R65+R68</f>
        <v>204</v>
      </c>
      <c r="S41" s="616">
        <v>2</v>
      </c>
      <c r="T41" s="618">
        <f>S41/R41</f>
        <v>0.0098039215686275</v>
      </c>
      <c r="U41" s="616">
        <f>U42+U43+U48+U54+U61+U65+U68</f>
        <v>0</v>
      </c>
      <c r="V41" s="616">
        <f>V42+V43+V48+V54+V61+V65+V68</f>
        <v>0</v>
      </c>
      <c r="W41" s="618" t="str">
        <f>V41/U41</f>
        <v>0</v>
      </c>
      <c r="X41" s="616">
        <f>X42+X43+X48+X54+X61+X65+X68</f>
        <v>0</v>
      </c>
      <c r="Y41" s="616">
        <f>Y42+Y43+Y48+Y54+Y61+Y65+Y68</f>
        <v>0</v>
      </c>
      <c r="Z41" s="618" t="str">
        <f>Y41/X41</f>
        <v>0</v>
      </c>
      <c r="AA41" s="616">
        <f>AA42+AA43+AA48+AA54+AA61+AA65+AA68</f>
        <v>0</v>
      </c>
      <c r="AB41" s="616">
        <f>AB42+AB43+AB48+AB54+AB61+AB65+AB68</f>
        <v>0</v>
      </c>
      <c r="AC41" s="618" t="str">
        <f>AB41/AA41</f>
        <v>0</v>
      </c>
      <c r="AD41" s="616">
        <f>AD42+AD43+AD48+AD54+AD61+AD65+AD68</f>
        <v>0</v>
      </c>
      <c r="AE41" s="616">
        <f>AE42+AE43+AE48+AE54+AE61+AE65+AE68</f>
        <v>0</v>
      </c>
      <c r="AF41" s="619" t="str">
        <f>AE41/AD41</f>
        <v>0</v>
      </c>
      <c r="AG41" s="616">
        <f>AG42+AG43+AG48+AG54+AG61+AG65+AG68</f>
        <v>0</v>
      </c>
      <c r="AH41" s="620">
        <f>AH42+AH43+AH48+AH54+AH61+AH65+AH68</f>
        <v>0</v>
      </c>
      <c r="AI41" s="621" t="str">
        <f>AH41/AG41</f>
        <v>0</v>
      </c>
      <c r="AJ41" s="622">
        <f>AJ42+AJ43+AJ48+AJ54+AJ61+AJ65+AJ68</f>
        <v>0</v>
      </c>
      <c r="AK41" s="623">
        <f>AK42+AK43+AK48+AK54+AK61+AK65+AK68</f>
        <v>0</v>
      </c>
      <c r="AL41" s="618" t="str">
        <f>AK41/AJ41</f>
        <v>0</v>
      </c>
      <c r="AM41" s="622">
        <f>AM42+AM43+AM48+AM54+AM61+AM65+AM68</f>
        <v>0</v>
      </c>
      <c r="AN41" s="623">
        <f>AN42+AN43+AN48+AN54+AN61+AN65+AN68</f>
        <v>0</v>
      </c>
      <c r="AO41" s="624" t="str">
        <f>AN41/AM41</f>
        <v>0</v>
      </c>
      <c r="AP41" s="625">
        <f>AVERAGE(F41,I41,L41,O41,R41,U41,X41,AA41,AD41,AG41,AJ41,AM41)</f>
        <v>68.083333333333</v>
      </c>
      <c r="AQ41" s="625">
        <f>SUM(G41,J41,M41,P41,S41,V41,Y41,AB41,AE41,AH41,AK41,AN41)</f>
        <v>10</v>
      </c>
      <c r="AR41" s="626">
        <f>AQ41/AP41</f>
        <v>0.1468788249694</v>
      </c>
      <c r="AS41" s="627"/>
      <c r="AT41" s="628"/>
      <c r="AU41" s="627"/>
      <c r="AV41" s="627"/>
      <c r="AW41" s="629"/>
    </row>
    <row r="42" spans="1:49" customHeight="1" ht="17.25" s="371" customFormat="1">
      <c r="A42" s="493" t="s">
        <v>3023</v>
      </c>
      <c r="B42" s="452">
        <v>0.0</v>
      </c>
      <c r="C42" s="452">
        <f>B42/12*$C$14</f>
        <v>0</v>
      </c>
      <c r="D42" s="452">
        <f>AR42</f>
        <v>0</v>
      </c>
      <c r="E42" s="456">
        <f>IF(D42&gt;0%,C42/D42,100%)</f>
        <v>1</v>
      </c>
      <c r="F42" s="120">
        <v>3</v>
      </c>
      <c r="G42" s="421"/>
      <c r="H42" s="473">
        <f>G42/F42</f>
        <v>0</v>
      </c>
      <c r="I42" s="447">
        <v>3</v>
      </c>
      <c r="J42" s="447"/>
      <c r="K42" s="448">
        <f>J42/I42</f>
        <v>0</v>
      </c>
      <c r="L42" s="447">
        <v>3</v>
      </c>
      <c r="M42" s="447"/>
      <c r="N42" s="448">
        <f>M42/L42</f>
        <v>0</v>
      </c>
      <c r="O42" s="447">
        <v>3</v>
      </c>
      <c r="P42" s="447"/>
      <c r="Q42" s="418">
        <f>P42/O42</f>
        <v>0</v>
      </c>
      <c r="R42" s="447">
        <v>3</v>
      </c>
      <c r="S42" s="447"/>
      <c r="T42" s="418">
        <f>S42/R42</f>
        <v>0</v>
      </c>
      <c r="U42" s="447"/>
      <c r="V42" s="447"/>
      <c r="W42" s="418" t="str">
        <f>V42/U42</f>
        <v>0</v>
      </c>
      <c r="X42" s="447"/>
      <c r="Y42" s="447"/>
      <c r="Z42" s="418" t="str">
        <f>Y42/X42</f>
        <v>0</v>
      </c>
      <c r="AA42" s="447"/>
      <c r="AB42" s="447"/>
      <c r="AC42" s="418" t="str">
        <f>AB42/AA42</f>
        <v>0</v>
      </c>
      <c r="AD42" s="447"/>
      <c r="AE42" s="447"/>
      <c r="AF42" s="364" t="str">
        <f>AE42/AD42</f>
        <v>0</v>
      </c>
      <c r="AG42" s="447"/>
      <c r="AH42" s="449"/>
      <c r="AI42" s="442" t="str">
        <f>AH42/AG42</f>
        <v>0</v>
      </c>
      <c r="AJ42" s="118"/>
      <c r="AK42" s="423"/>
      <c r="AL42" s="418" t="str">
        <f>AK42/AJ42</f>
        <v>0</v>
      </c>
      <c r="AM42" s="118"/>
      <c r="AN42" s="423"/>
      <c r="AO42" s="424" t="str">
        <f>AN42/AM42</f>
        <v>0</v>
      </c>
      <c r="AP42" s="428">
        <f>AVERAGE(F42,I42,L42,O42,R42,U42,X42,AA42,AD42,AG42,AJ42,AM42)</f>
        <v>3</v>
      </c>
      <c r="AQ42" s="428">
        <f>SUM(G42,J42,M42,P42,S42,V42,Y42,AB42,AE42,AH42,AK42,AN42)</f>
        <v>0</v>
      </c>
      <c r="AR42" s="429">
        <f>AQ42/AP42</f>
        <v>0</v>
      </c>
      <c r="AS42" s="390"/>
      <c r="AT42" s="391"/>
      <c r="AU42" s="390"/>
      <c r="AV42" s="390"/>
      <c r="AW42" s="392"/>
    </row>
    <row r="43" spans="1:49" customHeight="1" ht="17.25" s="630" customFormat="1">
      <c r="A43" s="492" t="s">
        <v>3024</v>
      </c>
      <c r="B43" s="395">
        <v>0.1</v>
      </c>
      <c r="C43" s="395">
        <f>B43/12*$C$14</f>
        <v>0.041666666666667</v>
      </c>
      <c r="D43" s="395">
        <f>AR43</f>
        <v/>
      </c>
      <c r="E43" s="422">
        <f>IF(D43&gt;0%,C43/D43,100%)</f>
        <v>1</v>
      </c>
      <c r="F43" s="515">
        <f>SUM(F44:F47)</f>
        <v>21</v>
      </c>
      <c r="G43" s="614">
        <f>SUM(G44:G47)</f>
        <v>0</v>
      </c>
      <c r="H43" s="615">
        <f>G43/F43</f>
        <v>0</v>
      </c>
      <c r="I43" s="616">
        <f>SUM(I44:I47)</f>
        <v>20</v>
      </c>
      <c r="J43" s="616">
        <f>SUM(J44:J47)</f>
        <v>1</v>
      </c>
      <c r="K43" s="617">
        <f>J43/I43</f>
        <v>0.05</v>
      </c>
      <c r="L43" s="616">
        <f>SUM(L44:L47)</f>
        <v>20</v>
      </c>
      <c r="M43" s="616">
        <f>SUM(M44:M47)</f>
        <v>0</v>
      </c>
      <c r="N43" s="617">
        <f>M43/L43</f>
        <v>0</v>
      </c>
      <c r="O43" s="616">
        <f>SUM(O44:O47)</f>
        <v>20</v>
      </c>
      <c r="P43" s="616">
        <f>SUM(P44:P47)</f>
        <v>0</v>
      </c>
      <c r="Q43" s="618">
        <f>P43/O43</f>
        <v>0</v>
      </c>
      <c r="R43" s="616">
        <f>SUM(R44:R47)</f>
        <v>20</v>
      </c>
      <c r="S43" s="616">
        <f>SUM(S44:S47)</f>
        <v>0</v>
      </c>
      <c r="T43" s="618">
        <f>S43/R43</f>
        <v>0</v>
      </c>
      <c r="U43" s="616">
        <f>SUM(U44:U47)</f>
        <v>0</v>
      </c>
      <c r="V43" s="616">
        <f>SUM(V44:V47)</f>
        <v>0</v>
      </c>
      <c r="W43" s="618" t="str">
        <f>V43/U43</f>
        <v>0</v>
      </c>
      <c r="X43" s="616">
        <f>SUM(X44:X47)</f>
        <v>0</v>
      </c>
      <c r="Y43" s="616">
        <f>SUM(Y44:Y47)</f>
        <v>0</v>
      </c>
      <c r="Z43" s="618" t="str">
        <f>Y43/X43</f>
        <v>0</v>
      </c>
      <c r="AA43" s="616">
        <f>SUM(AA44:AA47)</f>
        <v>0</v>
      </c>
      <c r="AB43" s="616">
        <f>SUM(AB44:AB47)</f>
        <v>0</v>
      </c>
      <c r="AC43" s="618" t="str">
        <f>AB43/AA43</f>
        <v>0</v>
      </c>
      <c r="AD43" s="616">
        <f>SUM(AD44:AD47)</f>
        <v>0</v>
      </c>
      <c r="AE43" s="616">
        <f>SUM(AE44:AE47)</f>
        <v>0</v>
      </c>
      <c r="AF43" s="619" t="str">
        <f>AE43/AD43</f>
        <v>0</v>
      </c>
      <c r="AG43" s="616">
        <f>SUM(AG44:AG47)</f>
        <v>0</v>
      </c>
      <c r="AH43" s="620">
        <f>SUM(AH44:AH47)</f>
        <v>0</v>
      </c>
      <c r="AI43" s="621" t="str">
        <f>AH43/AG43</f>
        <v>0</v>
      </c>
      <c r="AJ43" s="622">
        <f>SUM(AJ44:AJ47)</f>
        <v>0</v>
      </c>
      <c r="AK43" s="623">
        <f>SUM(AK44:AK47)</f>
        <v>0</v>
      </c>
      <c r="AL43" s="618" t="str">
        <f>AK43/AJ43</f>
        <v>0</v>
      </c>
      <c r="AM43" s="622">
        <f>SUM(AM44:AM47)</f>
        <v>0</v>
      </c>
      <c r="AN43" s="623">
        <f>SUM(AN44:AN47)</f>
        <v>0</v>
      </c>
      <c r="AO43" s="624" t="str">
        <f>AN43/AM43</f>
        <v>0</v>
      </c>
      <c r="AP43" s="625">
        <f>AVERAGE(F43,I43,L43,O43,R43,U43,X43,AA43,AD43,AG43,AJ43,AM43)</f>
        <v>8.4166666666667</v>
      </c>
      <c r="AQ43" s="625"/>
      <c r="AR43" s="626"/>
      <c r="AS43" s="627"/>
      <c r="AT43" s="628"/>
      <c r="AU43" s="627"/>
      <c r="AV43" s="627"/>
      <c r="AW43" s="629"/>
    </row>
    <row r="44" spans="1:49" customHeight="1" ht="17.25" outlineLevel="1" s="371" customFormat="1">
      <c r="A44" s="493" t="s">
        <v>3025</v>
      </c>
      <c r="B44" s="452">
        <v>0.05</v>
      </c>
      <c r="C44" s="452">
        <f>B44/12*$C$14</f>
        <v>0.020833333333333</v>
      </c>
      <c r="D44" s="452">
        <f>AR44</f>
        <v/>
      </c>
      <c r="E44" s="456">
        <f>IF(D44&gt;0%,C44/D44,100%)</f>
        <v>1</v>
      </c>
      <c r="F44" s="478">
        <v>3</v>
      </c>
      <c r="G44" s="421"/>
      <c r="H44" s="473">
        <f>G44/F44</f>
        <v>0</v>
      </c>
      <c r="I44" s="447">
        <v>3</v>
      </c>
      <c r="J44" s="447"/>
      <c r="K44" s="448">
        <f>J44/I44</f>
        <v>0</v>
      </c>
      <c r="L44" s="447">
        <v>5</v>
      </c>
      <c r="M44" s="447"/>
      <c r="N44" s="448">
        <f>M44/L44</f>
        <v>0</v>
      </c>
      <c r="O44" s="447">
        <v>5</v>
      </c>
      <c r="P44" s="447"/>
      <c r="Q44" s="418">
        <f>P44/O44</f>
        <v>0</v>
      </c>
      <c r="R44" s="447">
        <v>5</v>
      </c>
      <c r="S44" s="447"/>
      <c r="T44" s="418">
        <f>S44/R44</f>
        <v>0</v>
      </c>
      <c r="U44" s="447"/>
      <c r="V44" s="447"/>
      <c r="W44" s="418" t="str">
        <f>V44/U44</f>
        <v>0</v>
      </c>
      <c r="X44" s="447"/>
      <c r="Y44" s="447"/>
      <c r="Z44" s="418" t="str">
        <f>Y44/X44</f>
        <v>0</v>
      </c>
      <c r="AA44" s="447"/>
      <c r="AB44" s="447"/>
      <c r="AC44" s="418" t="str">
        <f>AB44/AA44</f>
        <v>0</v>
      </c>
      <c r="AD44" s="447"/>
      <c r="AE44" s="447"/>
      <c r="AF44" s="364" t="str">
        <f>AE44/AD44</f>
        <v>0</v>
      </c>
      <c r="AG44" s="447"/>
      <c r="AH44" s="449"/>
      <c r="AI44" s="442" t="str">
        <f>AH44/AG44</f>
        <v>0</v>
      </c>
      <c r="AJ44" s="118"/>
      <c r="AK44" s="423"/>
      <c r="AL44" s="418" t="str">
        <f>AK44/AJ44</f>
        <v>0</v>
      </c>
      <c r="AM44" s="118"/>
      <c r="AN44" s="423"/>
      <c r="AO44" s="424" t="str">
        <f>AN44/AM44</f>
        <v>0</v>
      </c>
      <c r="AP44" s="428">
        <f>AVERAGE(F44,I44,L44,O44,R44,U44,X44,AA44,AD44,AG44,AJ44,AM44)</f>
        <v>4.2</v>
      </c>
      <c r="AQ44" s="428"/>
      <c r="AR44" s="429"/>
      <c r="AS44" s="390"/>
      <c r="AT44" s="391"/>
      <c r="AU44" s="390"/>
      <c r="AV44" s="390"/>
      <c r="AW44" s="392"/>
    </row>
    <row r="45" spans="1:49" customHeight="1" ht="30.75" outlineLevel="1" s="371" customFormat="1">
      <c r="A45" s="494" t="s">
        <v>3026</v>
      </c>
      <c r="B45" s="452">
        <v>0.05</v>
      </c>
      <c r="C45" s="452">
        <f>B45/12*$C$14</f>
        <v>0.020833333333333</v>
      </c>
      <c r="D45" s="452">
        <f>AR45</f>
        <v/>
      </c>
      <c r="E45" s="456">
        <f>IF(D45&gt;0%,C45/D45,100%)</f>
        <v>1</v>
      </c>
      <c r="F45" s="478">
        <v>8</v>
      </c>
      <c r="G45" s="421"/>
      <c r="H45" s="473">
        <f>G45/F45</f>
        <v>0</v>
      </c>
      <c r="I45" s="447">
        <v>8</v>
      </c>
      <c r="J45" s="447"/>
      <c r="K45" s="448">
        <f>J45/I45</f>
        <v>0</v>
      </c>
      <c r="L45" s="447">
        <v>6</v>
      </c>
      <c r="M45" s="447"/>
      <c r="N45" s="448">
        <f>M45/L45</f>
        <v>0</v>
      </c>
      <c r="O45" s="447">
        <v>6</v>
      </c>
      <c r="P45" s="447"/>
      <c r="Q45" s="418">
        <f>P45/O45</f>
        <v>0</v>
      </c>
      <c r="R45" s="447">
        <v>6</v>
      </c>
      <c r="S45" s="447"/>
      <c r="T45" s="418">
        <f>S45/R45</f>
        <v>0</v>
      </c>
      <c r="U45" s="447"/>
      <c r="V45" s="447"/>
      <c r="W45" s="418" t="str">
        <f>V45/U45</f>
        <v>0</v>
      </c>
      <c r="X45" s="447"/>
      <c r="Y45" s="447"/>
      <c r="Z45" s="418" t="str">
        <f>Y45/X45</f>
        <v>0</v>
      </c>
      <c r="AA45" s="447"/>
      <c r="AB45" s="447"/>
      <c r="AC45" s="418" t="str">
        <f>AB45/AA45</f>
        <v>0</v>
      </c>
      <c r="AD45" s="447"/>
      <c r="AE45" s="447"/>
      <c r="AF45" s="364" t="str">
        <f>AE45/AD45</f>
        <v>0</v>
      </c>
      <c r="AG45" s="447"/>
      <c r="AH45" s="449"/>
      <c r="AI45" s="442" t="str">
        <f>AH45/AG45</f>
        <v>0</v>
      </c>
      <c r="AJ45" s="118"/>
      <c r="AK45" s="423"/>
      <c r="AL45" s="418" t="str">
        <f>AK45/AJ45</f>
        <v>0</v>
      </c>
      <c r="AM45" s="118"/>
      <c r="AN45" s="423"/>
      <c r="AO45" s="424" t="str">
        <f>AN45/AM45</f>
        <v>0</v>
      </c>
      <c r="AP45" s="428">
        <f>AVERAGE(F45,I45,L45,O45,R45,U45,X45,AA45,AD45,AG45,AJ45,AM45)</f>
        <v>6.8</v>
      </c>
      <c r="AQ45" s="428"/>
      <c r="AR45" s="429"/>
      <c r="AS45" s="390"/>
      <c r="AT45" s="391"/>
      <c r="AU45" s="390"/>
      <c r="AV45" s="390"/>
      <c r="AW45" s="392"/>
    </row>
    <row r="46" spans="1:49" customHeight="1" ht="29.25" outlineLevel="1" s="371" customFormat="1">
      <c r="A46" s="494" t="s">
        <v>3027</v>
      </c>
      <c r="B46" s="452">
        <v>0.05</v>
      </c>
      <c r="C46" s="452">
        <f>B46/12*$C$14</f>
        <v>0.020833333333333</v>
      </c>
      <c r="D46" s="452">
        <f>AR46</f>
        <v/>
      </c>
      <c r="E46" s="456">
        <f>IF(D46&gt;0%,C46/D46,100%)</f>
        <v>1</v>
      </c>
      <c r="F46" s="478">
        <v>6</v>
      </c>
      <c r="G46" s="421"/>
      <c r="H46" s="473">
        <f>G46/F46</f>
        <v>0</v>
      </c>
      <c r="I46" s="447">
        <v>5</v>
      </c>
      <c r="J46" s="447"/>
      <c r="K46" s="448">
        <f>J46/I46</f>
        <v>0</v>
      </c>
      <c r="L46" s="447">
        <v>5</v>
      </c>
      <c r="M46" s="447"/>
      <c r="N46" s="448">
        <f>M46/L46</f>
        <v>0</v>
      </c>
      <c r="O46" s="447">
        <v>5</v>
      </c>
      <c r="P46" s="447"/>
      <c r="Q46" s="418">
        <f>P46/O46</f>
        <v>0</v>
      </c>
      <c r="R46" s="447">
        <v>5</v>
      </c>
      <c r="S46" s="447"/>
      <c r="T46" s="418">
        <f>S46/R46</f>
        <v>0</v>
      </c>
      <c r="U46" s="447"/>
      <c r="V46" s="447"/>
      <c r="W46" s="418" t="str">
        <f>V46/U46</f>
        <v>0</v>
      </c>
      <c r="X46" s="447"/>
      <c r="Y46" s="447"/>
      <c r="Z46" s="418" t="str">
        <f>Y46/X46</f>
        <v>0</v>
      </c>
      <c r="AA46" s="447"/>
      <c r="AB46" s="447"/>
      <c r="AC46" s="418" t="str">
        <f>AB46/AA46</f>
        <v>0</v>
      </c>
      <c r="AD46" s="447"/>
      <c r="AE46" s="447"/>
      <c r="AF46" s="364" t="str">
        <f>AE46/AD46</f>
        <v>0</v>
      </c>
      <c r="AG46" s="447"/>
      <c r="AH46" s="449"/>
      <c r="AI46" s="442" t="str">
        <f>AH46/AG46</f>
        <v>0</v>
      </c>
      <c r="AJ46" s="118"/>
      <c r="AK46" s="423"/>
      <c r="AL46" s="418" t="str">
        <f>AK46/AJ46</f>
        <v>0</v>
      </c>
      <c r="AM46" s="118"/>
      <c r="AN46" s="423"/>
      <c r="AO46" s="424" t="str">
        <f>AN46/AM46</f>
        <v>0</v>
      </c>
      <c r="AP46" s="428">
        <f>AVERAGE(F46,I46,L46,O46,R46,U46,X46,AA46,AD46,AG46,AJ46,AM46)</f>
        <v>5.2</v>
      </c>
      <c r="AQ46" s="428"/>
      <c r="AR46" s="429"/>
      <c r="AS46" s="390"/>
      <c r="AT46" s="391"/>
      <c r="AU46" s="390"/>
      <c r="AV46" s="390"/>
      <c r="AW46" s="392"/>
    </row>
    <row r="47" spans="1:49" customHeight="1" ht="35.25" outlineLevel="1" s="371" customFormat="1">
      <c r="A47" s="494" t="s">
        <v>3028</v>
      </c>
      <c r="B47" s="452">
        <v>0.05</v>
      </c>
      <c r="C47" s="452">
        <f>B47/12*$C$14</f>
        <v>0.020833333333333</v>
      </c>
      <c r="D47" s="452">
        <f>AR47</f>
        <v/>
      </c>
      <c r="E47" s="456">
        <f>IF(D47&gt;0%,C47/D47,100%)</f>
        <v>1</v>
      </c>
      <c r="F47" s="478">
        <v>4</v>
      </c>
      <c r="G47" s="421"/>
      <c r="H47" s="473">
        <f>G47/F47</f>
        <v>0</v>
      </c>
      <c r="I47" s="447">
        <v>4</v>
      </c>
      <c r="J47" s="447">
        <v>1</v>
      </c>
      <c r="K47" s="448">
        <f>J47/I47</f>
        <v>0.25</v>
      </c>
      <c r="L47" s="447">
        <v>4</v>
      </c>
      <c r="M47" s="447"/>
      <c r="N47" s="448">
        <f>M47/L47</f>
        <v>0</v>
      </c>
      <c r="O47" s="447">
        <v>4</v>
      </c>
      <c r="P47" s="447"/>
      <c r="Q47" s="418">
        <f>P47/O47</f>
        <v>0</v>
      </c>
      <c r="R47" s="447">
        <v>4</v>
      </c>
      <c r="S47" s="447"/>
      <c r="T47" s="418">
        <f>S47/R47</f>
        <v>0</v>
      </c>
      <c r="U47" s="447"/>
      <c r="V47" s="447"/>
      <c r="W47" s="418" t="str">
        <f>V47/U47</f>
        <v>0</v>
      </c>
      <c r="X47" s="447"/>
      <c r="Y47" s="447"/>
      <c r="Z47" s="418" t="str">
        <f>Y47/X47</f>
        <v>0</v>
      </c>
      <c r="AA47" s="447"/>
      <c r="AB47" s="447"/>
      <c r="AC47" s="418" t="str">
        <f>AB47/AA47</f>
        <v>0</v>
      </c>
      <c r="AD47" s="447"/>
      <c r="AE47" s="447"/>
      <c r="AF47" s="364" t="str">
        <f>AE47/AD47</f>
        <v>0</v>
      </c>
      <c r="AG47" s="447"/>
      <c r="AH47" s="449"/>
      <c r="AI47" s="442" t="str">
        <f>AH47/AG47</f>
        <v>0</v>
      </c>
      <c r="AJ47" s="118"/>
      <c r="AK47" s="423"/>
      <c r="AL47" s="418" t="str">
        <f>AK47/AJ47</f>
        <v>0</v>
      </c>
      <c r="AM47" s="118"/>
      <c r="AN47" s="423"/>
      <c r="AO47" s="424" t="str">
        <f>AN47/AM47</f>
        <v>0</v>
      </c>
      <c r="AP47" s="428"/>
      <c r="AQ47" s="428"/>
      <c r="AR47" s="429"/>
      <c r="AS47" s="390"/>
      <c r="AT47" s="391"/>
      <c r="AU47" s="390"/>
      <c r="AV47" s="390"/>
      <c r="AW47" s="392"/>
    </row>
    <row r="48" spans="1:49" customHeight="1" ht="20.25" s="630" customFormat="1">
      <c r="A48" s="495" t="s">
        <v>3029</v>
      </c>
      <c r="B48" s="395">
        <v>0.2</v>
      </c>
      <c r="C48" s="395">
        <f>B48/12*$C$14</f>
        <v>0.083333333333333</v>
      </c>
      <c r="D48" s="395">
        <f>AR48</f>
        <v/>
      </c>
      <c r="E48" s="474">
        <f>IF(D48&gt;0%,C48/D48,100%)</f>
        <v>1</v>
      </c>
      <c r="F48" s="631">
        <f>SUM(F49:F53)</f>
        <v>111</v>
      </c>
      <c r="G48" s="614">
        <f>SUM(G49:G53)</f>
        <v>1</v>
      </c>
      <c r="H48" s="615">
        <f>G48/F48</f>
        <v>0.009009009009009</v>
      </c>
      <c r="I48" s="616">
        <f>SUM(I49:I53)</f>
        <v>111</v>
      </c>
      <c r="J48" s="616">
        <f>SUM(J49:J53)</f>
        <v>1</v>
      </c>
      <c r="K48" s="617">
        <f>J48/I48</f>
        <v>0.009009009009009</v>
      </c>
      <c r="L48" s="616">
        <f>SUM(L49:L53)</f>
        <v>128</v>
      </c>
      <c r="M48" s="616">
        <f>SUM(M49:M53)</f>
        <v>1</v>
      </c>
      <c r="N48" s="617">
        <f>M48/L48</f>
        <v>0.0078125</v>
      </c>
      <c r="O48" s="616">
        <f>SUM(O49:O53)</f>
        <v>127</v>
      </c>
      <c r="P48" s="616">
        <f>SUM(P49:P53)</f>
        <v>1</v>
      </c>
      <c r="Q48" s="618">
        <f>P48/O48</f>
        <v>0.0078740157480315</v>
      </c>
      <c r="R48" s="616">
        <f>SUM(R49:R53)</f>
        <v>115</v>
      </c>
      <c r="S48" s="616">
        <f>SUM(S49:S53)</f>
        <v>3</v>
      </c>
      <c r="T48" s="618">
        <f>S48/R48</f>
        <v>0.026086956521739</v>
      </c>
      <c r="U48" s="616">
        <f>SUM(U49:U53)</f>
        <v>0</v>
      </c>
      <c r="V48" s="616">
        <f>SUM(V49:V53)</f>
        <v>0</v>
      </c>
      <c r="W48" s="618" t="str">
        <f>V48/U48</f>
        <v>0</v>
      </c>
      <c r="X48" s="616">
        <f>SUM(X49:X53)</f>
        <v>0</v>
      </c>
      <c r="Y48" s="616">
        <f>SUM(Y49:Y53)</f>
        <v>0</v>
      </c>
      <c r="Z48" s="618" t="str">
        <f>Y48/X48</f>
        <v>0</v>
      </c>
      <c r="AA48" s="616">
        <f>SUM(AA49:AA53)</f>
        <v>0</v>
      </c>
      <c r="AB48" s="616">
        <f>SUM(AB49:AB53)</f>
        <v>0</v>
      </c>
      <c r="AC48" s="618" t="str">
        <f>AB48/AA48</f>
        <v>0</v>
      </c>
      <c r="AD48" s="616">
        <f>SUM(AD49:AD53)</f>
        <v>0</v>
      </c>
      <c r="AE48" s="616">
        <f>SUM(AE49:AE53)</f>
        <v>0</v>
      </c>
      <c r="AF48" s="619" t="str">
        <f>AE48/AD48</f>
        <v>0</v>
      </c>
      <c r="AG48" s="616">
        <f>SUM(AG49:AG53)</f>
        <v>0</v>
      </c>
      <c r="AH48" s="620">
        <f>SUM(AH49:AH53)</f>
        <v>0</v>
      </c>
      <c r="AI48" s="621" t="str">
        <f>AH48/AG48</f>
        <v>0</v>
      </c>
      <c r="AJ48" s="622">
        <f>SUM(AJ49:AJ53)</f>
        <v>0</v>
      </c>
      <c r="AK48" s="623">
        <f>SUM(AK49:AK53)</f>
        <v>0</v>
      </c>
      <c r="AL48" s="618" t="str">
        <f>AK48/AJ48</f>
        <v>0</v>
      </c>
      <c r="AM48" s="622">
        <f>SUM(AM49:AM53)</f>
        <v>0</v>
      </c>
      <c r="AN48" s="623">
        <f>SUM(AN49:AN53)</f>
        <v>0</v>
      </c>
      <c r="AO48" s="624" t="str">
        <f>AN48/AM48</f>
        <v>0</v>
      </c>
      <c r="AP48" s="625"/>
      <c r="AQ48" s="625"/>
      <c r="AR48" s="626"/>
      <c r="AS48" s="627"/>
      <c r="AT48" s="628"/>
      <c r="AU48" s="627"/>
      <c r="AV48" s="627"/>
      <c r="AW48" s="629"/>
    </row>
    <row r="49" spans="1:49" customHeight="1" ht="17.25" outlineLevel="1" s="371" customFormat="1">
      <c r="A49" s="493" t="s">
        <v>3030</v>
      </c>
      <c r="B49" s="452">
        <v>0.08</v>
      </c>
      <c r="C49" s="452">
        <f>B49/12*$C$14</f>
        <v>0.033333333333333</v>
      </c>
      <c r="D49" s="452">
        <f>AR49</f>
        <v>0</v>
      </c>
      <c r="E49" s="456">
        <f>IF(D49&gt;0%,C49/D49,100%)</f>
        <v>1</v>
      </c>
      <c r="F49" s="478">
        <v>12</v>
      </c>
      <c r="G49" s="421"/>
      <c r="H49" s="473">
        <f>G49/F49</f>
        <v>0</v>
      </c>
      <c r="I49" s="447">
        <v>16</v>
      </c>
      <c r="J49" s="447"/>
      <c r="K49" s="448">
        <f>J49/I49</f>
        <v>0</v>
      </c>
      <c r="L49" s="514">
        <v>16</v>
      </c>
      <c r="M49" s="447"/>
      <c r="N49" s="448">
        <f>M49/L49</f>
        <v>0</v>
      </c>
      <c r="O49" s="447">
        <v>28</v>
      </c>
      <c r="P49" s="447"/>
      <c r="Q49" s="418">
        <f>P49/O49</f>
        <v>0</v>
      </c>
      <c r="R49" s="447">
        <v>7</v>
      </c>
      <c r="S49" s="447"/>
      <c r="T49" s="418">
        <f>S49/R49</f>
        <v>0</v>
      </c>
      <c r="U49" s="447"/>
      <c r="V49" s="447"/>
      <c r="W49" s="418" t="str">
        <f>V49/U49</f>
        <v>0</v>
      </c>
      <c r="X49" s="447"/>
      <c r="Y49" s="447"/>
      <c r="Z49" s="418" t="str">
        <f>Y49/X49</f>
        <v>0</v>
      </c>
      <c r="AA49" s="447"/>
      <c r="AB49" s="447"/>
      <c r="AC49" s="418" t="str">
        <f>AB49/AA49</f>
        <v>0</v>
      </c>
      <c r="AD49" s="447"/>
      <c r="AE49" s="447"/>
      <c r="AF49" s="364" t="str">
        <f>AE49/AD49</f>
        <v>0</v>
      </c>
      <c r="AG49" s="447"/>
      <c r="AH49" s="449"/>
      <c r="AI49" s="442" t="str">
        <f>AH49/AG49</f>
        <v>0</v>
      </c>
      <c r="AJ49" s="118"/>
      <c r="AK49" s="423"/>
      <c r="AL49" s="418" t="str">
        <f>AK49/AJ49</f>
        <v>0</v>
      </c>
      <c r="AM49" s="118"/>
      <c r="AN49" s="423"/>
      <c r="AO49" s="424" t="str">
        <f>AN49/AM49</f>
        <v>0</v>
      </c>
      <c r="AP49" s="428">
        <f>AVERAGE(F49,I49,L49,O49,R49,U49,X49,AA49,AD49,AG49,AJ49,AM49)</f>
        <v>15.8</v>
      </c>
      <c r="AQ49" s="428">
        <f>SUM(G49,J49,M49,P49,S49,V49,Y49,AB49,AE49,AH49,AK49,AN49)</f>
        <v>0</v>
      </c>
      <c r="AR49" s="429">
        <f>AQ49/AP49</f>
        <v>0</v>
      </c>
      <c r="AS49" s="390"/>
      <c r="AT49" s="391"/>
      <c r="AU49" s="390"/>
      <c r="AV49" s="390"/>
      <c r="AW49" s="392"/>
    </row>
    <row r="50" spans="1:49" customHeight="1" ht="17.25" outlineLevel="1" s="371" customFormat="1">
      <c r="A50" s="493" t="s">
        <v>3031</v>
      </c>
      <c r="B50" s="452">
        <v>0.13</v>
      </c>
      <c r="C50" s="452">
        <f>B50/12*$C$14</f>
        <v>0.054166666666667</v>
      </c>
      <c r="D50" s="452">
        <f>AR50</f>
        <v>0.022935779816514</v>
      </c>
      <c r="E50" s="456">
        <f>IF(D50&gt;0%,C50/D50,100%)</f>
        <v>2.3616666666667</v>
      </c>
      <c r="F50" s="478">
        <v>39</v>
      </c>
      <c r="G50" s="421"/>
      <c r="H50" s="473">
        <f>G50/F50</f>
        <v>0</v>
      </c>
      <c r="I50" s="447">
        <v>52</v>
      </c>
      <c r="J50" s="447"/>
      <c r="K50" s="448">
        <f>J50/I50</f>
        <v>0</v>
      </c>
      <c r="L50" s="447">
        <v>52</v>
      </c>
      <c r="M50" s="447"/>
      <c r="N50" s="448">
        <f>M50/L50</f>
        <v>0</v>
      </c>
      <c r="O50" s="447">
        <v>36</v>
      </c>
      <c r="P50" s="447"/>
      <c r="Q50" s="418">
        <f>P50/O50</f>
        <v>0</v>
      </c>
      <c r="R50" s="447">
        <v>39</v>
      </c>
      <c r="S50" s="447">
        <v>1</v>
      </c>
      <c r="T50" s="418">
        <f>S50/R50</f>
        <v>0.025641025641026</v>
      </c>
      <c r="U50" s="447"/>
      <c r="V50" s="447"/>
      <c r="W50" s="418" t="str">
        <f>V50/U50</f>
        <v>0</v>
      </c>
      <c r="X50" s="447"/>
      <c r="Y50" s="447"/>
      <c r="Z50" s="418" t="str">
        <f>Y50/X50</f>
        <v>0</v>
      </c>
      <c r="AA50" s="447"/>
      <c r="AB50" s="447"/>
      <c r="AC50" s="418" t="str">
        <f>AB50/AA50</f>
        <v>0</v>
      </c>
      <c r="AD50" s="447"/>
      <c r="AE50" s="447"/>
      <c r="AF50" s="364" t="str">
        <f>AE50/AD50</f>
        <v>0</v>
      </c>
      <c r="AG50" s="447"/>
      <c r="AH50" s="449"/>
      <c r="AI50" s="442" t="str">
        <f>AH50/AG50</f>
        <v>0</v>
      </c>
      <c r="AJ50" s="118"/>
      <c r="AK50" s="423"/>
      <c r="AL50" s="418" t="str">
        <f>AK50/AJ50</f>
        <v>0</v>
      </c>
      <c r="AM50" s="118"/>
      <c r="AN50" s="423"/>
      <c r="AO50" s="424" t="str">
        <f>AN50/AM50</f>
        <v>0</v>
      </c>
      <c r="AP50" s="428">
        <f>AVERAGE(F50,I50,L50,O50,R50,U50,X50,AA50,AD50,AG50,AJ50,AM50)</f>
        <v>43.6</v>
      </c>
      <c r="AQ50" s="428">
        <f>SUM(G50,J50,M50,P50,S50,V50,Y50,AB50,AE50,AH50,AK50,AN50)</f>
        <v>1</v>
      </c>
      <c r="AR50" s="429">
        <f>AQ50/AP50</f>
        <v>0.022935779816514</v>
      </c>
      <c r="AS50" s="390"/>
      <c r="AT50" s="391"/>
      <c r="AU50" s="390"/>
      <c r="AV50" s="390"/>
      <c r="AW50" s="392"/>
    </row>
    <row r="51" spans="1:49" customHeight="1" ht="17.25" outlineLevel="1" s="371" customFormat="1">
      <c r="A51" s="493" t="s">
        <v>3032</v>
      </c>
      <c r="B51" s="452">
        <v>0.13</v>
      </c>
      <c r="C51" s="452">
        <f>B51/12*$C$14</f>
        <v>0.054166666666667</v>
      </c>
      <c r="D51" s="452">
        <f>AR51</f>
        <v>0.070921985815603</v>
      </c>
      <c r="E51" s="456">
        <f>IF(D51&gt;0%,C51/D51,100%)</f>
        <v>0.76375</v>
      </c>
      <c r="F51" s="478">
        <v>29</v>
      </c>
      <c r="G51" s="421"/>
      <c r="H51" s="473">
        <f>G51/F51</f>
        <v>0</v>
      </c>
      <c r="I51" s="447">
        <v>14</v>
      </c>
      <c r="J51" s="447"/>
      <c r="K51" s="448">
        <f>J51/I51</f>
        <v>0</v>
      </c>
      <c r="L51" s="514">
        <v>33</v>
      </c>
      <c r="M51" s="447">
        <v>1</v>
      </c>
      <c r="N51" s="448">
        <f>M51/L51</f>
        <v>0.03030303030303</v>
      </c>
      <c r="O51" s="447">
        <v>30</v>
      </c>
      <c r="P51" s="447"/>
      <c r="Q51" s="418">
        <f>P51/O51</f>
        <v>0</v>
      </c>
      <c r="R51" s="447">
        <v>35</v>
      </c>
      <c r="S51" s="447">
        <v>1</v>
      </c>
      <c r="T51" s="418">
        <f>S51/R51</f>
        <v>0.028571428571429</v>
      </c>
      <c r="U51" s="447"/>
      <c r="V51" s="447"/>
      <c r="W51" s="418" t="str">
        <f>V51/U51</f>
        <v>0</v>
      </c>
      <c r="X51" s="447"/>
      <c r="Y51" s="447"/>
      <c r="Z51" s="418" t="str">
        <f>Y51/X51</f>
        <v>0</v>
      </c>
      <c r="AA51" s="447"/>
      <c r="AB51" s="447"/>
      <c r="AC51" s="418" t="str">
        <f>AB51/AA51</f>
        <v>0</v>
      </c>
      <c r="AD51" s="447"/>
      <c r="AE51" s="447"/>
      <c r="AF51" s="364" t="str">
        <f>AE51/AD51</f>
        <v>0</v>
      </c>
      <c r="AG51" s="447"/>
      <c r="AH51" s="449"/>
      <c r="AI51" s="442" t="str">
        <f>AH51/AG51</f>
        <v>0</v>
      </c>
      <c r="AJ51" s="118"/>
      <c r="AK51" s="423"/>
      <c r="AL51" s="418" t="str">
        <f>AK51/AJ51</f>
        <v>0</v>
      </c>
      <c r="AM51" s="118"/>
      <c r="AN51" s="423"/>
      <c r="AO51" s="424" t="str">
        <f>AN51/AM51</f>
        <v>0</v>
      </c>
      <c r="AP51" s="428">
        <f>AVERAGE(F51,I51,L51,O51,R51,U51,X51,AA51,AD51,AG51,AJ51,AM51)</f>
        <v>28.2</v>
      </c>
      <c r="AQ51" s="428">
        <f>SUM(G51,J51,M51,P51,S51,V51,Y51,AB51,AE51,AH51,AK51,AN51)</f>
        <v>2</v>
      </c>
      <c r="AR51" s="429">
        <f>AQ51/AP51</f>
        <v>0.070921985815603</v>
      </c>
      <c r="AS51" s="390"/>
      <c r="AT51" s="391"/>
      <c r="AU51" s="390"/>
      <c r="AV51" s="390"/>
      <c r="AW51" s="392"/>
    </row>
    <row r="52" spans="1:49" customHeight="1" ht="17.25" outlineLevel="1" s="371" customFormat="1">
      <c r="A52" s="493" t="s">
        <v>3033</v>
      </c>
      <c r="B52" s="455">
        <v>0.0</v>
      </c>
      <c r="C52" s="455">
        <f>B52/12*$C$14</f>
        <v>0</v>
      </c>
      <c r="D52" s="455">
        <f>AR52</f>
        <v/>
      </c>
      <c r="E52" s="458">
        <f>IF(D52&gt;0%,C52/D52,100%)</f>
        <v>1</v>
      </c>
      <c r="F52" s="478">
        <v>9</v>
      </c>
      <c r="G52" s="421"/>
      <c r="H52" s="473">
        <f>G52/F52</f>
        <v>0</v>
      </c>
      <c r="I52" s="447">
        <v>2</v>
      </c>
      <c r="J52" s="447"/>
      <c r="K52" s="448">
        <f>J52/I52</f>
        <v>0</v>
      </c>
      <c r="L52" s="447">
        <v>2</v>
      </c>
      <c r="M52" s="447"/>
      <c r="N52" s="448">
        <f>M52/L52</f>
        <v>0</v>
      </c>
      <c r="O52" s="447">
        <v>6</v>
      </c>
      <c r="P52" s="447"/>
      <c r="Q52" s="418">
        <f>P52/O52</f>
        <v>0</v>
      </c>
      <c r="R52" s="447">
        <v>7</v>
      </c>
      <c r="S52" s="447"/>
      <c r="T52" s="418">
        <f>S52/R52</f>
        <v>0</v>
      </c>
      <c r="U52" s="447"/>
      <c r="V52" s="447"/>
      <c r="W52" s="418" t="str">
        <f>V52/U52</f>
        <v>0</v>
      </c>
      <c r="X52" s="447"/>
      <c r="Y52" s="447"/>
      <c r="Z52" s="418" t="str">
        <f>Y52/X52</f>
        <v>0</v>
      </c>
      <c r="AA52" s="447"/>
      <c r="AB52" s="447"/>
      <c r="AC52" s="418" t="str">
        <f>AB52/AA52</f>
        <v>0</v>
      </c>
      <c r="AD52" s="447"/>
      <c r="AE52" s="447"/>
      <c r="AF52" s="364" t="str">
        <f>AE52/AD52</f>
        <v>0</v>
      </c>
      <c r="AG52" s="447"/>
      <c r="AH52" s="449"/>
      <c r="AI52" s="442" t="str">
        <f>AH52/AG52</f>
        <v>0</v>
      </c>
      <c r="AJ52" s="118"/>
      <c r="AK52" s="423"/>
      <c r="AL52" s="418" t="str">
        <f>AK52/AJ52</f>
        <v>0</v>
      </c>
      <c r="AM52" s="118"/>
      <c r="AN52" s="423"/>
      <c r="AO52" s="424" t="str">
        <f>AN52/AM52</f>
        <v>0</v>
      </c>
      <c r="AP52" s="428"/>
      <c r="AQ52" s="428"/>
      <c r="AR52" s="429"/>
      <c r="AS52" s="390"/>
      <c r="AT52" s="391"/>
      <c r="AU52" s="390"/>
      <c r="AV52" s="390"/>
      <c r="AW52" s="392"/>
    </row>
    <row r="53" spans="1:49" customHeight="1" ht="17.25" outlineLevel="1" s="371" customFormat="1">
      <c r="A53" s="493" t="s">
        <v>3034</v>
      </c>
      <c r="B53" s="455">
        <v>0.2</v>
      </c>
      <c r="C53" s="455">
        <f>B53/12*$C$14</f>
        <v>0.083333333333333</v>
      </c>
      <c r="D53" s="455">
        <f>AR53</f>
        <v/>
      </c>
      <c r="E53" s="716">
        <f>IF(D53&gt;0%,C53/D53,100%)</f>
        <v>1</v>
      </c>
      <c r="F53" s="717">
        <v>22</v>
      </c>
      <c r="G53" s="449">
        <v>1</v>
      </c>
      <c r="H53" s="473">
        <f>G53/F53</f>
        <v>0.045454545454545</v>
      </c>
      <c r="I53" s="447">
        <v>27</v>
      </c>
      <c r="J53" s="447">
        <v>1</v>
      </c>
      <c r="K53" s="448">
        <f>J53/I53</f>
        <v>0.037037037037037</v>
      </c>
      <c r="L53" s="447">
        <v>25</v>
      </c>
      <c r="M53" s="447"/>
      <c r="N53" s="448">
        <f>M53/L53</f>
        <v>0</v>
      </c>
      <c r="O53" s="447">
        <v>27</v>
      </c>
      <c r="P53" s="447">
        <v>1</v>
      </c>
      <c r="Q53" s="418">
        <f>P53/O53</f>
        <v>0.037037037037037</v>
      </c>
      <c r="R53" s="447">
        <v>27</v>
      </c>
      <c r="S53" s="447">
        <v>1</v>
      </c>
      <c r="T53" s="418">
        <f>S53/R53</f>
        <v>0.037037037037037</v>
      </c>
      <c r="U53" s="447"/>
      <c r="V53" s="447"/>
      <c r="W53" s="418" t="str">
        <f>V53/U53</f>
        <v>0</v>
      </c>
      <c r="X53" s="447"/>
      <c r="Y53" s="447"/>
      <c r="Z53" s="418" t="str">
        <f>Y53/X53</f>
        <v>0</v>
      </c>
      <c r="AA53" s="447"/>
      <c r="AB53" s="447"/>
      <c r="AC53" s="418" t="str">
        <f>AB53/AA53</f>
        <v>0</v>
      </c>
      <c r="AD53" s="447"/>
      <c r="AE53" s="447"/>
      <c r="AF53" s="364" t="str">
        <f>AE53/AD53</f>
        <v>0</v>
      </c>
      <c r="AG53" s="447"/>
      <c r="AH53" s="449"/>
      <c r="AI53" s="442" t="str">
        <f>AH53/AG53</f>
        <v>0</v>
      </c>
      <c r="AJ53" s="118"/>
      <c r="AK53" s="423"/>
      <c r="AL53" s="418" t="str">
        <f>AK53/AJ53</f>
        <v>0</v>
      </c>
      <c r="AM53" s="118"/>
      <c r="AN53" s="423"/>
      <c r="AO53" s="424" t="str">
        <f>AN53/AM53</f>
        <v>0</v>
      </c>
      <c r="AP53" s="428"/>
      <c r="AQ53" s="428"/>
      <c r="AR53" s="429"/>
      <c r="AS53" s="390"/>
      <c r="AT53" s="391"/>
      <c r="AU53" s="390"/>
      <c r="AV53" s="390"/>
      <c r="AW53" s="392"/>
    </row>
    <row r="54" spans="1:49" customHeight="1" ht="17.25" s="630" customFormat="1">
      <c r="A54" s="492" t="s">
        <v>3035</v>
      </c>
      <c r="B54" s="395">
        <v>0.15</v>
      </c>
      <c r="C54" s="395">
        <f>B54/12*$C$14</f>
        <v>0.0625</v>
      </c>
      <c r="D54" s="395">
        <f>AR54</f>
        <v/>
      </c>
      <c r="E54" s="506">
        <f>IF(D54&gt;0%,C54/D54,100%)</f>
        <v>1</v>
      </c>
      <c r="F54" s="515">
        <f>SUM(F55:F56)</f>
        <v>15</v>
      </c>
      <c r="G54" s="614">
        <f>SUM(G55:G56)</f>
        <v>1</v>
      </c>
      <c r="H54" s="637">
        <f>G54/F54</f>
        <v>0.066666666666667</v>
      </c>
      <c r="I54" s="632">
        <f>SUM(I55:I56)</f>
        <v>13</v>
      </c>
      <c r="J54" s="632">
        <f>SUM(J55:J56)</f>
        <v>1</v>
      </c>
      <c r="K54" s="637">
        <f>J54/I54</f>
        <v>0.076923076923077</v>
      </c>
      <c r="L54" s="632">
        <f>SUM(L55:L56)</f>
        <v>17</v>
      </c>
      <c r="M54" s="715">
        <f>SUM(M55:M56)</f>
        <v>0</v>
      </c>
      <c r="N54" s="617">
        <f>M54/L54</f>
        <v>0</v>
      </c>
      <c r="O54" s="616">
        <f>SUM(O55:O56)</f>
        <v>17</v>
      </c>
      <c r="P54" s="616">
        <f>SUM(P55:P56)</f>
        <v>0</v>
      </c>
      <c r="Q54" s="618">
        <f>P54/O54</f>
        <v>0</v>
      </c>
      <c r="R54" s="616">
        <f>SUM(R55:R56)</f>
        <v>17</v>
      </c>
      <c r="S54" s="616">
        <f>SUM(S55:S56)</f>
        <v>0</v>
      </c>
      <c r="T54" s="618">
        <f>S54/R54</f>
        <v>0</v>
      </c>
      <c r="U54" s="616">
        <f>SUM(U55:U56)</f>
        <v>0</v>
      </c>
      <c r="V54" s="616">
        <f>SUM(V55:V56)</f>
        <v>0</v>
      </c>
      <c r="W54" s="618" t="str">
        <f>V54/U54</f>
        <v>0</v>
      </c>
      <c r="X54" s="616">
        <f>SUM(X55:X56)</f>
        <v>0</v>
      </c>
      <c r="Y54" s="616">
        <f>SUM(Y55:Y56)</f>
        <v>0</v>
      </c>
      <c r="Z54" s="618" t="str">
        <f>Y54/X54</f>
        <v>0</v>
      </c>
      <c r="AA54" s="616">
        <f>SUM(AA55:AA56)</f>
        <v>0</v>
      </c>
      <c r="AB54" s="616">
        <f>SUM(AB55:AB56)</f>
        <v>0</v>
      </c>
      <c r="AC54" s="618" t="str">
        <f>AB54/AA54</f>
        <v>0</v>
      </c>
      <c r="AD54" s="616">
        <f>SUM(AD55:AD56)</f>
        <v>0</v>
      </c>
      <c r="AE54" s="616">
        <f>SUM(AE55:AE56)</f>
        <v>0</v>
      </c>
      <c r="AF54" s="619" t="str">
        <f>AE54/AD54</f>
        <v>0</v>
      </c>
      <c r="AG54" s="616">
        <f>SUM(AG55:AG56)</f>
        <v>0</v>
      </c>
      <c r="AH54" s="620">
        <f>SUM(AH55:AH56)</f>
        <v>0</v>
      </c>
      <c r="AI54" s="621" t="str">
        <f>AH54/AG54</f>
        <v>0</v>
      </c>
      <c r="AJ54" s="622">
        <f>SUM(AJ55:AJ56)</f>
        <v>0</v>
      </c>
      <c r="AK54" s="623">
        <f>SUM(AK55:AK56)</f>
        <v>0</v>
      </c>
      <c r="AL54" s="618" t="str">
        <f>AK54/AJ54</f>
        <v>0</v>
      </c>
      <c r="AM54" s="622">
        <f>SUM(AM55:AM56)</f>
        <v>0</v>
      </c>
      <c r="AN54" s="623">
        <f>SUM(AN55:AN56)</f>
        <v>0</v>
      </c>
      <c r="AO54" s="624" t="str">
        <f>AN54/AM54</f>
        <v>0</v>
      </c>
      <c r="AP54" s="625">
        <f>AVERAGE(F54,I54,L54,O54,R54,U54,X54,AA54,AD54,AG54,AJ54,AM54)</f>
        <v>6.5833333333333</v>
      </c>
      <c r="AQ54" s="625"/>
      <c r="AR54" s="626"/>
      <c r="AS54" s="627"/>
      <c r="AT54" s="628"/>
      <c r="AU54" s="627"/>
      <c r="AV54" s="627"/>
      <c r="AW54" s="629"/>
    </row>
    <row r="55" spans="1:49" customHeight="1" ht="32.25" outlineLevel="1" s="371" customFormat="1">
      <c r="A55" s="457" t="s">
        <v>3036</v>
      </c>
      <c r="B55" s="452">
        <v>0.05</v>
      </c>
      <c r="C55" s="452">
        <f>B55/12*$C$14</f>
        <v>0.020833333333333</v>
      </c>
      <c r="D55" s="452">
        <f>AR55</f>
        <v/>
      </c>
      <c r="E55" s="454">
        <f>IF(D55&gt;0%,C55/D55,100%)</f>
        <v>1</v>
      </c>
      <c r="F55" s="120">
        <v>6</v>
      </c>
      <c r="G55" s="421"/>
      <c r="H55" s="420">
        <f>G55/F55</f>
        <v>0</v>
      </c>
      <c r="I55" s="343">
        <v>5</v>
      </c>
      <c r="J55" s="343">
        <v>1</v>
      </c>
      <c r="K55" s="420">
        <f>J55/I55</f>
        <v>0.2</v>
      </c>
      <c r="L55" s="343">
        <v>5</v>
      </c>
      <c r="M55" s="714"/>
      <c r="N55" s="448">
        <f>M55/L55</f>
        <v>0</v>
      </c>
      <c r="O55" s="447">
        <v>5</v>
      </c>
      <c r="P55" s="447"/>
      <c r="Q55" s="418">
        <f>P55/O55</f>
        <v>0</v>
      </c>
      <c r="R55" s="447">
        <v>5</v>
      </c>
      <c r="S55" s="447"/>
      <c r="T55" s="418">
        <f>S55/R55</f>
        <v>0</v>
      </c>
      <c r="U55" s="447"/>
      <c r="V55" s="447"/>
      <c r="W55" s="418" t="str">
        <f>V55/U55</f>
        <v>0</v>
      </c>
      <c r="X55" s="447"/>
      <c r="Y55" s="447"/>
      <c r="Z55" s="418" t="str">
        <f>Y55/X55</f>
        <v>0</v>
      </c>
      <c r="AA55" s="447"/>
      <c r="AB55" s="447"/>
      <c r="AC55" s="418" t="str">
        <f>AB55/AA55</f>
        <v>0</v>
      </c>
      <c r="AD55" s="447"/>
      <c r="AE55" s="447"/>
      <c r="AF55" s="364" t="str">
        <f>AE55/AD55</f>
        <v>0</v>
      </c>
      <c r="AG55" s="447"/>
      <c r="AH55" s="449"/>
      <c r="AI55" s="442" t="str">
        <f>AH55/AG55</f>
        <v>0</v>
      </c>
      <c r="AJ55" s="118"/>
      <c r="AK55" s="423"/>
      <c r="AL55" s="418" t="str">
        <f>AK55/AJ55</f>
        <v>0</v>
      </c>
      <c r="AM55" s="118"/>
      <c r="AN55" s="423"/>
      <c r="AO55" s="424" t="str">
        <f>AN55/AM55</f>
        <v>0</v>
      </c>
      <c r="AP55" s="428">
        <f>AVERAGE(F55,I55,L55,O55,R55,U55,X55,AA55,AD55,AG55,AJ55,AM55)</f>
        <v>5.2</v>
      </c>
      <c r="AQ55" s="428"/>
      <c r="AR55" s="429"/>
      <c r="AS55" s="390"/>
      <c r="AT55" s="391"/>
      <c r="AU55" s="390"/>
      <c r="AV55" s="390"/>
      <c r="AW55" s="392"/>
    </row>
    <row r="56" spans="1:49" customHeight="1" ht="21" outlineLevel="1" s="371" customFormat="1">
      <c r="A56" s="457" t="s">
        <v>3037</v>
      </c>
      <c r="B56" s="452">
        <v>0.1</v>
      </c>
      <c r="C56" s="452">
        <f>B56/12*$C$14</f>
        <v>0.041666666666667</v>
      </c>
      <c r="D56" s="452">
        <f>AR56</f>
        <v/>
      </c>
      <c r="E56" s="454">
        <f>IF(D56&gt;0%,C56/D56,100%)</f>
        <v>1</v>
      </c>
      <c r="F56" s="120">
        <v>9</v>
      </c>
      <c r="G56" s="421">
        <v>1</v>
      </c>
      <c r="H56" s="420">
        <f>G56/F56</f>
        <v>0.11111111111111</v>
      </c>
      <c r="I56" s="343">
        <v>8</v>
      </c>
      <c r="J56" s="343"/>
      <c r="K56" s="420">
        <f>J56/I56</f>
        <v>0</v>
      </c>
      <c r="L56" s="343">
        <v>12</v>
      </c>
      <c r="M56" s="714"/>
      <c r="N56" s="448">
        <f>M56/L56</f>
        <v>0</v>
      </c>
      <c r="O56" s="447">
        <v>12</v>
      </c>
      <c r="P56" s="447"/>
      <c r="Q56" s="418">
        <f>P56/O56</f>
        <v>0</v>
      </c>
      <c r="R56" s="447">
        <v>12</v>
      </c>
      <c r="S56" s="447"/>
      <c r="T56" s="418">
        <f>S56/R56</f>
        <v>0</v>
      </c>
      <c r="U56" s="447"/>
      <c r="V56" s="447"/>
      <c r="W56" s="418" t="str">
        <f>V56/U56</f>
        <v>0</v>
      </c>
      <c r="X56" s="447"/>
      <c r="Y56" s="447"/>
      <c r="Z56" s="418" t="str">
        <f>Y56/X56</f>
        <v>0</v>
      </c>
      <c r="AA56" s="447"/>
      <c r="AB56" s="447"/>
      <c r="AC56" s="418" t="str">
        <f>AB56/AA56</f>
        <v>0</v>
      </c>
      <c r="AD56" s="447"/>
      <c r="AE56" s="447"/>
      <c r="AF56" s="364" t="str">
        <f>AE56/AD56</f>
        <v>0</v>
      </c>
      <c r="AG56" s="447"/>
      <c r="AH56" s="449"/>
      <c r="AI56" s="442" t="str">
        <f>AH56/AG56</f>
        <v>0</v>
      </c>
      <c r="AJ56" s="118"/>
      <c r="AK56" s="423"/>
      <c r="AL56" s="418" t="str">
        <f>AK56/AJ56</f>
        <v>0</v>
      </c>
      <c r="AM56" s="118"/>
      <c r="AN56" s="423"/>
      <c r="AO56" s="424" t="str">
        <f>AN56/AM56</f>
        <v>0</v>
      </c>
      <c r="AP56" s="428">
        <f>AVERAGE(F56,I56,L56,O56,R56,U56,X56,AA56,AD56,AG56,AJ56,AM56)</f>
        <v>10.6</v>
      </c>
      <c r="AQ56" s="428"/>
      <c r="AR56" s="429"/>
      <c r="AS56" s="390"/>
      <c r="AT56" s="391"/>
      <c r="AU56" s="390"/>
      <c r="AV56" s="390"/>
      <c r="AW56" s="392"/>
    </row>
    <row r="57" spans="1:49" customHeight="1" ht="17.25" s="630" customFormat="1">
      <c r="A57" s="393" t="s">
        <v>219</v>
      </c>
      <c r="B57" s="394">
        <v>0.1</v>
      </c>
      <c r="C57" s="395">
        <f>B57/12*$C$14</f>
        <v>0.041666666666667</v>
      </c>
      <c r="D57" s="395">
        <f>AR57</f>
        <v>0</v>
      </c>
      <c r="E57" s="506">
        <f>IF(D57&gt;0%,C57/D57,100%)</f>
        <v>1</v>
      </c>
      <c r="F57" s="632">
        <f>SUM(F58:F59)</f>
        <v>17</v>
      </c>
      <c r="G57" s="614">
        <f>SUM(G58:G59)</f>
        <v>0</v>
      </c>
      <c r="H57" s="637">
        <f>G57/F57</f>
        <v>0</v>
      </c>
      <c r="I57" s="632">
        <f>SUM(I58:I59)</f>
        <v>17</v>
      </c>
      <c r="J57" s="614">
        <f>SUM(J58:J59)</f>
        <v>0</v>
      </c>
      <c r="K57" s="637">
        <f>J57/I57</f>
        <v>0</v>
      </c>
      <c r="L57" s="632">
        <v>16</v>
      </c>
      <c r="M57" s="700">
        <v>0.0</v>
      </c>
      <c r="N57" s="619">
        <f>M57/L57</f>
        <v>0</v>
      </c>
      <c r="O57" s="622">
        <f>O58+O59+O60</f>
        <v>21</v>
      </c>
      <c r="P57" s="633">
        <f>SUM(P58:P59)</f>
        <v>0</v>
      </c>
      <c r="Q57" s="619">
        <f>P57/O57</f>
        <v>0</v>
      </c>
      <c r="R57" s="622">
        <f>SUM(R58:R59)</f>
        <v>16</v>
      </c>
      <c r="S57" s="633">
        <f>SUM(S58:S59)</f>
        <v>0</v>
      </c>
      <c r="T57" s="619">
        <f>S57/R57</f>
        <v>0</v>
      </c>
      <c r="U57" s="622">
        <f>SUM(U58:U59)</f>
        <v>0</v>
      </c>
      <c r="V57" s="633">
        <f>SUM(V58:V59)</f>
        <v>0</v>
      </c>
      <c r="W57" s="619" t="str">
        <f>V57/U57</f>
        <v>0</v>
      </c>
      <c r="X57" s="622">
        <f>SUM(X58:X59)</f>
        <v>0</v>
      </c>
      <c r="Y57" s="633">
        <f>SUM(Y58:Y59)</f>
        <v>0</v>
      </c>
      <c r="Z57" s="619" t="str">
        <f>Y57/X57</f>
        <v>0</v>
      </c>
      <c r="AA57" s="622">
        <f>SUM(AA58:AA59)</f>
        <v>0</v>
      </c>
      <c r="AB57" s="633">
        <f>SUM(AB58:AB59)</f>
        <v>0</v>
      </c>
      <c r="AC57" s="619" t="str">
        <f>AB57/AA57</f>
        <v>0</v>
      </c>
      <c r="AD57" s="622">
        <f>SUM(AD58:AD59)</f>
        <v>0</v>
      </c>
      <c r="AE57" s="633">
        <f>SUM(AE58:AE59)</f>
        <v>0</v>
      </c>
      <c r="AF57" s="619" t="str">
        <f>AE57/AD57</f>
        <v>0</v>
      </c>
      <c r="AG57" s="622">
        <f>SUM(AG58:AG59)</f>
        <v>0</v>
      </c>
      <c r="AH57" s="633">
        <f>SUM(AH58:AH59)</f>
        <v>0</v>
      </c>
      <c r="AI57" s="619" t="str">
        <f>AH57/AG57</f>
        <v>0</v>
      </c>
      <c r="AJ57" s="622">
        <f>SUM(AJ58:AJ59)</f>
        <v>0</v>
      </c>
      <c r="AK57" s="633">
        <f>SUM(AK58:AK59)</f>
        <v>0</v>
      </c>
      <c r="AL57" s="619" t="str">
        <f>AK57/AJ57</f>
        <v>0</v>
      </c>
      <c r="AM57" s="622">
        <f>SUM(AM58:AM59)</f>
        <v>0</v>
      </c>
      <c r="AN57" s="633">
        <f>SUM(AN58:AN59)</f>
        <v>0</v>
      </c>
      <c r="AO57" s="634" t="str">
        <f>AN57/AM57</f>
        <v>0</v>
      </c>
      <c r="AP57" s="635">
        <f>AVERAGE(F57,I57,L57,O57,R57,U57,X57,AA57,AD57,AG57,AJ57,AM57)</f>
        <v>7.25</v>
      </c>
      <c r="AQ57" s="635">
        <f>SUM(G57,J57,M57,P57,S57,V57,Y57,AB57,AE57,AH57,AK57,AN57)</f>
        <v>0</v>
      </c>
      <c r="AR57" s="636">
        <f>AQ57/AP57</f>
        <v>0</v>
      </c>
      <c r="AS57" s="627"/>
      <c r="AT57" s="628"/>
      <c r="AU57" s="627"/>
      <c r="AV57" s="627"/>
      <c r="AW57" s="629"/>
    </row>
    <row r="58" spans="1:49" customHeight="1" ht="17.25" outlineLevel="1" s="371" customFormat="1">
      <c r="A58" s="430" t="s">
        <v>3038</v>
      </c>
      <c r="B58" s="416">
        <v>0.08</v>
      </c>
      <c r="C58" s="417">
        <f>B58/12*$C$14</f>
        <v>0.033333333333333</v>
      </c>
      <c r="D58" s="417">
        <f>AR58</f>
        <v/>
      </c>
      <c r="E58" s="508">
        <f>AS58</f>
        <v/>
      </c>
      <c r="F58" s="343">
        <v>12</v>
      </c>
      <c r="G58" s="421"/>
      <c r="H58" s="420">
        <f>G58/F58</f>
        <v>0</v>
      </c>
      <c r="I58" s="343">
        <v>12</v>
      </c>
      <c r="J58" s="421"/>
      <c r="K58" s="420">
        <f>J58/I58</f>
        <v>0</v>
      </c>
      <c r="L58" s="343">
        <v>11</v>
      </c>
      <c r="M58" s="117"/>
      <c r="N58" s="364">
        <f>M58/L58</f>
        <v>0</v>
      </c>
      <c r="O58" s="118">
        <v>11</v>
      </c>
      <c r="P58" s="114"/>
      <c r="Q58" s="364">
        <f>P58/O58</f>
        <v>0</v>
      </c>
      <c r="R58" s="118">
        <v>11</v>
      </c>
      <c r="S58" s="114"/>
      <c r="T58" s="364">
        <f>S58/R58</f>
        <v>0</v>
      </c>
      <c r="U58" s="118"/>
      <c r="V58" s="114"/>
      <c r="W58" s="364" t="str">
        <f>V58/U58</f>
        <v>0</v>
      </c>
      <c r="X58" s="118"/>
      <c r="Y58" s="114"/>
      <c r="Z58" s="364" t="str">
        <f>Y58/X58</f>
        <v>0</v>
      </c>
      <c r="AA58" s="118"/>
      <c r="AB58" s="114"/>
      <c r="AC58" s="364" t="str">
        <f>AB58/AA58</f>
        <v>0</v>
      </c>
      <c r="AD58" s="118"/>
      <c r="AE58" s="114"/>
      <c r="AF58" s="364" t="str">
        <f>AE58/AD58</f>
        <v>0</v>
      </c>
      <c r="AG58" s="118"/>
      <c r="AH58" s="114"/>
      <c r="AI58" s="364" t="str">
        <f>AH58/AG58</f>
        <v>0</v>
      </c>
      <c r="AJ58" s="118"/>
      <c r="AK58" s="114"/>
      <c r="AL58" s="364" t="str">
        <f>AK58/AJ58</f>
        <v>0</v>
      </c>
      <c r="AM58" s="118"/>
      <c r="AN58" s="114"/>
      <c r="AO58" s="368" t="str">
        <f>AN58/AM58</f>
        <v>0</v>
      </c>
      <c r="AP58" s="425"/>
      <c r="AQ58" s="425"/>
      <c r="AR58" s="426"/>
      <c r="AS58" s="390"/>
      <c r="AT58" s="391"/>
      <c r="AU58" s="390"/>
      <c r="AV58" s="390"/>
      <c r="AW58" s="392"/>
    </row>
    <row r="59" spans="1:49" customHeight="1" ht="17.25" outlineLevel="1" s="371" customFormat="1">
      <c r="A59" s="430" t="s">
        <v>3039</v>
      </c>
      <c r="B59" s="416">
        <v>0.02</v>
      </c>
      <c r="C59" s="417">
        <f>B59/12*$C$14</f>
        <v>0.0083333333333333</v>
      </c>
      <c r="D59" s="417">
        <f>AR59</f>
        <v/>
      </c>
      <c r="E59" s="508">
        <f>AS59</f>
        <v/>
      </c>
      <c r="F59" s="343">
        <v>5</v>
      </c>
      <c r="G59" s="421"/>
      <c r="H59" s="420">
        <f>G59/F59</f>
        <v>0</v>
      </c>
      <c r="I59" s="343">
        <v>5</v>
      </c>
      <c r="J59" s="421"/>
      <c r="K59" s="420">
        <f>J59/I59</f>
        <v>0</v>
      </c>
      <c r="L59" s="343">
        <v>5</v>
      </c>
      <c r="M59" s="117"/>
      <c r="N59" s="364">
        <f>M59/L59</f>
        <v>0</v>
      </c>
      <c r="O59" s="118">
        <v>5</v>
      </c>
      <c r="P59" s="114"/>
      <c r="Q59" s="364">
        <f>P59/O59</f>
        <v>0</v>
      </c>
      <c r="R59" s="118">
        <v>5</v>
      </c>
      <c r="S59" s="114"/>
      <c r="T59" s="364">
        <f>S59/R59</f>
        <v>0</v>
      </c>
      <c r="U59" s="118"/>
      <c r="V59" s="114"/>
      <c r="W59" s="364" t="str">
        <f>V59/U59</f>
        <v>0</v>
      </c>
      <c r="X59" s="118"/>
      <c r="Y59" s="114"/>
      <c r="Z59" s="364" t="str">
        <f>Y59/X59</f>
        <v>0</v>
      </c>
      <c r="AA59" s="118"/>
      <c r="AB59" s="114"/>
      <c r="AC59" s="364" t="str">
        <f>AB59/AA59</f>
        <v>0</v>
      </c>
      <c r="AD59" s="118"/>
      <c r="AE59" s="114"/>
      <c r="AF59" s="364" t="str">
        <f>AE59/AD59</f>
        <v>0</v>
      </c>
      <c r="AG59" s="118"/>
      <c r="AH59" s="114"/>
      <c r="AI59" s="364" t="str">
        <f>AH59/AG59</f>
        <v>0</v>
      </c>
      <c r="AJ59" s="118"/>
      <c r="AK59" s="114"/>
      <c r="AL59" s="364" t="str">
        <f>AK59/AJ59</f>
        <v>0</v>
      </c>
      <c r="AM59" s="118"/>
      <c r="AN59" s="114"/>
      <c r="AO59" s="368" t="str">
        <f>AN59/AM59</f>
        <v>0</v>
      </c>
      <c r="AP59" s="425"/>
      <c r="AQ59" s="425"/>
      <c r="AR59" s="426"/>
      <c r="AS59" s="390"/>
      <c r="AT59" s="391"/>
      <c r="AU59" s="390"/>
      <c r="AV59" s="390"/>
      <c r="AW59" s="392"/>
    </row>
    <row r="60" spans="1:49" customHeight="1" ht="17.25" outlineLevel="1" s="371" customFormat="1">
      <c r="A60" s="453" t="s">
        <v>3040</v>
      </c>
      <c r="B60" s="459">
        <v>0.02</v>
      </c>
      <c r="C60" s="455">
        <f>B60/12*$C$14</f>
        <v>0.0083333333333333</v>
      </c>
      <c r="D60" s="452">
        <f>AR60</f>
        <v>0.21739130434783</v>
      </c>
      <c r="E60" s="454">
        <f>IF(D60&gt;0%,C60/D60,100%)</f>
        <v>0.038333333333333</v>
      </c>
      <c r="F60" s="120">
        <v>5</v>
      </c>
      <c r="G60" s="421"/>
      <c r="H60" s="420">
        <f>G60/F60</f>
        <v>0</v>
      </c>
      <c r="I60" s="343">
        <v>4</v>
      </c>
      <c r="J60" s="343">
        <v>1</v>
      </c>
      <c r="K60" s="420">
        <f>J60/I60</f>
        <v>0.25</v>
      </c>
      <c r="L60" s="343">
        <v>4</v>
      </c>
      <c r="M60" s="714"/>
      <c r="N60" s="448">
        <f>M60/L60</f>
        <v>0</v>
      </c>
      <c r="O60" s="447">
        <v>5</v>
      </c>
      <c r="P60" s="447"/>
      <c r="Q60" s="418">
        <f>P60/O60</f>
        <v>0</v>
      </c>
      <c r="R60" s="447">
        <v>5</v>
      </c>
      <c r="S60" s="447"/>
      <c r="T60" s="418">
        <f>S60/R60</f>
        <v>0</v>
      </c>
      <c r="U60" s="447"/>
      <c r="V60" s="447"/>
      <c r="W60" s="418" t="str">
        <f>V60/U60</f>
        <v>0</v>
      </c>
      <c r="X60" s="447"/>
      <c r="Y60" s="447"/>
      <c r="Z60" s="418" t="str">
        <f>Y60/X60</f>
        <v>0</v>
      </c>
      <c r="AA60" s="447"/>
      <c r="AB60" s="447"/>
      <c r="AC60" s="418" t="str">
        <f>AB60/AA60</f>
        <v>0</v>
      </c>
      <c r="AD60" s="447"/>
      <c r="AE60" s="447"/>
      <c r="AF60" s="364" t="str">
        <f>AE60/AD60</f>
        <v>0</v>
      </c>
      <c r="AG60" s="447"/>
      <c r="AH60" s="449"/>
      <c r="AI60" s="442" t="str">
        <f>AH60/AG60</f>
        <v>0</v>
      </c>
      <c r="AJ60" s="118"/>
      <c r="AK60" s="423"/>
      <c r="AL60" s="418" t="str">
        <f>AK60/AJ60</f>
        <v>0</v>
      </c>
      <c r="AM60" s="118"/>
      <c r="AN60" s="423"/>
      <c r="AO60" s="424" t="str">
        <f>AN60/AM60</f>
        <v>0</v>
      </c>
      <c r="AP60" s="369">
        <f>AVERAGE(F60,I60,L60,O60,R60,U60,X60,AA60,AD60,AG60,AJ60,AM60)</f>
        <v>4.6</v>
      </c>
      <c r="AQ60" s="369">
        <f>SUM(G60,J60,M60,P60,S60,V60,Y60,AB60,AE60,AH60,AK60,AN60)</f>
        <v>1</v>
      </c>
      <c r="AR60" s="370">
        <f>AQ60/AP60</f>
        <v>0.21739130434783</v>
      </c>
      <c r="AS60" s="390"/>
      <c r="AT60" s="391"/>
      <c r="AU60" s="390"/>
      <c r="AV60" s="390"/>
      <c r="AW60" s="392"/>
    </row>
    <row r="61" spans="1:49" customHeight="1" ht="16.9" s="630" customFormat="1">
      <c r="A61" s="393" t="s">
        <v>3041</v>
      </c>
      <c r="B61" s="395">
        <v>0.15</v>
      </c>
      <c r="C61" s="395">
        <f>B61/12*$C$14</f>
        <v>0.0625</v>
      </c>
      <c r="D61" s="395">
        <f>AR61</f>
        <v/>
      </c>
      <c r="E61" s="506">
        <f>IF(D61&gt;0%,C61/D61,100%)</f>
        <v>1</v>
      </c>
      <c r="F61" s="515">
        <f>SUM(F62:F64)</f>
        <v>12</v>
      </c>
      <c r="G61" s="614">
        <f>SUM(G62:G64)</f>
        <v>0</v>
      </c>
      <c r="H61" s="637">
        <f>G61/F61</f>
        <v>0</v>
      </c>
      <c r="I61" s="632">
        <f>SUM(I62:I64)</f>
        <v>13</v>
      </c>
      <c r="J61" s="632">
        <f>SUM(J62:J64)</f>
        <v>0</v>
      </c>
      <c r="K61" s="637">
        <f>J61/I61</f>
        <v>0</v>
      </c>
      <c r="L61" s="632">
        <v>14</v>
      </c>
      <c r="M61" s="632">
        <v>1</v>
      </c>
      <c r="N61" s="637">
        <f>M61/L61</f>
        <v>0.071428571428571</v>
      </c>
      <c r="O61" s="632">
        <v>12</v>
      </c>
      <c r="P61" s="632">
        <f>SUM(P62:P64)</f>
        <v>0</v>
      </c>
      <c r="Q61" s="637">
        <f>P61/O61</f>
        <v>0</v>
      </c>
      <c r="R61" s="632">
        <f>SUM(R62:R64)</f>
        <v>13</v>
      </c>
      <c r="S61" s="632">
        <f>SUM(S62:S64)</f>
        <v>0</v>
      </c>
      <c r="T61" s="637">
        <f>S61/R61</f>
        <v>0</v>
      </c>
      <c r="U61" s="632">
        <f>SUM(U62:U64)</f>
        <v>0</v>
      </c>
      <c r="V61" s="632">
        <f>SUM(V62:V64)</f>
        <v>0</v>
      </c>
      <c r="W61" s="637" t="str">
        <f>V61/U61</f>
        <v>0</v>
      </c>
      <c r="X61" s="632">
        <f>SUM(X62:X64)</f>
        <v>0</v>
      </c>
      <c r="Y61" s="632">
        <f>SUM(Y62:Y64)</f>
        <v>0</v>
      </c>
      <c r="Z61" s="637" t="str">
        <f>Y61/X61</f>
        <v>0</v>
      </c>
      <c r="AA61" s="632">
        <f>SUM(AA62:AA64)</f>
        <v>0</v>
      </c>
      <c r="AB61" s="632">
        <f>SUM(AB62:AB64)</f>
        <v>0</v>
      </c>
      <c r="AC61" s="637" t="str">
        <f>AB61/AA61</f>
        <v>0</v>
      </c>
      <c r="AD61" s="632">
        <f>SUM(AD62:AD64)</f>
        <v>0</v>
      </c>
      <c r="AE61" s="632">
        <f>SUM(AE62:AE64)</f>
        <v>0</v>
      </c>
      <c r="AF61" s="637" t="str">
        <f>AE61/AD61</f>
        <v>0</v>
      </c>
      <c r="AG61" s="632">
        <f>SUM(AG62:AG64)</f>
        <v>0</v>
      </c>
      <c r="AH61" s="614">
        <f>SUM(AH62:AH64)</f>
        <v>0</v>
      </c>
      <c r="AI61" s="637" t="str">
        <f>AH61/AG61</f>
        <v>0</v>
      </c>
      <c r="AJ61" s="632">
        <f>SUM(AJ62:AJ64)</f>
        <v>0</v>
      </c>
      <c r="AK61" s="614">
        <f>SUM(AK62:AK64)</f>
        <v>0</v>
      </c>
      <c r="AL61" s="637" t="str">
        <f>AK61/AJ61</f>
        <v>0</v>
      </c>
      <c r="AM61" s="632">
        <f>SUM(AM62:AM64)</f>
        <v>0</v>
      </c>
      <c r="AN61" s="614">
        <f>SUM(AN62:AN64)</f>
        <v>0</v>
      </c>
      <c r="AO61" s="638" t="str">
        <f>AN61/AM61</f>
        <v>0</v>
      </c>
      <c r="AP61" s="625"/>
      <c r="AQ61" s="625"/>
      <c r="AR61" s="626"/>
      <c r="AS61" s="627"/>
      <c r="AT61" s="628"/>
      <c r="AU61" s="627"/>
      <c r="AV61" s="627"/>
      <c r="AW61" s="629"/>
    </row>
    <row r="62" spans="1:49" customHeight="1" ht="16.9" outlineLevel="1" s="371" customFormat="1">
      <c r="A62" s="453" t="s">
        <v>400</v>
      </c>
      <c r="B62" s="452">
        <v>0.09</v>
      </c>
      <c r="C62" s="452">
        <f>B62/12*$C$14</f>
        <v>0.0375</v>
      </c>
      <c r="D62" s="452">
        <f>AR62</f>
        <v/>
      </c>
      <c r="E62" s="454">
        <f>IF(D62&gt;0%,C62/D62,100%)</f>
        <v>1</v>
      </c>
      <c r="F62" s="120">
        <v>6</v>
      </c>
      <c r="G62" s="421"/>
      <c r="H62" s="420">
        <f>G62/F62</f>
        <v>0</v>
      </c>
      <c r="I62" s="343">
        <v>2</v>
      </c>
      <c r="J62" s="343"/>
      <c r="K62" s="420">
        <f>J62/I62</f>
        <v>0</v>
      </c>
      <c r="L62" s="343">
        <v>6</v>
      </c>
      <c r="M62" s="343"/>
      <c r="N62" s="420">
        <f>M62/L62</f>
        <v>0</v>
      </c>
      <c r="O62" s="343">
        <v>6</v>
      </c>
      <c r="P62" s="343"/>
      <c r="Q62" s="420">
        <f>P62/O62</f>
        <v>0</v>
      </c>
      <c r="R62" s="343">
        <v>6</v>
      </c>
      <c r="S62" s="343"/>
      <c r="T62" s="420">
        <f>S62/R62</f>
        <v>0</v>
      </c>
      <c r="U62" s="343"/>
      <c r="V62" s="343"/>
      <c r="W62" s="420" t="str">
        <f>V62/U62</f>
        <v>0</v>
      </c>
      <c r="X62" s="343"/>
      <c r="Y62" s="343"/>
      <c r="Z62" s="420" t="str">
        <f>Y62/X62</f>
        <v>0</v>
      </c>
      <c r="AA62" s="343"/>
      <c r="AB62" s="343"/>
      <c r="AC62" s="420" t="str">
        <f>AB62/AA62</f>
        <v>0</v>
      </c>
      <c r="AD62" s="343"/>
      <c r="AE62" s="343"/>
      <c r="AF62" s="420" t="str">
        <f>AE62/AD62</f>
        <v>0</v>
      </c>
      <c r="AG62" s="343"/>
      <c r="AH62" s="421"/>
      <c r="AI62" s="420" t="str">
        <f>AH62/AG62</f>
        <v>0</v>
      </c>
      <c r="AJ62" s="343"/>
      <c r="AK62" s="421"/>
      <c r="AL62" s="420" t="str">
        <f>AK62/AJ62</f>
        <v>0</v>
      </c>
      <c r="AM62" s="343"/>
      <c r="AN62" s="421"/>
      <c r="AO62" s="427" t="str">
        <f>AN62/AM62</f>
        <v>0</v>
      </c>
      <c r="AP62" s="428"/>
      <c r="AQ62" s="428"/>
      <c r="AR62" s="429"/>
      <c r="AS62" s="390"/>
      <c r="AT62" s="391"/>
      <c r="AU62" s="390"/>
      <c r="AV62" s="390"/>
      <c r="AW62" s="392"/>
    </row>
    <row r="63" spans="1:49" customHeight="1" ht="16.9" outlineLevel="1" s="371" customFormat="1">
      <c r="A63" s="453" t="s">
        <v>3042</v>
      </c>
      <c r="B63" s="452">
        <v>0.06</v>
      </c>
      <c r="C63" s="452">
        <f>B63/12*$C$14</f>
        <v>0.025</v>
      </c>
      <c r="D63" s="452">
        <f>AR63</f>
        <v/>
      </c>
      <c r="E63" s="454">
        <f>IF(D63&gt;0%,C63/D63,100%)</f>
        <v>1</v>
      </c>
      <c r="F63" s="120">
        <v>4</v>
      </c>
      <c r="G63" s="421"/>
      <c r="H63" s="420">
        <f>G63/F63</f>
        <v>0</v>
      </c>
      <c r="I63" s="343">
        <v>5</v>
      </c>
      <c r="J63" s="343"/>
      <c r="K63" s="420">
        <f>J63/I63</f>
        <v>0</v>
      </c>
      <c r="L63" s="343">
        <v>5</v>
      </c>
      <c r="M63" s="343"/>
      <c r="N63" s="420">
        <f>M63/L63</f>
        <v>0</v>
      </c>
      <c r="O63" s="343">
        <v>5</v>
      </c>
      <c r="P63" s="343"/>
      <c r="Q63" s="420">
        <f>P63/O63</f>
        <v>0</v>
      </c>
      <c r="R63" s="343">
        <v>6</v>
      </c>
      <c r="S63" s="343"/>
      <c r="T63" s="420">
        <f>S63/R63</f>
        <v>0</v>
      </c>
      <c r="U63" s="343"/>
      <c r="V63" s="343"/>
      <c r="W63" s="420" t="str">
        <f>V63/U63</f>
        <v>0</v>
      </c>
      <c r="X63" s="343"/>
      <c r="Y63" s="343"/>
      <c r="Z63" s="420" t="str">
        <f>Y63/X63</f>
        <v>0</v>
      </c>
      <c r="AA63" s="343"/>
      <c r="AB63" s="343"/>
      <c r="AC63" s="420" t="str">
        <f>AB63/AA63</f>
        <v>0</v>
      </c>
      <c r="AD63" s="343"/>
      <c r="AE63" s="343"/>
      <c r="AF63" s="420" t="str">
        <f>AE63/AD63</f>
        <v>0</v>
      </c>
      <c r="AG63" s="343"/>
      <c r="AH63" s="421"/>
      <c r="AI63" s="420" t="str">
        <f>AH63/AG63</f>
        <v>0</v>
      </c>
      <c r="AJ63" s="343"/>
      <c r="AK63" s="421"/>
      <c r="AL63" s="420" t="str">
        <f>AK63/AJ63</f>
        <v>0</v>
      </c>
      <c r="AM63" s="343"/>
      <c r="AN63" s="421"/>
      <c r="AO63" s="427" t="str">
        <f>AN63/AM63</f>
        <v>0</v>
      </c>
      <c r="AP63" s="428"/>
      <c r="AQ63" s="428"/>
      <c r="AR63" s="429"/>
      <c r="AS63" s="390"/>
      <c r="AT63" s="391"/>
      <c r="AU63" s="390"/>
      <c r="AV63" s="390"/>
      <c r="AW63" s="392"/>
    </row>
    <row r="64" spans="1:49" customHeight="1" ht="16.5" outlineLevel="1" s="371" customFormat="1">
      <c r="A64" s="453" t="s">
        <v>1746</v>
      </c>
      <c r="B64" s="452">
        <v>0.0</v>
      </c>
      <c r="C64" s="452">
        <f>B64/12*$C$14</f>
        <v>0</v>
      </c>
      <c r="D64" s="452">
        <f>AR64</f>
        <v/>
      </c>
      <c r="E64" s="454">
        <f>IF(D64&gt;0%,C64/D64,100%)</f>
        <v>1</v>
      </c>
      <c r="F64" s="120">
        <v>2</v>
      </c>
      <c r="G64" s="421"/>
      <c r="H64" s="420">
        <f>G64/F64</f>
        <v>0</v>
      </c>
      <c r="I64" s="343">
        <v>6</v>
      </c>
      <c r="J64" s="343"/>
      <c r="K64" s="420">
        <f>J64/I64</f>
        <v>0</v>
      </c>
      <c r="L64" s="343">
        <v>1</v>
      </c>
      <c r="M64" s="343">
        <v>1</v>
      </c>
      <c r="N64" s="420">
        <f>M64/L64</f>
        <v>1</v>
      </c>
      <c r="O64" s="343">
        <v>1</v>
      </c>
      <c r="P64" s="343"/>
      <c r="Q64" s="420">
        <f>P64/O64</f>
        <v>0</v>
      </c>
      <c r="R64" s="343">
        <v>1</v>
      </c>
      <c r="S64" s="343"/>
      <c r="T64" s="420">
        <f>S64/R64</f>
        <v>0</v>
      </c>
      <c r="U64" s="343"/>
      <c r="V64" s="343"/>
      <c r="W64" s="420" t="str">
        <f>V64/U64</f>
        <v>0</v>
      </c>
      <c r="X64" s="343"/>
      <c r="Y64" s="343"/>
      <c r="Z64" s="420" t="str">
        <f>Y64/X64</f>
        <v>0</v>
      </c>
      <c r="AA64" s="343"/>
      <c r="AB64" s="343"/>
      <c r="AC64" s="420" t="str">
        <f>AB64/AA64</f>
        <v>0</v>
      </c>
      <c r="AD64" s="343"/>
      <c r="AE64" s="343"/>
      <c r="AF64" s="420" t="str">
        <f>AE64/AD64</f>
        <v>0</v>
      </c>
      <c r="AG64" s="343"/>
      <c r="AH64" s="421"/>
      <c r="AI64" s="420" t="str">
        <f>AH64/AG64</f>
        <v>0</v>
      </c>
      <c r="AJ64" s="343"/>
      <c r="AK64" s="421"/>
      <c r="AL64" s="420" t="str">
        <f>AK64/AJ64</f>
        <v>0</v>
      </c>
      <c r="AM64" s="343"/>
      <c r="AN64" s="421"/>
      <c r="AO64" s="427" t="str">
        <f>AN64/AM64</f>
        <v>0</v>
      </c>
      <c r="AP64" s="428"/>
      <c r="AQ64" s="428"/>
      <c r="AR64" s="429"/>
      <c r="AS64" s="390"/>
      <c r="AT64" s="391"/>
      <c r="AU64" s="390"/>
      <c r="AV64" s="390"/>
      <c r="AW64" s="392"/>
    </row>
    <row r="65" spans="1:49" customHeight="1" ht="16.5" s="630" customFormat="1">
      <c r="A65" s="393" t="s">
        <v>594</v>
      </c>
      <c r="B65" s="395">
        <v>0.1</v>
      </c>
      <c r="C65" s="395">
        <f>B65/12*$C$14</f>
        <v>0.041666666666667</v>
      </c>
      <c r="D65" s="395">
        <f>AR65</f>
        <v>0.4</v>
      </c>
      <c r="E65" s="506">
        <f>IF(D65&gt;0%,C65/D65,100%)</f>
        <v>0.10416666666667</v>
      </c>
      <c r="F65" s="515">
        <f>SUM(F66:F67)</f>
        <v>6</v>
      </c>
      <c r="G65" s="639">
        <f>SUM(G66:G67)</f>
        <v>0</v>
      </c>
      <c r="H65" s="637">
        <f>G65/F65</f>
        <v>0</v>
      </c>
      <c r="I65" s="632">
        <f>SUM(I66:I67)</f>
        <v>6</v>
      </c>
      <c r="J65" s="632">
        <f>SUM(J66:J67)</f>
        <v>0</v>
      </c>
      <c r="K65" s="637">
        <f>J65/I65</f>
        <v>0</v>
      </c>
      <c r="L65" s="632">
        <v>6</v>
      </c>
      <c r="M65" s="632">
        <f>SUM(M66:M67)</f>
        <v>0</v>
      </c>
      <c r="N65" s="637">
        <f>M65/L65</f>
        <v>0</v>
      </c>
      <c r="O65" s="632">
        <v>6</v>
      </c>
      <c r="P65" s="632">
        <f>SUM(P66:P67)</f>
        <v>0</v>
      </c>
      <c r="Q65" s="637">
        <f>P65/O65</f>
        <v>0</v>
      </c>
      <c r="R65" s="632">
        <f>SUM(R66:R67)</f>
        <v>6</v>
      </c>
      <c r="S65" s="632">
        <f>SUM(S66:S67)</f>
        <v>1</v>
      </c>
      <c r="T65" s="637">
        <f>S65/R65</f>
        <v>0.16666666666667</v>
      </c>
      <c r="U65" s="632">
        <f>SUM(U66:U67)</f>
        <v>0</v>
      </c>
      <c r="V65" s="632">
        <f>SUM(V66:V67)</f>
        <v>0</v>
      </c>
      <c r="W65" s="637" t="str">
        <f>V65/U65</f>
        <v>0</v>
      </c>
      <c r="X65" s="632">
        <f>SUM(X66:X67)</f>
        <v>0</v>
      </c>
      <c r="Y65" s="632">
        <f>SUM(Y66:Y67)</f>
        <v>0</v>
      </c>
      <c r="Z65" s="637" t="str">
        <f>Y65/X65</f>
        <v>0</v>
      </c>
      <c r="AA65" s="632">
        <f>SUM(AA66:AA67)</f>
        <v>0</v>
      </c>
      <c r="AB65" s="632">
        <f>SUM(AB66:AB67)</f>
        <v>0</v>
      </c>
      <c r="AC65" s="637" t="str">
        <f>AB65/AA65</f>
        <v>0</v>
      </c>
      <c r="AD65" s="632">
        <f>SUM(AD66:AD67)</f>
        <v>0</v>
      </c>
      <c r="AE65" s="632">
        <f>SUM(AE66:AE67)</f>
        <v>0</v>
      </c>
      <c r="AF65" s="637" t="str">
        <f>AE65/AD65</f>
        <v>0</v>
      </c>
      <c r="AG65" s="632">
        <f>SUM(AG66:AG67)</f>
        <v>0</v>
      </c>
      <c r="AH65" s="614">
        <f>SUM(AH66:AH67)</f>
        <v>0</v>
      </c>
      <c r="AI65" s="637" t="str">
        <f>AH65/AG65</f>
        <v>0</v>
      </c>
      <c r="AJ65" s="632">
        <f>SUM(AJ66:AJ67)</f>
        <v>0</v>
      </c>
      <c r="AK65" s="614">
        <f>SUM(AK66:AK67)</f>
        <v>0</v>
      </c>
      <c r="AL65" s="637" t="str">
        <f>AK65/AJ65</f>
        <v>0</v>
      </c>
      <c r="AM65" s="632">
        <f>SUM(AM66:AM67)</f>
        <v>0</v>
      </c>
      <c r="AN65" s="614">
        <f>SUM(AN66:AN67)</f>
        <v>0</v>
      </c>
      <c r="AO65" s="638" t="str">
        <f>AN65/AM65</f>
        <v>0</v>
      </c>
      <c r="AP65" s="625">
        <f>AVERAGE(F65,I65,L65,O65,R65,U65,X65,AA65,AD65,AG65,AJ65,AM65)</f>
        <v>2.5</v>
      </c>
      <c r="AQ65" s="625">
        <f>SUM(G65,J65,M65,P65,S65,V65,Y65,AB65,AE65,AH65,AK65,AN65)</f>
        <v>1</v>
      </c>
      <c r="AR65" s="626">
        <f>AQ65/AP65</f>
        <v>0.4</v>
      </c>
      <c r="AS65" s="627"/>
      <c r="AT65" s="628"/>
      <c r="AU65" s="627"/>
      <c r="AV65" s="627"/>
      <c r="AW65" s="629"/>
    </row>
    <row r="66" spans="1:49" customHeight="1" ht="16.5" outlineLevel="1" s="371" customFormat="1">
      <c r="A66" s="453" t="s">
        <v>3043</v>
      </c>
      <c r="B66" s="452">
        <v>0.0</v>
      </c>
      <c r="C66" s="452">
        <f>B66/12*$C$14</f>
        <v>0</v>
      </c>
      <c r="D66" s="452">
        <f>AR66</f>
        <v>0.25</v>
      </c>
      <c r="E66" s="454">
        <v>0.03</v>
      </c>
      <c r="F66" s="120">
        <v>4</v>
      </c>
      <c r="G66" s="120"/>
      <c r="H66" s="420">
        <f>G66/F66</f>
        <v>0</v>
      </c>
      <c r="I66" s="343">
        <v>4</v>
      </c>
      <c r="J66" s="343"/>
      <c r="K66" s="420">
        <f>J66/I66</f>
        <v>0</v>
      </c>
      <c r="L66" s="343">
        <v>4</v>
      </c>
      <c r="M66" s="343"/>
      <c r="N66" s="420">
        <f>M66/L66</f>
        <v>0</v>
      </c>
      <c r="O66" s="343">
        <v>4</v>
      </c>
      <c r="P66" s="343"/>
      <c r="Q66" s="420">
        <f>P66/O66</f>
        <v>0</v>
      </c>
      <c r="R66" s="343">
        <v>4</v>
      </c>
      <c r="S66" s="343">
        <v>1</v>
      </c>
      <c r="T66" s="420">
        <f>S66/R66</f>
        <v>0.25</v>
      </c>
      <c r="U66" s="343"/>
      <c r="V66" s="343"/>
      <c r="W66" s="420" t="str">
        <f>V66/U66</f>
        <v>0</v>
      </c>
      <c r="X66" s="343"/>
      <c r="Y66" s="343"/>
      <c r="Z66" s="420" t="str">
        <f>Y66/X66</f>
        <v>0</v>
      </c>
      <c r="AA66" s="343"/>
      <c r="AB66" s="343"/>
      <c r="AC66" s="420" t="str">
        <f>AB66/AA66</f>
        <v>0</v>
      </c>
      <c r="AD66" s="343"/>
      <c r="AE66" s="343"/>
      <c r="AF66" s="420" t="str">
        <f>AE66/AD66</f>
        <v>0</v>
      </c>
      <c r="AG66" s="343"/>
      <c r="AH66" s="421"/>
      <c r="AI66" s="420" t="str">
        <f>AH66/AG66</f>
        <v>0</v>
      </c>
      <c r="AJ66" s="343"/>
      <c r="AK66" s="421"/>
      <c r="AL66" s="420" t="str">
        <f>AK66/AJ66</f>
        <v>0</v>
      </c>
      <c r="AM66" s="343"/>
      <c r="AN66" s="421"/>
      <c r="AO66" s="427" t="str">
        <f>AN66/AM66</f>
        <v>0</v>
      </c>
      <c r="AP66" s="428">
        <f>AVERAGE(F66,I66,L66,O66,R66,U66,X66,AA66,AD66,AG66,AJ66,AM66)</f>
        <v>4</v>
      </c>
      <c r="AQ66" s="428">
        <f>SUM(G66,J66,M66,P66,S66,V66,Y66,AB66,AE66,AH66,AK66,AN66)</f>
        <v>1</v>
      </c>
      <c r="AR66" s="429">
        <f>AQ66/AP66</f>
        <v>0.25</v>
      </c>
      <c r="AS66" s="390"/>
      <c r="AT66" s="391"/>
      <c r="AU66" s="390"/>
      <c r="AV66" s="390"/>
      <c r="AW66" s="392"/>
    </row>
    <row r="67" spans="1:49" customHeight="1" ht="16.5" outlineLevel="1" s="371" customFormat="1">
      <c r="A67" s="453" t="s">
        <v>3044</v>
      </c>
      <c r="B67" s="452">
        <v>0.0</v>
      </c>
      <c r="C67" s="452">
        <f>B67/12*$C$14</f>
        <v>0</v>
      </c>
      <c r="D67" s="452">
        <f>AR67</f>
        <v/>
      </c>
      <c r="E67" s="454">
        <v>0.03</v>
      </c>
      <c r="F67" s="120">
        <v>2</v>
      </c>
      <c r="G67" s="120"/>
      <c r="H67" s="420">
        <f>G67/F67</f>
        <v>0</v>
      </c>
      <c r="I67" s="343">
        <v>2</v>
      </c>
      <c r="J67" s="343"/>
      <c r="K67" s="420">
        <f>J67/I67</f>
        <v>0</v>
      </c>
      <c r="L67" s="343">
        <v>2</v>
      </c>
      <c r="M67" s="343"/>
      <c r="N67" s="420">
        <f>M67/L67</f>
        <v>0</v>
      </c>
      <c r="O67" s="343">
        <v>2</v>
      </c>
      <c r="P67" s="343"/>
      <c r="Q67" s="420">
        <f>P67/O67</f>
        <v>0</v>
      </c>
      <c r="R67" s="343">
        <v>2</v>
      </c>
      <c r="S67" s="343"/>
      <c r="T67" s="420">
        <f>S67/R67</f>
        <v>0</v>
      </c>
      <c r="U67" s="343"/>
      <c r="V67" s="343"/>
      <c r="W67" s="420" t="str">
        <f>V67/U67</f>
        <v>0</v>
      </c>
      <c r="X67" s="343"/>
      <c r="Y67" s="343"/>
      <c r="Z67" s="420" t="str">
        <f>Y67/X67</f>
        <v>0</v>
      </c>
      <c r="AA67" s="343"/>
      <c r="AB67" s="343"/>
      <c r="AC67" s="420" t="str">
        <f>AB67/AA67</f>
        <v>0</v>
      </c>
      <c r="AD67" s="343"/>
      <c r="AE67" s="343"/>
      <c r="AF67" s="420" t="str">
        <f>AE67/AD67</f>
        <v>0</v>
      </c>
      <c r="AG67" s="343"/>
      <c r="AH67" s="421"/>
      <c r="AI67" s="420" t="str">
        <f>AH67/AG67</f>
        <v>0</v>
      </c>
      <c r="AJ67" s="343"/>
      <c r="AK67" s="421"/>
      <c r="AL67" s="420" t="str">
        <f>AK67/AJ67</f>
        <v>0</v>
      </c>
      <c r="AM67" s="343"/>
      <c r="AN67" s="421"/>
      <c r="AO67" s="427" t="str">
        <f>AN67/AM67</f>
        <v>0</v>
      </c>
      <c r="AP67" s="428"/>
      <c r="AQ67" s="428"/>
      <c r="AR67" s="429"/>
      <c r="AS67" s="390"/>
      <c r="AT67" s="391"/>
      <c r="AU67" s="390"/>
      <c r="AV67" s="390"/>
      <c r="AW67" s="392"/>
    </row>
    <row r="68" spans="1:49" customHeight="1" ht="16.5" s="630" customFormat="1">
      <c r="A68" s="393" t="s">
        <v>130</v>
      </c>
      <c r="B68" s="394">
        <v>0.12</v>
      </c>
      <c r="C68" s="395">
        <f>B68/12*$C$14</f>
        <v>0.05</v>
      </c>
      <c r="D68" s="395">
        <f>AR68</f>
        <v>0.45</v>
      </c>
      <c r="E68" s="422">
        <f>IF(D68&gt;0%,C68/D68,100%)</f>
        <v>0.11111111111111</v>
      </c>
      <c r="F68" s="515">
        <f>SUM(F69:F72)</f>
        <v>36</v>
      </c>
      <c r="G68" s="614">
        <f>SUM(G69:G72)</f>
        <v>0</v>
      </c>
      <c r="H68" s="617">
        <f>G68/F68</f>
        <v>0</v>
      </c>
      <c r="I68" s="616">
        <v>30</v>
      </c>
      <c r="J68" s="616">
        <f>SUM(J69:J72)</f>
        <v>3</v>
      </c>
      <c r="K68" s="617">
        <f>J68/I68</f>
        <v>0.1</v>
      </c>
      <c r="L68" s="616">
        <v>32</v>
      </c>
      <c r="M68" s="616">
        <f>SUM(M69:M72)</f>
        <v>0</v>
      </c>
      <c r="N68" s="617">
        <f>M68/L68</f>
        <v>0</v>
      </c>
      <c r="O68" s="616">
        <v>32</v>
      </c>
      <c r="P68" s="616">
        <f>SUM(P69:P72)</f>
        <v>0</v>
      </c>
      <c r="Q68" s="618">
        <f>P68/O68</f>
        <v>0</v>
      </c>
      <c r="R68" s="616">
        <f>SUM(R69:R72)</f>
        <v>30</v>
      </c>
      <c r="S68" s="616">
        <f>SUM(S69:S72)</f>
        <v>3</v>
      </c>
      <c r="T68" s="618">
        <f>S68/R68</f>
        <v>0.1</v>
      </c>
      <c r="U68" s="616">
        <f>SUM(U69:U72)</f>
        <v>0</v>
      </c>
      <c r="V68" s="616">
        <f>SUM(V69:V72)</f>
        <v>0</v>
      </c>
      <c r="W68" s="618" t="str">
        <f>V68/U68</f>
        <v>0</v>
      </c>
      <c r="X68" s="616">
        <f>SUM(X69:X72)</f>
        <v>0</v>
      </c>
      <c r="Y68" s="616">
        <f>SUM(Y69:Y72)</f>
        <v>0</v>
      </c>
      <c r="Z68" s="618" t="str">
        <f>Y68/X68</f>
        <v>0</v>
      </c>
      <c r="AA68" s="616">
        <f>SUM(AA69:AA72)</f>
        <v>0</v>
      </c>
      <c r="AB68" s="616">
        <f>SUM(AB69:AB72)</f>
        <v>0</v>
      </c>
      <c r="AC68" s="618" t="str">
        <f>AB68/AA68</f>
        <v>0</v>
      </c>
      <c r="AD68" s="616">
        <f>SUM(AD69:AD72)</f>
        <v>0</v>
      </c>
      <c r="AE68" s="616">
        <f>SUM(AE69:AE72)</f>
        <v>0</v>
      </c>
      <c r="AF68" s="640" t="str">
        <f>AE68/AD68</f>
        <v>0</v>
      </c>
      <c r="AG68" s="616">
        <f>SUM(AG69:AG72)</f>
        <v>0</v>
      </c>
      <c r="AH68" s="620">
        <f>SUM(AH69:AH72)</f>
        <v>0</v>
      </c>
      <c r="AI68" s="621" t="str">
        <f>AH68/AG68</f>
        <v>0</v>
      </c>
      <c r="AJ68" s="622">
        <f>SUM(AJ69:AJ72)</f>
        <v>0</v>
      </c>
      <c r="AK68" s="623">
        <f>SUM(AK69:AK72)</f>
        <v>0</v>
      </c>
      <c r="AL68" s="618" t="str">
        <f>AK68/AJ68</f>
        <v>0</v>
      </c>
      <c r="AM68" s="622">
        <f>SUM(AM69:AM72)</f>
        <v>0</v>
      </c>
      <c r="AN68" s="623">
        <f>SUM(AN69:AN72)</f>
        <v>0</v>
      </c>
      <c r="AO68" s="624" t="str">
        <f>AN68/AM68</f>
        <v>0</v>
      </c>
      <c r="AP68" s="625">
        <f>AVERAGE(F68,I68,L68,O68,R68,U68,X68,AA68,AD68,AG68,AJ68,AM68)</f>
        <v>13.333333333333</v>
      </c>
      <c r="AQ68" s="625">
        <f>SUM(G68,J68,M68,P68,S68,V68,Y68,AB68,AE68,AH68,AK68,AN68)</f>
        <v>6</v>
      </c>
      <c r="AR68" s="626">
        <f>AQ68/AP68</f>
        <v>0.45</v>
      </c>
      <c r="AS68" s="627"/>
      <c r="AT68" s="628"/>
      <c r="AU68" s="627"/>
      <c r="AV68" s="627"/>
      <c r="AW68" s="629"/>
    </row>
    <row r="69" spans="1:49" customHeight="1" ht="16.5" outlineLevel="1" s="371" customFormat="1">
      <c r="A69" s="453" t="s">
        <v>3045</v>
      </c>
      <c r="B69" s="463">
        <v>0.05</v>
      </c>
      <c r="C69" s="455">
        <f>B69/12*$C$14</f>
        <v>0.020833333333333</v>
      </c>
      <c r="D69" s="452">
        <f>AR69</f>
        <v>0.086206896551724</v>
      </c>
      <c r="E69" s="458">
        <f>IF(D69&gt;0%,C69/D69,100%)</f>
        <v>0.24166666666667</v>
      </c>
      <c r="F69" s="120">
        <v>11</v>
      </c>
      <c r="G69" s="421"/>
      <c r="H69" s="448">
        <f>G69/F69</f>
        <v>0</v>
      </c>
      <c r="I69" s="447">
        <v>11</v>
      </c>
      <c r="J69" s="447"/>
      <c r="K69" s="448">
        <f>J69/I69</f>
        <v>0</v>
      </c>
      <c r="L69" s="447">
        <v>12</v>
      </c>
      <c r="M69" s="447"/>
      <c r="N69" s="448">
        <f>M69/L69</f>
        <v>0</v>
      </c>
      <c r="O69" s="447">
        <v>13</v>
      </c>
      <c r="P69" s="447"/>
      <c r="Q69" s="418">
        <f>P69/O69</f>
        <v>0</v>
      </c>
      <c r="R69" s="447">
        <v>11</v>
      </c>
      <c r="S69" s="447">
        <v>1</v>
      </c>
      <c r="T69" s="418">
        <f>S69/R69</f>
        <v>0.090909090909091</v>
      </c>
      <c r="U69" s="447"/>
      <c r="V69" s="447"/>
      <c r="W69" s="418" t="str">
        <f>V69/U69</f>
        <v>0</v>
      </c>
      <c r="X69" s="447"/>
      <c r="Y69" s="447"/>
      <c r="Z69" s="418" t="str">
        <f>Y69/X69</f>
        <v>0</v>
      </c>
      <c r="AA69" s="447"/>
      <c r="AB69" s="447"/>
      <c r="AC69" s="418" t="str">
        <f>AB69/AA69</f>
        <v>0</v>
      </c>
      <c r="AD69" s="447"/>
      <c r="AE69" s="447"/>
      <c r="AF69" s="441" t="str">
        <f>AE69/AD69</f>
        <v>0</v>
      </c>
      <c r="AG69" s="447"/>
      <c r="AH69" s="449"/>
      <c r="AI69" s="442" t="str">
        <f>AH69/AG69</f>
        <v>0</v>
      </c>
      <c r="AJ69" s="118"/>
      <c r="AK69" s="423"/>
      <c r="AL69" s="418" t="str">
        <f>AK69/AJ69</f>
        <v>0</v>
      </c>
      <c r="AM69" s="118"/>
      <c r="AN69" s="423"/>
      <c r="AO69" s="424" t="str">
        <f>AN69/AM69</f>
        <v>0</v>
      </c>
      <c r="AP69" s="428">
        <f>AVERAGE(F69,I69,L69,O69,R69,U69,X69,AA69,AD69,AG69,AJ69,AM69)</f>
        <v>11.6</v>
      </c>
      <c r="AQ69" s="428">
        <f>SUM(G69,J69,M69,P69,S69,V69,Y69,AB69,AE69,AH69,AK69,AN69)</f>
        <v>1</v>
      </c>
      <c r="AR69" s="429">
        <f>AQ69/AP69</f>
        <v>0.086206896551724</v>
      </c>
      <c r="AS69" s="390"/>
      <c r="AT69" s="391"/>
      <c r="AU69" s="390"/>
      <c r="AV69" s="390"/>
      <c r="AW69" s="392"/>
    </row>
    <row r="70" spans="1:49" customHeight="1" ht="16.5" outlineLevel="1" s="371" customFormat="1">
      <c r="A70" s="453" t="s">
        <v>3046</v>
      </c>
      <c r="B70" s="463">
        <v>0.1</v>
      </c>
      <c r="C70" s="455">
        <f>B70/12*$C$14</f>
        <v>0.041666666666667</v>
      </c>
      <c r="D70" s="452">
        <f>AR70</f>
        <v>0.3921568627451</v>
      </c>
      <c r="E70" s="458">
        <f>IF(D70&gt;0%,C70/D70,100%)</f>
        <v>0.10625</v>
      </c>
      <c r="F70" s="120">
        <v>13</v>
      </c>
      <c r="G70" s="421"/>
      <c r="H70" s="448">
        <f>G70/F70</f>
        <v>0</v>
      </c>
      <c r="I70" s="447">
        <v>9</v>
      </c>
      <c r="J70" s="447">
        <v>2</v>
      </c>
      <c r="K70" s="448">
        <f>J70/I70</f>
        <v>0.22222222222222</v>
      </c>
      <c r="L70" s="447">
        <v>10</v>
      </c>
      <c r="M70" s="447"/>
      <c r="N70" s="448">
        <f>M70/L70</f>
        <v>0</v>
      </c>
      <c r="O70" s="447">
        <v>10</v>
      </c>
      <c r="P70" s="447"/>
      <c r="Q70" s="418">
        <f>P70/O70</f>
        <v>0</v>
      </c>
      <c r="R70" s="447">
        <v>9</v>
      </c>
      <c r="S70" s="447">
        <v>2</v>
      </c>
      <c r="T70" s="418">
        <f>S70/R70</f>
        <v>0.22222222222222</v>
      </c>
      <c r="U70" s="447"/>
      <c r="V70" s="447"/>
      <c r="W70" s="418" t="str">
        <f>V70/U70</f>
        <v>0</v>
      </c>
      <c r="X70" s="447"/>
      <c r="Y70" s="447"/>
      <c r="Z70" s="418" t="str">
        <f>Y70/X70</f>
        <v>0</v>
      </c>
      <c r="AA70" s="447"/>
      <c r="AB70" s="447"/>
      <c r="AC70" s="418" t="str">
        <f>AB70/AA70</f>
        <v>0</v>
      </c>
      <c r="AD70" s="447"/>
      <c r="AE70" s="447"/>
      <c r="AF70" s="441" t="str">
        <f>AE70/AD70</f>
        <v>0</v>
      </c>
      <c r="AG70" s="447"/>
      <c r="AH70" s="449"/>
      <c r="AI70" s="442" t="str">
        <f>AH70/AG70</f>
        <v>0</v>
      </c>
      <c r="AJ70" s="118"/>
      <c r="AK70" s="423"/>
      <c r="AL70" s="418" t="str">
        <f>AK70/AJ70</f>
        <v>0</v>
      </c>
      <c r="AM70" s="118"/>
      <c r="AN70" s="423"/>
      <c r="AO70" s="424" t="str">
        <f>AN70/AM70</f>
        <v>0</v>
      </c>
      <c r="AP70" s="428">
        <f>AVERAGE(F70,I70,L70,O70,R70,U70,X70,AA70,AD70,AG70,AJ70,AM70)</f>
        <v>10.2</v>
      </c>
      <c r="AQ70" s="428">
        <f>SUM(G70,J70,M70,P70,S70,V70,Y70,AB70,AE70,AH70,AK70,AN70)</f>
        <v>4</v>
      </c>
      <c r="AR70" s="429">
        <f>AQ70/AP70</f>
        <v>0.3921568627451</v>
      </c>
      <c r="AS70" s="390"/>
      <c r="AT70" s="391"/>
      <c r="AU70" s="390"/>
      <c r="AV70" s="390"/>
      <c r="AW70" s="392"/>
    </row>
    <row r="71" spans="1:49" customHeight="1" ht="16.5" outlineLevel="1" s="371" customFormat="1">
      <c r="A71" s="453" t="s">
        <v>1692</v>
      </c>
      <c r="B71" s="463">
        <v>0.0</v>
      </c>
      <c r="C71" s="455">
        <f>B71/12*$C$14</f>
        <v>0</v>
      </c>
      <c r="D71" s="452">
        <f>AR71</f>
        <v>0.83333333333333</v>
      </c>
      <c r="E71" s="458">
        <f>IF(D71&gt;0%,C71/D71,100%)</f>
        <v>0</v>
      </c>
      <c r="F71" s="120">
        <v>2</v>
      </c>
      <c r="G71" s="421"/>
      <c r="H71" s="448">
        <f>G71/F71</f>
        <v>0</v>
      </c>
      <c r="I71" s="447">
        <v>1</v>
      </c>
      <c r="J71" s="447">
        <v>1</v>
      </c>
      <c r="K71" s="448">
        <f>J71/I71</f>
        <v>1</v>
      </c>
      <c r="L71" s="447">
        <v>1</v>
      </c>
      <c r="M71" s="447"/>
      <c r="N71" s="448">
        <f>M71/L71</f>
        <v>0</v>
      </c>
      <c r="O71" s="447">
        <v>1</v>
      </c>
      <c r="P71" s="447"/>
      <c r="Q71" s="418">
        <f>P71/O71</f>
        <v>0</v>
      </c>
      <c r="R71" s="447">
        <v>1</v>
      </c>
      <c r="S71" s="447"/>
      <c r="T71" s="418">
        <f>S71/R71</f>
        <v>0</v>
      </c>
      <c r="U71" s="447"/>
      <c r="V71" s="447"/>
      <c r="W71" s="418" t="str">
        <f>V71/U71</f>
        <v>0</v>
      </c>
      <c r="X71" s="447"/>
      <c r="Y71" s="447"/>
      <c r="Z71" s="418" t="str">
        <f>Y71/X71</f>
        <v>0</v>
      </c>
      <c r="AA71" s="447"/>
      <c r="AB71" s="447"/>
      <c r="AC71" s="418" t="str">
        <f>AB71/AA71</f>
        <v>0</v>
      </c>
      <c r="AD71" s="447"/>
      <c r="AE71" s="447"/>
      <c r="AF71" s="441" t="str">
        <f>AE71/AD71</f>
        <v>0</v>
      </c>
      <c r="AG71" s="447"/>
      <c r="AH71" s="449"/>
      <c r="AI71" s="442" t="str">
        <f>AH71/AG71</f>
        <v>0</v>
      </c>
      <c r="AJ71" s="118"/>
      <c r="AK71" s="423"/>
      <c r="AL71" s="418" t="str">
        <f>AK71/AJ71</f>
        <v>0</v>
      </c>
      <c r="AM71" s="118"/>
      <c r="AN71" s="423"/>
      <c r="AO71" s="424" t="str">
        <f>AN71/AM71</f>
        <v>0</v>
      </c>
      <c r="AP71" s="428">
        <f>AVERAGE(F71,I71,L71,O71,R71,U71,X71,AA71,AD71,AG71,AJ71,AM71)</f>
        <v>1.2</v>
      </c>
      <c r="AQ71" s="428">
        <f>SUM(G71,J71,M71,P71,S71,V71,Y71,AB71,AE71,AH71,AK71,AN71)</f>
        <v>1</v>
      </c>
      <c r="AR71" s="429">
        <f>AQ71/AP71</f>
        <v>0.83333333333333</v>
      </c>
      <c r="AS71" s="390"/>
      <c r="AT71" s="391"/>
      <c r="AU71" s="390"/>
      <c r="AV71" s="390"/>
      <c r="AW71" s="392"/>
    </row>
    <row r="72" spans="1:49" customHeight="1" ht="16.5" outlineLevel="1" s="371" customFormat="1">
      <c r="A72" s="453" t="s">
        <v>3047</v>
      </c>
      <c r="B72" s="452">
        <v>0.03</v>
      </c>
      <c r="C72" s="455">
        <f>B72/12*$C$14</f>
        <v>0.0125</v>
      </c>
      <c r="D72" s="452">
        <f>AR72</f>
        <v/>
      </c>
      <c r="E72" s="458">
        <f>IF(D72&gt;0%,C72/D72,100%)</f>
        <v>1</v>
      </c>
      <c r="F72" s="120">
        <v>10</v>
      </c>
      <c r="G72" s="421"/>
      <c r="H72" s="448">
        <f>G72/F72</f>
        <v>0</v>
      </c>
      <c r="I72" s="447">
        <v>8</v>
      </c>
      <c r="J72" s="447"/>
      <c r="K72" s="448">
        <f>J72/I72</f>
        <v>0</v>
      </c>
      <c r="L72" s="447">
        <v>9</v>
      </c>
      <c r="M72" s="447"/>
      <c r="N72" s="448">
        <f>M72/L72</f>
        <v>0</v>
      </c>
      <c r="O72" s="447">
        <v>8</v>
      </c>
      <c r="P72" s="447"/>
      <c r="Q72" s="418">
        <f>P72/O72</f>
        <v>0</v>
      </c>
      <c r="R72" s="447">
        <v>9</v>
      </c>
      <c r="S72" s="447"/>
      <c r="T72" s="418">
        <f>S72/R72</f>
        <v>0</v>
      </c>
      <c r="U72" s="447"/>
      <c r="V72" s="447"/>
      <c r="W72" s="418" t="str">
        <f>V72/U72</f>
        <v>0</v>
      </c>
      <c r="X72" s="447"/>
      <c r="Y72" s="447"/>
      <c r="Z72" s="418" t="str">
        <f>Y72/X72</f>
        <v>0</v>
      </c>
      <c r="AA72" s="447"/>
      <c r="AB72" s="447"/>
      <c r="AC72" s="418" t="str">
        <f>AB72/AA72</f>
        <v>0</v>
      </c>
      <c r="AD72" s="447"/>
      <c r="AE72" s="447"/>
      <c r="AF72" s="441" t="str">
        <f>AE72/AD72</f>
        <v>0</v>
      </c>
      <c r="AG72" s="447"/>
      <c r="AH72" s="449"/>
      <c r="AI72" s="442" t="str">
        <f>AH72/AG72</f>
        <v>0</v>
      </c>
      <c r="AJ72" s="118"/>
      <c r="AK72" s="423"/>
      <c r="AL72" s="418" t="str">
        <f>AK72/AJ72</f>
        <v>0</v>
      </c>
      <c r="AM72" s="118"/>
      <c r="AN72" s="423"/>
      <c r="AO72" s="424" t="str">
        <f>AN72/AM72</f>
        <v>0</v>
      </c>
      <c r="AP72" s="428">
        <f>AVERAGE(F72,I72,L72,O72,R72,U72,X72,AA72,AD72,AG72,AJ72,AM72)</f>
        <v>8.8</v>
      </c>
      <c r="AQ72" s="428"/>
      <c r="AR72" s="429"/>
      <c r="AS72" s="390"/>
      <c r="AT72" s="391"/>
      <c r="AU72" s="390"/>
      <c r="AV72" s="390"/>
      <c r="AW72" s="392"/>
    </row>
    <row r="73" spans="1:49" customHeight="1" ht="17.25" s="658" customFormat="1">
      <c r="A73" s="479" t="s">
        <v>3048</v>
      </c>
      <c r="B73" s="480">
        <v>0.17</v>
      </c>
      <c r="C73" s="480">
        <f>B73/12*$C$14</f>
        <v>0.070833333333333</v>
      </c>
      <c r="D73" s="480">
        <f>AR73</f>
        <v>0.31168831168831</v>
      </c>
      <c r="E73" s="481">
        <f>IF(D73&gt;0%,C73/D73,100%)</f>
        <v>0.22725694444444</v>
      </c>
      <c r="F73" s="641">
        <f>SUM(F74+F80+F75+F76+F77+F78+F79+F85)</f>
        <v>53</v>
      </c>
      <c r="G73" s="642">
        <f>SUM(G74+G80+G75+G76+G77+G78+G79+G85)</f>
        <v>0</v>
      </c>
      <c r="H73" s="643">
        <f>G73/F73</f>
        <v>0</v>
      </c>
      <c r="I73" s="644">
        <f>SUM(I74+I80+I75+I76+I77+I78+I79+I85)</f>
        <v>50</v>
      </c>
      <c r="J73" s="644">
        <f>SUM(J74+J80+J75+J76+J77+J78+J79+J85)</f>
        <v>4</v>
      </c>
      <c r="K73" s="645">
        <f>J73/I73</f>
        <v>0.08</v>
      </c>
      <c r="L73" s="644">
        <v>38</v>
      </c>
      <c r="M73" s="644">
        <f>SUM(M74+M80+M75+M76+M77+M78+M79+M85)</f>
        <v>0</v>
      </c>
      <c r="N73" s="645">
        <f>M73/L73</f>
        <v>0</v>
      </c>
      <c r="O73" s="644">
        <v>40</v>
      </c>
      <c r="P73" s="644">
        <f>SUM(P74+P80+P75+P76+P77+P78+P79+P85)</f>
        <v>2</v>
      </c>
      <c r="Q73" s="646">
        <f>P73/O73</f>
        <v>0.05</v>
      </c>
      <c r="R73" s="644">
        <f>SUM(R74+R80+R75+R76+R77+R78+R79+R85)</f>
        <v>50</v>
      </c>
      <c r="S73" s="644">
        <f>SUM(S74+S80+S75+S76+S77+S78+S79+S85)</f>
        <v>0</v>
      </c>
      <c r="T73" s="646">
        <f>S73/R73</f>
        <v>0</v>
      </c>
      <c r="U73" s="644">
        <f>SUM(U74+U80+U75+U76+U77+U78+U79+U85)</f>
        <v>0</v>
      </c>
      <c r="V73" s="644">
        <f>SUM(V74+V80+V75+V76+V77+V78+V79+V85)</f>
        <v>0</v>
      </c>
      <c r="W73" s="646" t="str">
        <f>V73/U73</f>
        <v>0</v>
      </c>
      <c r="X73" s="644">
        <f>SUM(X74+X80+X75+X76+X77+X78+X79+X85)</f>
        <v>0</v>
      </c>
      <c r="Y73" s="644">
        <f>SUM(Y74+Y80+Y75+Y76+Y77+Y78+Y79+Y85)</f>
        <v>0</v>
      </c>
      <c r="Z73" s="646" t="str">
        <f>Y73/X73</f>
        <v>0</v>
      </c>
      <c r="AA73" s="644">
        <f>SUM(AA74+AA80+AA75+AA76+AA77+AA78+AA79+AA85)</f>
        <v>0</v>
      </c>
      <c r="AB73" s="644">
        <f>SUM(AB74+AB80+AB75+AB76+AB77+AB78+AB79+AB85)</f>
        <v>0</v>
      </c>
      <c r="AC73" s="646" t="str">
        <f>AB73/AA73</f>
        <v>0</v>
      </c>
      <c r="AD73" s="644">
        <f>SUM(AD74+AD80+AD75+AD76+AD77+AD78+AD79+AD85)</f>
        <v>0</v>
      </c>
      <c r="AE73" s="644">
        <f>SUM(AE74+AE80+AE75+AE76+AE77+AE78+AE79+AE85)</f>
        <v>0</v>
      </c>
      <c r="AF73" s="647" t="str">
        <f>AE73/AD73</f>
        <v>0</v>
      </c>
      <c r="AG73" s="644">
        <f>SUM(AG74+AG80+AG75+AG76+AG77+AG78+AG79+AG85)</f>
        <v>0</v>
      </c>
      <c r="AH73" s="648">
        <f>SUM(AH74+AH80+AH75+AH76+AH77+AH78+AH79+AH85)</f>
        <v>0</v>
      </c>
      <c r="AI73" s="649" t="str">
        <f>AH73/AG73</f>
        <v>0</v>
      </c>
      <c r="AJ73" s="650">
        <f>SUM(AJ74+AJ80+AJ75+AJ76+AJ77+AJ78+AJ79+AJ85)</f>
        <v>0</v>
      </c>
      <c r="AK73" s="651">
        <f>SUM(AK74+AK80+AK75+AK76+AK77+AK78+AK79+AK85)</f>
        <v>0</v>
      </c>
      <c r="AL73" s="646" t="str">
        <f>AK73/AJ73</f>
        <v>0</v>
      </c>
      <c r="AM73" s="650">
        <f>SUM(AM74+AM80+AM75+AM76+AM77+AM78+AM79+AM85)</f>
        <v>0</v>
      </c>
      <c r="AN73" s="651">
        <f>SUM(AN74+AN80+AN75+AN76+AN77+AN78+AN79+AN85)</f>
        <v>0</v>
      </c>
      <c r="AO73" s="652" t="str">
        <f>AN73/AM73</f>
        <v>0</v>
      </c>
      <c r="AP73" s="653">
        <f>AVERAGE(F73,I73,L73,O73,R73,U73,X73,AA73,AD73,AG73,AJ73,AM73)</f>
        <v>19.25</v>
      </c>
      <c r="AQ73" s="653">
        <f>SUM(G73,J73,M73,P73,S73,V73,Y73,AB73,AE73,AH73,AK73,AN73)</f>
        <v>6</v>
      </c>
      <c r="AR73" s="654">
        <f>AQ73/AP73</f>
        <v>0.31168831168831</v>
      </c>
      <c r="AS73" s="655"/>
      <c r="AT73" s="656"/>
      <c r="AU73" s="655"/>
      <c r="AV73" s="655"/>
      <c r="AW73" s="657"/>
    </row>
    <row r="74" spans="1:49" customHeight="1" ht="17.25" outlineLevel="1" s="371" customFormat="1">
      <c r="A74" s="453" t="s">
        <v>3049</v>
      </c>
      <c r="B74" s="455">
        <v>0.0</v>
      </c>
      <c r="C74" s="455">
        <f>B74/12*$C$14</f>
        <v>0</v>
      </c>
      <c r="D74" s="452">
        <f>AR74</f>
        <v>0</v>
      </c>
      <c r="E74" s="458">
        <f>IF(D74&gt;0%,C74/D74,100%)</f>
        <v>1</v>
      </c>
      <c r="F74" s="120">
        <v>3</v>
      </c>
      <c r="G74" s="421"/>
      <c r="H74" s="473">
        <f>G74/F74</f>
        <v>0</v>
      </c>
      <c r="I74" s="447">
        <v>3</v>
      </c>
      <c r="J74" s="447"/>
      <c r="K74" s="448">
        <f>J74/I74</f>
        <v>0</v>
      </c>
      <c r="L74" s="447">
        <v>3</v>
      </c>
      <c r="M74" s="447"/>
      <c r="N74" s="448">
        <f>M74/L74</f>
        <v>0</v>
      </c>
      <c r="O74" s="447">
        <v>2</v>
      </c>
      <c r="P74" s="447"/>
      <c r="Q74" s="418">
        <f>P74/O74</f>
        <v>0</v>
      </c>
      <c r="R74" s="447">
        <v>2</v>
      </c>
      <c r="S74" s="447"/>
      <c r="T74" s="418">
        <f>S74/R74</f>
        <v>0</v>
      </c>
      <c r="U74" s="447"/>
      <c r="V74" s="447"/>
      <c r="W74" s="418" t="str">
        <f>V74/U74</f>
        <v>0</v>
      </c>
      <c r="X74" s="447"/>
      <c r="Y74" s="447"/>
      <c r="Z74" s="418" t="str">
        <f>Y74/X74</f>
        <v>0</v>
      </c>
      <c r="AA74" s="447"/>
      <c r="AB74" s="447"/>
      <c r="AC74" s="418" t="str">
        <f>AB74/AA74</f>
        <v>0</v>
      </c>
      <c r="AD74" s="447"/>
      <c r="AE74" s="447"/>
      <c r="AF74" s="441" t="str">
        <f>AE74/AD74</f>
        <v>0</v>
      </c>
      <c r="AG74" s="447"/>
      <c r="AH74" s="449"/>
      <c r="AI74" s="442" t="str">
        <f>AH74/AG74</f>
        <v>0</v>
      </c>
      <c r="AJ74" s="118"/>
      <c r="AK74" s="423"/>
      <c r="AL74" s="418" t="str">
        <f>AK74/AJ74</f>
        <v>0</v>
      </c>
      <c r="AM74" s="118"/>
      <c r="AN74" s="423"/>
      <c r="AO74" s="424" t="str">
        <f>AN74/AM74</f>
        <v>0</v>
      </c>
      <c r="AP74" s="428">
        <f>AVERAGE(F74,I74,L74,O74,R74,U74,X74,AA74,AD74,AG74,AJ74,AM74)</f>
        <v>2.6</v>
      </c>
      <c r="AQ74" s="428">
        <f>SUM(G74,J74,M74,P74,S74,V74,Y74,AB74,AE74,AH74,AK74,AN74)</f>
        <v>0</v>
      </c>
      <c r="AR74" s="429">
        <f>AQ74/AP74</f>
        <v>0</v>
      </c>
      <c r="AS74" s="390"/>
      <c r="AT74" s="391"/>
      <c r="AU74" s="390"/>
      <c r="AV74" s="390"/>
      <c r="AW74" s="392"/>
    </row>
    <row r="75" spans="1:49" customHeight="1" ht="17.25" outlineLevel="1" s="371" customFormat="1">
      <c r="A75" s="453" t="s">
        <v>3050</v>
      </c>
      <c r="B75" s="455">
        <v>0.08</v>
      </c>
      <c r="C75" s="455">
        <f>B75/12*$C$14</f>
        <v>0.033333333333333</v>
      </c>
      <c r="D75" s="452">
        <f>AR75</f>
        <v/>
      </c>
      <c r="E75" s="458">
        <f>IF(D75&gt;0%,C75/D75,100%)</f>
        <v>1</v>
      </c>
      <c r="F75" s="120">
        <v>3</v>
      </c>
      <c r="G75" s="421"/>
      <c r="H75" s="473">
        <f>G75/F75</f>
        <v>0</v>
      </c>
      <c r="I75" s="447">
        <v>3</v>
      </c>
      <c r="J75" s="447"/>
      <c r="K75" s="448">
        <f>J75/I75</f>
        <v>0</v>
      </c>
      <c r="L75" s="447">
        <v>3</v>
      </c>
      <c r="M75" s="447"/>
      <c r="N75" s="448">
        <f>M75/L75</f>
        <v>0</v>
      </c>
      <c r="O75" s="447">
        <v>3</v>
      </c>
      <c r="P75" s="447"/>
      <c r="Q75" s="418">
        <f>P75/O75</f>
        <v>0</v>
      </c>
      <c r="R75" s="447">
        <v>3</v>
      </c>
      <c r="S75" s="447"/>
      <c r="T75" s="418">
        <f>S75/R75</f>
        <v>0</v>
      </c>
      <c r="U75" s="447"/>
      <c r="V75" s="447"/>
      <c r="W75" s="418" t="str">
        <f>V75/U75</f>
        <v>0</v>
      </c>
      <c r="X75" s="447"/>
      <c r="Y75" s="447"/>
      <c r="Z75" s="418" t="str">
        <f>Y75/X75</f>
        <v>0</v>
      </c>
      <c r="AA75" s="447"/>
      <c r="AB75" s="447"/>
      <c r="AC75" s="418" t="str">
        <f>AB75/AA75</f>
        <v>0</v>
      </c>
      <c r="AD75" s="447"/>
      <c r="AE75" s="447"/>
      <c r="AF75" s="441" t="str">
        <f>AE75/AD75</f>
        <v>0</v>
      </c>
      <c r="AG75" s="447"/>
      <c r="AH75" s="449"/>
      <c r="AI75" s="442" t="str">
        <f>AH75/AG75</f>
        <v>0</v>
      </c>
      <c r="AJ75" s="118"/>
      <c r="AK75" s="423"/>
      <c r="AL75" s="418" t="str">
        <f>AK75/AJ75</f>
        <v>0</v>
      </c>
      <c r="AM75" s="118"/>
      <c r="AN75" s="423"/>
      <c r="AO75" s="424" t="str">
        <f>AN75/AM75</f>
        <v>0</v>
      </c>
      <c r="AP75" s="428">
        <f>AVERAGE(F75,I75,L75,O75,R75,U75,X75,AA75,AD75,AG75,AJ75,AM75)</f>
        <v>3</v>
      </c>
      <c r="AQ75" s="428"/>
      <c r="AR75" s="429"/>
      <c r="AS75" s="390"/>
      <c r="AT75" s="391"/>
      <c r="AU75" s="390"/>
      <c r="AV75" s="390"/>
      <c r="AW75" s="392"/>
    </row>
    <row r="76" spans="1:49" customHeight="1" ht="17.25" outlineLevel="1" s="371" customFormat="1">
      <c r="A76" s="453" t="s">
        <v>3051</v>
      </c>
      <c r="B76" s="455">
        <v>0.08</v>
      </c>
      <c r="C76" s="455">
        <f>B76/12*$C$14</f>
        <v>0.033333333333333</v>
      </c>
      <c r="D76" s="452">
        <f>AR76</f>
        <v/>
      </c>
      <c r="E76" s="458">
        <f>IF(D76&gt;0%,C76/D76,100%)</f>
        <v>1</v>
      </c>
      <c r="F76" s="120">
        <v>6</v>
      </c>
      <c r="G76" s="421"/>
      <c r="H76" s="473">
        <f>G76/F76</f>
        <v>0</v>
      </c>
      <c r="I76" s="447">
        <v>7</v>
      </c>
      <c r="J76" s="447"/>
      <c r="K76" s="448">
        <f>J76/I76</f>
        <v>0</v>
      </c>
      <c r="L76" s="447">
        <v>7</v>
      </c>
      <c r="M76" s="447"/>
      <c r="N76" s="448">
        <f>M76/L76</f>
        <v>0</v>
      </c>
      <c r="O76" s="447">
        <v>7</v>
      </c>
      <c r="P76" s="447"/>
      <c r="Q76" s="418">
        <f>P76/O76</f>
        <v>0</v>
      </c>
      <c r="R76" s="447">
        <v>7</v>
      </c>
      <c r="S76" s="447"/>
      <c r="T76" s="418">
        <f>S76/R76</f>
        <v>0</v>
      </c>
      <c r="U76" s="447"/>
      <c r="V76" s="447"/>
      <c r="W76" s="418" t="str">
        <f>V76/U76</f>
        <v>0</v>
      </c>
      <c r="X76" s="447"/>
      <c r="Y76" s="447"/>
      <c r="Z76" s="418" t="str">
        <f>Y76/X76</f>
        <v>0</v>
      </c>
      <c r="AA76" s="447"/>
      <c r="AB76" s="447"/>
      <c r="AC76" s="418" t="str">
        <f>AB76/AA76</f>
        <v>0</v>
      </c>
      <c r="AD76" s="447"/>
      <c r="AE76" s="447"/>
      <c r="AF76" s="441" t="str">
        <f>AE76/AD76</f>
        <v>0</v>
      </c>
      <c r="AG76" s="447"/>
      <c r="AH76" s="449"/>
      <c r="AI76" s="442" t="str">
        <f>AH76/AG76</f>
        <v>0</v>
      </c>
      <c r="AJ76" s="118"/>
      <c r="AK76" s="423"/>
      <c r="AL76" s="418" t="str">
        <f>AK76/AJ76</f>
        <v>0</v>
      </c>
      <c r="AM76" s="118"/>
      <c r="AN76" s="423"/>
      <c r="AO76" s="424" t="str">
        <f>AN76/AM76</f>
        <v>0</v>
      </c>
      <c r="AP76" s="428"/>
      <c r="AQ76" s="428"/>
      <c r="AR76" s="429"/>
      <c r="AS76" s="390"/>
      <c r="AT76" s="391"/>
      <c r="AU76" s="390"/>
      <c r="AV76" s="390"/>
      <c r="AW76" s="392"/>
    </row>
    <row r="77" spans="1:49" customHeight="1" ht="17.25" outlineLevel="1" s="371" customFormat="1">
      <c r="A77" s="453" t="s">
        <v>3052</v>
      </c>
      <c r="B77" s="455">
        <v>0.0</v>
      </c>
      <c r="C77" s="455">
        <f>B77/12*$C$14</f>
        <v>0</v>
      </c>
      <c r="D77" s="452">
        <f>AR77</f>
        <v/>
      </c>
      <c r="E77" s="458">
        <f>IF(D77&gt;0%,C77/D77,100%)</f>
        <v>1</v>
      </c>
      <c r="F77" s="120">
        <v>2</v>
      </c>
      <c r="G77" s="421"/>
      <c r="H77" s="473">
        <f>G77/F77</f>
        <v>0</v>
      </c>
      <c r="I77" s="447">
        <v>2</v>
      </c>
      <c r="J77" s="447"/>
      <c r="K77" s="448">
        <f>J77/I77</f>
        <v>0</v>
      </c>
      <c r="L77" s="447">
        <v>2</v>
      </c>
      <c r="M77" s="447"/>
      <c r="N77" s="448">
        <f>M77/L77</f>
        <v>0</v>
      </c>
      <c r="O77" s="447">
        <v>2</v>
      </c>
      <c r="P77" s="447">
        <v>1</v>
      </c>
      <c r="Q77" s="418">
        <f>P77/O77</f>
        <v>0.5</v>
      </c>
      <c r="R77" s="447">
        <v>2</v>
      </c>
      <c r="S77" s="447"/>
      <c r="T77" s="418">
        <f>S77/R77</f>
        <v>0</v>
      </c>
      <c r="U77" s="447"/>
      <c r="V77" s="447"/>
      <c r="W77" s="418" t="str">
        <f>V77/U77</f>
        <v>0</v>
      </c>
      <c r="X77" s="447"/>
      <c r="Y77" s="447"/>
      <c r="Z77" s="418" t="str">
        <f>Y77/X77</f>
        <v>0</v>
      </c>
      <c r="AA77" s="447"/>
      <c r="AB77" s="447"/>
      <c r="AC77" s="418" t="str">
        <f>AB77/AA77</f>
        <v>0</v>
      </c>
      <c r="AD77" s="447"/>
      <c r="AE77" s="447"/>
      <c r="AF77" s="441" t="str">
        <f>AE77/AD77</f>
        <v>0</v>
      </c>
      <c r="AG77" s="447"/>
      <c r="AH77" s="449"/>
      <c r="AI77" s="442" t="str">
        <f>AH77/AG77</f>
        <v>0</v>
      </c>
      <c r="AJ77" s="118"/>
      <c r="AK77" s="423"/>
      <c r="AL77" s="418" t="str">
        <f>AK77/AJ77</f>
        <v>0</v>
      </c>
      <c r="AM77" s="118"/>
      <c r="AN77" s="423"/>
      <c r="AO77" s="424" t="str">
        <f>AN77/AM77</f>
        <v>0</v>
      </c>
      <c r="AP77" s="428"/>
      <c r="AQ77" s="428"/>
      <c r="AR77" s="429"/>
      <c r="AS77" s="390"/>
      <c r="AT77" s="391"/>
      <c r="AU77" s="390"/>
      <c r="AV77" s="390"/>
      <c r="AW77" s="392"/>
    </row>
    <row r="78" spans="1:49" customHeight="1" ht="17.25" s="371" customFormat="1">
      <c r="A78" s="719" t="s">
        <v>3053</v>
      </c>
      <c r="B78" s="455">
        <v>0.08</v>
      </c>
      <c r="C78" s="455">
        <f>B78/12*$C$14</f>
        <v>0.033333333333333</v>
      </c>
      <c r="D78" s="452">
        <f>AR78</f>
        <v/>
      </c>
      <c r="E78" s="458">
        <f>IF(D78&gt;0%,C78/D78,100%)</f>
        <v>1</v>
      </c>
      <c r="F78" s="120">
        <v>6</v>
      </c>
      <c r="G78" s="421"/>
      <c r="H78" s="473">
        <f>G78/F78</f>
        <v>0</v>
      </c>
      <c r="I78" s="447">
        <v>5</v>
      </c>
      <c r="J78" s="447">
        <v>1</v>
      </c>
      <c r="K78" s="448">
        <f>J78/I78</f>
        <v>0.2</v>
      </c>
      <c r="L78" s="447">
        <v>5</v>
      </c>
      <c r="M78" s="447"/>
      <c r="N78" s="448">
        <f>M78/L78</f>
        <v>0</v>
      </c>
      <c r="O78" s="447">
        <v>5</v>
      </c>
      <c r="P78" s="447"/>
      <c r="Q78" s="418">
        <f>P78/O78</f>
        <v>0</v>
      </c>
      <c r="R78" s="447">
        <v>5</v>
      </c>
      <c r="S78" s="447"/>
      <c r="T78" s="418">
        <f>S78/R78</f>
        <v>0</v>
      </c>
      <c r="U78" s="447"/>
      <c r="V78" s="447"/>
      <c r="W78" s="418" t="str">
        <f>V78/U78</f>
        <v>0</v>
      </c>
      <c r="X78" s="447"/>
      <c r="Y78" s="447"/>
      <c r="Z78" s="418" t="str">
        <f>Y78/X78</f>
        <v>0</v>
      </c>
      <c r="AA78" s="447"/>
      <c r="AB78" s="447"/>
      <c r="AC78" s="418" t="str">
        <f>AB78/AA78</f>
        <v>0</v>
      </c>
      <c r="AD78" s="447"/>
      <c r="AE78" s="447"/>
      <c r="AF78" s="441" t="str">
        <f>AE78/AD78</f>
        <v>0</v>
      </c>
      <c r="AG78" s="447"/>
      <c r="AH78" s="449"/>
      <c r="AI78" s="442" t="str">
        <f>AH78/AG78</f>
        <v>0</v>
      </c>
      <c r="AJ78" s="118"/>
      <c r="AK78" s="423"/>
      <c r="AL78" s="418" t="str">
        <f>AK78/AJ78</f>
        <v>0</v>
      </c>
      <c r="AM78" s="118"/>
      <c r="AN78" s="423"/>
      <c r="AO78" s="424" t="str">
        <f>AN78/AM78</f>
        <v>0</v>
      </c>
      <c r="AP78" s="428"/>
      <c r="AQ78" s="428"/>
      <c r="AR78" s="429"/>
      <c r="AS78" s="390"/>
      <c r="AT78" s="391"/>
      <c r="AU78" s="390"/>
      <c r="AV78" s="390"/>
      <c r="AW78" s="392"/>
    </row>
    <row r="79" spans="1:49" customHeight="1" ht="17.25" s="371" customFormat="1">
      <c r="A79" s="719" t="s">
        <v>3054</v>
      </c>
      <c r="B79" s="455">
        <v>0.05</v>
      </c>
      <c r="C79" s="455">
        <f>B79/12*$C$14</f>
        <v>0.020833333333333</v>
      </c>
      <c r="D79" s="452">
        <f>AR79</f>
        <v/>
      </c>
      <c r="E79" s="458">
        <f>IF(D79&gt;0%,C79/D79,100%)</f>
        <v>1</v>
      </c>
      <c r="F79" s="120">
        <v>3</v>
      </c>
      <c r="G79" s="421"/>
      <c r="H79" s="473">
        <f>G79/F79</f>
        <v>0</v>
      </c>
      <c r="I79" s="447">
        <v>2</v>
      </c>
      <c r="J79" s="447">
        <v>1</v>
      </c>
      <c r="K79" s="448">
        <f>J79/I79</f>
        <v>0.5</v>
      </c>
      <c r="L79" s="447">
        <v>3</v>
      </c>
      <c r="M79" s="447"/>
      <c r="N79" s="448">
        <f>M79/L79</f>
        <v>0</v>
      </c>
      <c r="O79" s="447">
        <v>3</v>
      </c>
      <c r="P79" s="447"/>
      <c r="Q79" s="418">
        <f>P79/O79</f>
        <v>0</v>
      </c>
      <c r="R79" s="447">
        <v>3</v>
      </c>
      <c r="S79" s="447"/>
      <c r="T79" s="418">
        <f>S79/R79</f>
        <v>0</v>
      </c>
      <c r="U79" s="447"/>
      <c r="V79" s="447"/>
      <c r="W79" s="418" t="str">
        <f>V79/U79</f>
        <v>0</v>
      </c>
      <c r="X79" s="447"/>
      <c r="Y79" s="447"/>
      <c r="Z79" s="418" t="str">
        <f>Y79/X79</f>
        <v>0</v>
      </c>
      <c r="AA79" s="447"/>
      <c r="AB79" s="447"/>
      <c r="AC79" s="418" t="str">
        <f>AB79/AA79</f>
        <v>0</v>
      </c>
      <c r="AD79" s="447"/>
      <c r="AE79" s="447"/>
      <c r="AF79" s="441" t="str">
        <f>AE79/AD79</f>
        <v>0</v>
      </c>
      <c r="AG79" s="447"/>
      <c r="AH79" s="449"/>
      <c r="AI79" s="442" t="str">
        <f>AH79/AG79</f>
        <v>0</v>
      </c>
      <c r="AJ79" s="118"/>
      <c r="AK79" s="423"/>
      <c r="AL79" s="418" t="str">
        <f>AK79/AJ79</f>
        <v>0</v>
      </c>
      <c r="AM79" s="118"/>
      <c r="AN79" s="423"/>
      <c r="AO79" s="424" t="str">
        <f>AN79/AM79</f>
        <v>0</v>
      </c>
      <c r="AP79" s="428"/>
      <c r="AQ79" s="428"/>
      <c r="AR79" s="429"/>
      <c r="AS79" s="390"/>
      <c r="AT79" s="391"/>
      <c r="AU79" s="390"/>
      <c r="AV79" s="390"/>
      <c r="AW79" s="392"/>
    </row>
    <row r="80" spans="1:49" customHeight="1" ht="17.25" s="658" customFormat="1">
      <c r="A80" s="490" t="s">
        <v>3055</v>
      </c>
      <c r="B80" s="480">
        <v>0.08</v>
      </c>
      <c r="C80" s="480">
        <f>B80/12*$C$14</f>
        <v>0.033333333333333</v>
      </c>
      <c r="D80" s="480">
        <f>AR80</f>
        <v/>
      </c>
      <c r="E80" s="481">
        <f>IF(D80&gt;0%,C80/D80,100%)</f>
        <v>1</v>
      </c>
      <c r="F80" s="641">
        <f>SUM(F81:F84)</f>
        <v>16</v>
      </c>
      <c r="G80" s="642">
        <f>SUM(G81:G84)</f>
        <v>0</v>
      </c>
      <c r="H80" s="643">
        <f>G80/F80</f>
        <v>0</v>
      </c>
      <c r="I80" s="644">
        <f>SUM(I81:I84)</f>
        <v>15</v>
      </c>
      <c r="J80" s="644">
        <f>SUM(J81:J84)</f>
        <v>1</v>
      </c>
      <c r="K80" s="645">
        <f>J80/I80</f>
        <v>0.066666666666667</v>
      </c>
      <c r="L80" s="644">
        <f>SUM(L81:L84)</f>
        <v>15</v>
      </c>
      <c r="M80" s="644">
        <f>SUM(M81:M84)</f>
        <v>0</v>
      </c>
      <c r="N80" s="645">
        <f>M80/L80</f>
        <v>0</v>
      </c>
      <c r="O80" s="644">
        <f>SUM(O81:O84)</f>
        <v>13</v>
      </c>
      <c r="P80" s="644">
        <f>SUM(P81:P84)</f>
        <v>1</v>
      </c>
      <c r="Q80" s="646">
        <f>P80/O80</f>
        <v>0.076923076923077</v>
      </c>
      <c r="R80" s="644">
        <f>SUM(R81:R84)</f>
        <v>15</v>
      </c>
      <c r="S80" s="644">
        <f>SUM(S81:S84)</f>
        <v>0</v>
      </c>
      <c r="T80" s="646">
        <f>S80/R80</f>
        <v>0</v>
      </c>
      <c r="U80" s="644">
        <f>SUM(U81:U84)</f>
        <v>0</v>
      </c>
      <c r="V80" s="644">
        <f>SUM(V81:V84)</f>
        <v>0</v>
      </c>
      <c r="W80" s="646" t="str">
        <f>V80/U80</f>
        <v>0</v>
      </c>
      <c r="X80" s="644">
        <f>SUM(X81:X84)</f>
        <v>0</v>
      </c>
      <c r="Y80" s="644">
        <f>SUM(Y81:Y84)</f>
        <v>0</v>
      </c>
      <c r="Z80" s="646" t="str">
        <f>Y80/X80</f>
        <v>0</v>
      </c>
      <c r="AA80" s="644">
        <f>SUM(AA81:AA84)</f>
        <v>0</v>
      </c>
      <c r="AB80" s="644">
        <f>SUM(AB81:AB84)</f>
        <v>0</v>
      </c>
      <c r="AC80" s="646" t="str">
        <f>AB80/AA80</f>
        <v>0</v>
      </c>
      <c r="AD80" s="644">
        <f>SUM(AD81:AD84)</f>
        <v>0</v>
      </c>
      <c r="AE80" s="644">
        <f>SUM(AE81:AE84)</f>
        <v>0</v>
      </c>
      <c r="AF80" s="647" t="str">
        <f>AE80/AD80</f>
        <v>0</v>
      </c>
      <c r="AG80" s="644">
        <f>SUM(AG81:AG84)</f>
        <v>0</v>
      </c>
      <c r="AH80" s="648">
        <f>SUM(AH81:AH84)</f>
        <v>0</v>
      </c>
      <c r="AI80" s="649" t="str">
        <f>AH80/AG80</f>
        <v>0</v>
      </c>
      <c r="AJ80" s="650">
        <f>SUM(AJ81:AJ84)</f>
        <v>0</v>
      </c>
      <c r="AK80" s="651">
        <f>SUM(AK81:AK84)</f>
        <v>0</v>
      </c>
      <c r="AL80" s="646" t="str">
        <f>AK80/AJ80</f>
        <v>0</v>
      </c>
      <c r="AM80" s="650">
        <f>SUM(AM81:AM84)</f>
        <v>0</v>
      </c>
      <c r="AN80" s="651">
        <f>SUM(AN81:AN84)</f>
        <v>0</v>
      </c>
      <c r="AO80" s="652" t="str">
        <f>AN80/AM80</f>
        <v>0</v>
      </c>
      <c r="AP80" s="653"/>
      <c r="AQ80" s="653"/>
      <c r="AR80" s="654"/>
      <c r="AS80" s="655"/>
      <c r="AT80" s="656"/>
      <c r="AU80" s="655"/>
      <c r="AV80" s="655"/>
      <c r="AW80" s="657"/>
    </row>
    <row r="81" spans="1:49" customHeight="1" ht="17.25" outlineLevel="1" s="371" customFormat="1">
      <c r="A81" s="453" t="s">
        <v>3056</v>
      </c>
      <c r="B81" s="455" t="s">
        <v>3057</v>
      </c>
      <c r="C81" s="455" t="str">
        <f>B81/12*$C$14</f>
        <v>0</v>
      </c>
      <c r="D81" s="452">
        <f>AR81</f>
        <v/>
      </c>
      <c r="E81" s="458">
        <f>IF(D81&gt;0%,C81/D81,100%)</f>
        <v>1</v>
      </c>
      <c r="F81" s="120">
        <v>9</v>
      </c>
      <c r="G81" s="421"/>
      <c r="H81" s="473">
        <f>G81/F81</f>
        <v>0</v>
      </c>
      <c r="I81" s="447">
        <v>9</v>
      </c>
      <c r="J81" s="447"/>
      <c r="K81" s="448">
        <f>J81/I81</f>
        <v>0</v>
      </c>
      <c r="L81" s="447">
        <v>9</v>
      </c>
      <c r="M81" s="447"/>
      <c r="N81" s="448">
        <f>M81/L81</f>
        <v>0</v>
      </c>
      <c r="O81" s="447">
        <v>9</v>
      </c>
      <c r="P81" s="447"/>
      <c r="Q81" s="418">
        <f>P81/O81</f>
        <v>0</v>
      </c>
      <c r="R81" s="447">
        <v>9</v>
      </c>
      <c r="S81" s="447"/>
      <c r="T81" s="418">
        <f>S81/R81</f>
        <v>0</v>
      </c>
      <c r="U81" s="447"/>
      <c r="V81" s="447"/>
      <c r="W81" s="418" t="str">
        <f>V81/U81</f>
        <v>0</v>
      </c>
      <c r="X81" s="447"/>
      <c r="Y81" s="447"/>
      <c r="Z81" s="418" t="str">
        <f>Y81/X81</f>
        <v>0</v>
      </c>
      <c r="AA81" s="447"/>
      <c r="AB81" s="447"/>
      <c r="AC81" s="418" t="str">
        <f>AB81/AA81</f>
        <v>0</v>
      </c>
      <c r="AD81" s="447"/>
      <c r="AE81" s="447"/>
      <c r="AF81" s="441" t="str">
        <f>AE81/AD81</f>
        <v>0</v>
      </c>
      <c r="AG81" s="447"/>
      <c r="AH81" s="449"/>
      <c r="AI81" s="442" t="str">
        <f>AH81/AG81</f>
        <v>0</v>
      </c>
      <c r="AJ81" s="118"/>
      <c r="AK81" s="423"/>
      <c r="AL81" s="418" t="str">
        <f>AK81/AJ81</f>
        <v>0</v>
      </c>
      <c r="AM81" s="118"/>
      <c r="AN81" s="423"/>
      <c r="AO81" s="424" t="str">
        <f>AN81/AM81</f>
        <v>0</v>
      </c>
      <c r="AP81" s="428"/>
      <c r="AQ81" s="428"/>
      <c r="AR81" s="429"/>
      <c r="AS81" s="390"/>
      <c r="AT81" s="391"/>
      <c r="AU81" s="390"/>
      <c r="AV81" s="390"/>
      <c r="AW81" s="392"/>
    </row>
    <row r="82" spans="1:49" customHeight="1" ht="17.25" outlineLevel="1" s="371" customFormat="1">
      <c r="A82" s="453" t="s">
        <v>3058</v>
      </c>
      <c r="B82" s="455">
        <v>0.0</v>
      </c>
      <c r="C82" s="455">
        <f>B82/12*$C$14</f>
        <v>0</v>
      </c>
      <c r="D82" s="452">
        <f>AR82</f>
        <v/>
      </c>
      <c r="E82" s="458">
        <f>IF(D82&gt;0%,C82/D82,100%)</f>
        <v>1</v>
      </c>
      <c r="F82" s="120">
        <v>1</v>
      </c>
      <c r="G82" s="421"/>
      <c r="H82" s="473">
        <f>G82/F82</f>
        <v>0</v>
      </c>
      <c r="I82" s="447">
        <v>1</v>
      </c>
      <c r="J82" s="447"/>
      <c r="K82" s="448">
        <f>J82/I82</f>
        <v>0</v>
      </c>
      <c r="L82" s="447">
        <v>1</v>
      </c>
      <c r="M82" s="447"/>
      <c r="N82" s="448">
        <f>M82/L82</f>
        <v>0</v>
      </c>
      <c r="O82" s="447">
        <v>0.0</v>
      </c>
      <c r="P82" s="447">
        <v>1</v>
      </c>
      <c r="Q82" s="418" t="str">
        <f>P82/O82</f>
        <v>0</v>
      </c>
      <c r="R82" s="447">
        <v>1</v>
      </c>
      <c r="S82" s="447"/>
      <c r="T82" s="418">
        <f>S82/R82</f>
        <v>0</v>
      </c>
      <c r="U82" s="447"/>
      <c r="V82" s="447"/>
      <c r="W82" s="418" t="str">
        <f>V82/U82</f>
        <v>0</v>
      </c>
      <c r="X82" s="447"/>
      <c r="Y82" s="447"/>
      <c r="Z82" s="418" t="str">
        <f>Y82/X82</f>
        <v>0</v>
      </c>
      <c r="AA82" s="447"/>
      <c r="AB82" s="447"/>
      <c r="AC82" s="418" t="str">
        <f>AB82/AA82</f>
        <v>0</v>
      </c>
      <c r="AD82" s="447"/>
      <c r="AE82" s="447"/>
      <c r="AF82" s="441" t="str">
        <f>AE82/AD82</f>
        <v>0</v>
      </c>
      <c r="AG82" s="447"/>
      <c r="AH82" s="449"/>
      <c r="AI82" s="442" t="str">
        <f>AH82/AG82</f>
        <v>0</v>
      </c>
      <c r="AJ82" s="118"/>
      <c r="AK82" s="423"/>
      <c r="AL82" s="418" t="str">
        <f>AK82/AJ82</f>
        <v>0</v>
      </c>
      <c r="AM82" s="118"/>
      <c r="AN82" s="423"/>
      <c r="AO82" s="424" t="str">
        <f>AN82/AM82</f>
        <v>0</v>
      </c>
      <c r="AP82" s="428"/>
      <c r="AQ82" s="428"/>
      <c r="AR82" s="429"/>
      <c r="AS82" s="390"/>
      <c r="AT82" s="391"/>
      <c r="AU82" s="390"/>
      <c r="AV82" s="390"/>
      <c r="AW82" s="392"/>
    </row>
    <row r="83" spans="1:49" customHeight="1" ht="17.25" outlineLevel="1" s="371" customFormat="1">
      <c r="A83" s="453" t="s">
        <v>3059</v>
      </c>
      <c r="B83" s="455">
        <v>0.0</v>
      </c>
      <c r="C83" s="455">
        <f>B83/12*$C$14</f>
        <v>0</v>
      </c>
      <c r="D83" s="452">
        <f>AR83</f>
        <v/>
      </c>
      <c r="E83" s="458">
        <f>IF(D83&gt;0%,C83/D83,100%)</f>
        <v>1</v>
      </c>
      <c r="F83" s="120">
        <v>3</v>
      </c>
      <c r="G83" s="421"/>
      <c r="H83" s="473">
        <f>G83/F83</f>
        <v>0</v>
      </c>
      <c r="I83" s="447">
        <v>2</v>
      </c>
      <c r="J83" s="447">
        <v>1</v>
      </c>
      <c r="K83" s="448">
        <f>J83/I83</f>
        <v>0.5</v>
      </c>
      <c r="L83" s="447">
        <v>2</v>
      </c>
      <c r="M83" s="447"/>
      <c r="N83" s="448">
        <f>M83/L83</f>
        <v>0</v>
      </c>
      <c r="O83" s="447">
        <v>2</v>
      </c>
      <c r="P83" s="447"/>
      <c r="Q83" s="418">
        <f>P83/O83</f>
        <v>0</v>
      </c>
      <c r="R83" s="447">
        <v>2</v>
      </c>
      <c r="S83" s="447"/>
      <c r="T83" s="418">
        <f>S83/R83</f>
        <v>0</v>
      </c>
      <c r="U83" s="447"/>
      <c r="V83" s="447"/>
      <c r="W83" s="418" t="str">
        <f>V83/U83</f>
        <v>0</v>
      </c>
      <c r="X83" s="447"/>
      <c r="Y83" s="447"/>
      <c r="Z83" s="418" t="str">
        <f>Y83/X83</f>
        <v>0</v>
      </c>
      <c r="AA83" s="447"/>
      <c r="AB83" s="447"/>
      <c r="AC83" s="418" t="str">
        <f>AB83/AA83</f>
        <v>0</v>
      </c>
      <c r="AD83" s="447"/>
      <c r="AE83" s="447"/>
      <c r="AF83" s="441" t="str">
        <f>AE83/AD83</f>
        <v>0</v>
      </c>
      <c r="AG83" s="447"/>
      <c r="AH83" s="449"/>
      <c r="AI83" s="442" t="str">
        <f>AH83/AG83</f>
        <v>0</v>
      </c>
      <c r="AJ83" s="118"/>
      <c r="AK83" s="423"/>
      <c r="AL83" s="418" t="str">
        <f>AK83/AJ83</f>
        <v>0</v>
      </c>
      <c r="AM83" s="118"/>
      <c r="AN83" s="423"/>
      <c r="AO83" s="424" t="str">
        <f>AN83/AM83</f>
        <v>0</v>
      </c>
      <c r="AP83" s="428"/>
      <c r="AQ83" s="428"/>
      <c r="AR83" s="429"/>
      <c r="AS83" s="390"/>
      <c r="AT83" s="391"/>
      <c r="AU83" s="390"/>
      <c r="AV83" s="390"/>
      <c r="AW83" s="392"/>
    </row>
    <row r="84" spans="1:49" customHeight="1" ht="17.25" outlineLevel="1" s="371" customFormat="1">
      <c r="A84" s="453" t="s">
        <v>3060</v>
      </c>
      <c r="B84" s="455">
        <v>0.0</v>
      </c>
      <c r="C84" s="455">
        <f>B84/12*$C$14</f>
        <v>0</v>
      </c>
      <c r="D84" s="452">
        <f>AR84</f>
        <v/>
      </c>
      <c r="E84" s="458">
        <f>IF(D84&gt;0%,C84/D84,100%)</f>
        <v>1</v>
      </c>
      <c r="F84" s="120">
        <v>3</v>
      </c>
      <c r="G84" s="421"/>
      <c r="H84" s="473">
        <f>G84/F84</f>
        <v>0</v>
      </c>
      <c r="I84" s="447">
        <v>3</v>
      </c>
      <c r="J84" s="447"/>
      <c r="K84" s="448">
        <f>J84/I84</f>
        <v>0</v>
      </c>
      <c r="L84" s="447">
        <v>3</v>
      </c>
      <c r="M84" s="447"/>
      <c r="N84" s="448">
        <f>M84/L84</f>
        <v>0</v>
      </c>
      <c r="O84" s="447">
        <v>2</v>
      </c>
      <c r="P84" s="447"/>
      <c r="Q84" s="418">
        <f>P84/O84</f>
        <v>0</v>
      </c>
      <c r="R84" s="447">
        <v>3</v>
      </c>
      <c r="S84" s="447"/>
      <c r="T84" s="418">
        <f>S84/R84</f>
        <v>0</v>
      </c>
      <c r="U84" s="447"/>
      <c r="V84" s="447"/>
      <c r="W84" s="418" t="str">
        <f>V84/U84</f>
        <v>0</v>
      </c>
      <c r="X84" s="447"/>
      <c r="Y84" s="447"/>
      <c r="Z84" s="418" t="str">
        <f>Y84/X84</f>
        <v>0</v>
      </c>
      <c r="AA84" s="447"/>
      <c r="AB84" s="447"/>
      <c r="AC84" s="418" t="str">
        <f>AB84/AA84</f>
        <v>0</v>
      </c>
      <c r="AD84" s="447"/>
      <c r="AE84" s="447"/>
      <c r="AF84" s="441" t="str">
        <f>AE84/AD84</f>
        <v>0</v>
      </c>
      <c r="AG84" s="447"/>
      <c r="AH84" s="449"/>
      <c r="AI84" s="442" t="str">
        <f>AH84/AG84</f>
        <v>0</v>
      </c>
      <c r="AJ84" s="118"/>
      <c r="AK84" s="423"/>
      <c r="AL84" s="418" t="str">
        <f>AK84/AJ84</f>
        <v>0</v>
      </c>
      <c r="AM84" s="118"/>
      <c r="AN84" s="423"/>
      <c r="AO84" s="424" t="str">
        <f>AN84/AM84</f>
        <v>0</v>
      </c>
      <c r="AP84" s="428"/>
      <c r="AQ84" s="428"/>
      <c r="AR84" s="429"/>
      <c r="AS84" s="390"/>
      <c r="AT84" s="391"/>
      <c r="AU84" s="390"/>
      <c r="AV84" s="390"/>
      <c r="AW84" s="392"/>
    </row>
    <row r="85" spans="1:49" customHeight="1" ht="16.5" s="658" customFormat="1">
      <c r="A85" s="479" t="s">
        <v>319</v>
      </c>
      <c r="B85" s="480">
        <v>0.12</v>
      </c>
      <c r="C85" s="480">
        <f>B85/12*$C$14</f>
        <v>0.05</v>
      </c>
      <c r="D85" s="480">
        <f>AR85</f>
        <v>0.18181818181818</v>
      </c>
      <c r="E85" s="481">
        <f>IF(D85&gt;0%,C85/D85,100%)</f>
        <v>0.275</v>
      </c>
      <c r="F85" s="641">
        <f>SUM(F86:F88)</f>
        <v>14</v>
      </c>
      <c r="G85" s="642">
        <f>SUM(G86:G88)</f>
        <v>0</v>
      </c>
      <c r="H85" s="643">
        <f>G85/F85</f>
        <v>0</v>
      </c>
      <c r="I85" s="644">
        <f>SUM(I86:I88)</f>
        <v>13</v>
      </c>
      <c r="J85" s="644">
        <f>SUM(J86:J88)</f>
        <v>1</v>
      </c>
      <c r="K85" s="645">
        <f>J85/I85</f>
        <v>0.076923076923077</v>
      </c>
      <c r="L85" s="644">
        <v>13</v>
      </c>
      <c r="M85" s="644">
        <f>SUM(M86:M88)</f>
        <v>0</v>
      </c>
      <c r="N85" s="645">
        <f>M85/L85</f>
        <v>0</v>
      </c>
      <c r="O85" s="644">
        <v>13</v>
      </c>
      <c r="P85" s="644">
        <f>SUM(P86:P88)</f>
        <v>0</v>
      </c>
      <c r="Q85" s="646">
        <f>P85/O85</f>
        <v>0</v>
      </c>
      <c r="R85" s="644">
        <f>SUM(R86:R88)</f>
        <v>13</v>
      </c>
      <c r="S85" s="644">
        <f>SUM(S86:S88)</f>
        <v>0</v>
      </c>
      <c r="T85" s="646">
        <f>S85/R85</f>
        <v>0</v>
      </c>
      <c r="U85" s="644">
        <f>SUM(U86:U88)</f>
        <v>0</v>
      </c>
      <c r="V85" s="644">
        <f>SUM(V86:V88)</f>
        <v>0</v>
      </c>
      <c r="W85" s="646" t="str">
        <f>V85/U85</f>
        <v>0</v>
      </c>
      <c r="X85" s="644">
        <f>SUM(X86:X88)</f>
        <v>0</v>
      </c>
      <c r="Y85" s="644">
        <f>SUM(Y86:Y88)</f>
        <v>0</v>
      </c>
      <c r="Z85" s="646" t="str">
        <f>Y85/X85</f>
        <v>0</v>
      </c>
      <c r="AA85" s="644">
        <f>SUM(AA86:AA88)</f>
        <v>0</v>
      </c>
      <c r="AB85" s="644">
        <f>SUM(AB86:AB88)</f>
        <v>0</v>
      </c>
      <c r="AC85" s="646" t="str">
        <f>AB85/AA85</f>
        <v>0</v>
      </c>
      <c r="AD85" s="644">
        <f>SUM(AD86:AD88)</f>
        <v>0</v>
      </c>
      <c r="AE85" s="644">
        <f>SUM(AE86:AE88)</f>
        <v>0</v>
      </c>
      <c r="AF85" s="647" t="str">
        <f>AE85/AD85</f>
        <v>0</v>
      </c>
      <c r="AG85" s="644">
        <f>SUM(AG86:AG88)</f>
        <v>0</v>
      </c>
      <c r="AH85" s="648">
        <f>SUM(AH86:AH88)</f>
        <v>0</v>
      </c>
      <c r="AI85" s="649" t="str">
        <f>AH85/AG85</f>
        <v>0</v>
      </c>
      <c r="AJ85" s="650">
        <f>SUM(AJ86:AJ88)</f>
        <v>0</v>
      </c>
      <c r="AK85" s="651">
        <f>SUM(AK86:AK88)</f>
        <v>0</v>
      </c>
      <c r="AL85" s="646" t="str">
        <f>AK85/AJ85</f>
        <v>0</v>
      </c>
      <c r="AM85" s="650">
        <f>SUM(AM86:AM88)</f>
        <v>0</v>
      </c>
      <c r="AN85" s="651">
        <f>SUM(AN86:AN88)</f>
        <v>0</v>
      </c>
      <c r="AO85" s="652" t="str">
        <f>AN85/AM85</f>
        <v>0</v>
      </c>
      <c r="AP85" s="653">
        <f>AVERAGE(F85,I85,L85,O85,R85,U85,X85,AA85,AD85,AG85,AJ85,AM85)</f>
        <v>5.5</v>
      </c>
      <c r="AQ85" s="653">
        <f>SUM(G85,J85,M85,P85,S85,V85,Y85,AB85,AE85,AH85,AK85,AN85)</f>
        <v>1</v>
      </c>
      <c r="AR85" s="654">
        <f>AQ85/AP85</f>
        <v>0.18181818181818</v>
      </c>
      <c r="AS85" s="655"/>
      <c r="AT85" s="656"/>
      <c r="AU85" s="655"/>
      <c r="AV85" s="655"/>
      <c r="AW85" s="657"/>
    </row>
    <row r="86" spans="1:49" customHeight="1" ht="16.9" outlineLevel="1" s="371" customFormat="1">
      <c r="A86" s="453" t="s">
        <v>3061</v>
      </c>
      <c r="B86" s="455">
        <v>0.09</v>
      </c>
      <c r="C86" s="455">
        <f>B86/12*$C$14</f>
        <v>0.0375</v>
      </c>
      <c r="D86" s="452">
        <f>AR86</f>
        <v>0.19230769230769</v>
      </c>
      <c r="E86" s="458">
        <f>IF(D86&gt;0%,C86/D86,100%)</f>
        <v>0.195</v>
      </c>
      <c r="F86" s="120">
        <v>6</v>
      </c>
      <c r="G86" s="421"/>
      <c r="H86" s="473">
        <f>G86/F86</f>
        <v>0</v>
      </c>
      <c r="I86" s="447">
        <v>5</v>
      </c>
      <c r="J86" s="447">
        <v>1</v>
      </c>
      <c r="K86" s="448">
        <f>J86/I86</f>
        <v>0.2</v>
      </c>
      <c r="L86" s="447">
        <v>5</v>
      </c>
      <c r="M86" s="447"/>
      <c r="N86" s="448">
        <f>M86/L86</f>
        <v>0</v>
      </c>
      <c r="O86" s="447">
        <v>5</v>
      </c>
      <c r="P86" s="447"/>
      <c r="Q86" s="418">
        <f>P86/O86</f>
        <v>0</v>
      </c>
      <c r="R86" s="447">
        <v>5</v>
      </c>
      <c r="S86" s="447"/>
      <c r="T86" s="418">
        <f>S86/R86</f>
        <v>0</v>
      </c>
      <c r="U86" s="447"/>
      <c r="V86" s="447"/>
      <c r="W86" s="418" t="str">
        <f>V86/U86</f>
        <v>0</v>
      </c>
      <c r="X86" s="447"/>
      <c r="Y86" s="447"/>
      <c r="Z86" s="418" t="str">
        <f>Y86/X86</f>
        <v>0</v>
      </c>
      <c r="AA86" s="447"/>
      <c r="AB86" s="447"/>
      <c r="AC86" s="418" t="str">
        <f>AB86/AA86</f>
        <v>0</v>
      </c>
      <c r="AD86" s="447"/>
      <c r="AE86" s="447"/>
      <c r="AF86" s="441" t="str">
        <f>AE86/AD86</f>
        <v>0</v>
      </c>
      <c r="AG86" s="447"/>
      <c r="AH86" s="449"/>
      <c r="AI86" s="442" t="str">
        <f>AH86/AG86</f>
        <v>0</v>
      </c>
      <c r="AJ86" s="118"/>
      <c r="AK86" s="423"/>
      <c r="AL86" s="418" t="str">
        <f>AK86/AJ86</f>
        <v>0</v>
      </c>
      <c r="AM86" s="118"/>
      <c r="AN86" s="423"/>
      <c r="AO86" s="424" t="str">
        <f>AN86/AM86</f>
        <v>0</v>
      </c>
      <c r="AP86" s="428">
        <f>AVERAGE(F86,I86,L86,O86,R86,U86,X86,AA86,AD86,AG86,AJ86,AM86)</f>
        <v>5.2</v>
      </c>
      <c r="AQ86" s="428">
        <f>SUM(G86,J86,M86,P86,S86,V86,Y86,AB86,AE86,AH86,AK86,AN86)</f>
        <v>1</v>
      </c>
      <c r="AR86" s="429">
        <f>AQ86/AP86</f>
        <v>0.19230769230769</v>
      </c>
      <c r="AS86" s="390"/>
      <c r="AT86" s="391"/>
      <c r="AU86" s="390"/>
      <c r="AV86" s="390"/>
      <c r="AW86" s="392"/>
    </row>
    <row r="87" spans="1:49" customHeight="1" ht="16.9" outlineLevel="1" s="371" customFormat="1">
      <c r="A87" s="453" t="s">
        <v>3062</v>
      </c>
      <c r="B87" s="455">
        <v>0.09</v>
      </c>
      <c r="C87" s="455">
        <f>B87/12*$C$14</f>
        <v>0.0375</v>
      </c>
      <c r="D87" s="452">
        <f>AR87</f>
        <v>0</v>
      </c>
      <c r="E87" s="458">
        <f>IF(D87&gt;0%,C87/D87,100%)</f>
        <v>1</v>
      </c>
      <c r="F87" s="120">
        <v>5</v>
      </c>
      <c r="G87" s="421"/>
      <c r="H87" s="473">
        <f>G87/F87</f>
        <v>0</v>
      </c>
      <c r="I87" s="447">
        <v>5</v>
      </c>
      <c r="J87" s="447"/>
      <c r="K87" s="448">
        <f>J87/I87</f>
        <v>0</v>
      </c>
      <c r="L87" s="447">
        <v>5</v>
      </c>
      <c r="M87" s="447"/>
      <c r="N87" s="448">
        <f>M87/L87</f>
        <v>0</v>
      </c>
      <c r="O87" s="447">
        <v>5</v>
      </c>
      <c r="P87" s="447"/>
      <c r="Q87" s="418">
        <f>P87/O87</f>
        <v>0</v>
      </c>
      <c r="R87" s="447">
        <v>5</v>
      </c>
      <c r="S87" s="447"/>
      <c r="T87" s="418">
        <f>S87/R87</f>
        <v>0</v>
      </c>
      <c r="U87" s="447"/>
      <c r="V87" s="447"/>
      <c r="W87" s="418" t="str">
        <f>V87/U87</f>
        <v>0</v>
      </c>
      <c r="X87" s="447"/>
      <c r="Y87" s="447"/>
      <c r="Z87" s="418" t="str">
        <f>Y87/X87</f>
        <v>0</v>
      </c>
      <c r="AA87" s="447"/>
      <c r="AB87" s="447"/>
      <c r="AC87" s="418" t="str">
        <f>AB87/AA87</f>
        <v>0</v>
      </c>
      <c r="AD87" s="447"/>
      <c r="AE87" s="447"/>
      <c r="AF87" s="441" t="str">
        <f>AE87/AD87</f>
        <v>0</v>
      </c>
      <c r="AG87" s="447"/>
      <c r="AH87" s="449"/>
      <c r="AI87" s="442" t="str">
        <f>AH87/AG87</f>
        <v>0</v>
      </c>
      <c r="AJ87" s="118"/>
      <c r="AK87" s="423"/>
      <c r="AL87" s="418" t="str">
        <f>AK87/AJ87</f>
        <v>0</v>
      </c>
      <c r="AM87" s="118"/>
      <c r="AN87" s="423"/>
      <c r="AO87" s="424" t="str">
        <f>AN87/AM87</f>
        <v>0</v>
      </c>
      <c r="AP87" s="428">
        <f>AVERAGE(F87,I87,L87,O87,R87,U87,X87,AA87,AD87,AG87,AJ87,AM87)</f>
        <v>5</v>
      </c>
      <c r="AQ87" s="428">
        <f>SUM(G87,J87,M87,P87,S87,V87,Y87,AB87,AE87,AH87,AK87,AN87)</f>
        <v>0</v>
      </c>
      <c r="AR87" s="429">
        <f>AQ87/AP87</f>
        <v>0</v>
      </c>
      <c r="AS87" s="390"/>
      <c r="AT87" s="391"/>
      <c r="AU87" s="390"/>
      <c r="AV87" s="390"/>
      <c r="AW87" s="392"/>
    </row>
    <row r="88" spans="1:49" customHeight="1" ht="16.9" outlineLevel="1" s="371" customFormat="1">
      <c r="A88" s="453" t="s">
        <v>3063</v>
      </c>
      <c r="B88" s="455">
        <v>0.0</v>
      </c>
      <c r="C88" s="455">
        <f>B88/12*$C$14</f>
        <v>0</v>
      </c>
      <c r="D88" s="452">
        <f>AR88</f>
        <v>0</v>
      </c>
      <c r="E88" s="458">
        <f>IF(D88&gt;0%,C88/D88,100%)</f>
        <v>1</v>
      </c>
      <c r="F88" s="120">
        <v>3</v>
      </c>
      <c r="G88" s="421"/>
      <c r="H88" s="473">
        <f>G88/F88</f>
        <v>0</v>
      </c>
      <c r="I88" s="514">
        <v>3</v>
      </c>
      <c r="J88" s="447"/>
      <c r="K88" s="448">
        <f>J88/I88</f>
        <v>0</v>
      </c>
      <c r="L88" s="447">
        <v>3</v>
      </c>
      <c r="M88" s="447"/>
      <c r="N88" s="448">
        <f>M88/L88</f>
        <v>0</v>
      </c>
      <c r="O88" s="447">
        <v>3</v>
      </c>
      <c r="P88" s="447"/>
      <c r="Q88" s="418">
        <f>P88/O88</f>
        <v>0</v>
      </c>
      <c r="R88" s="447">
        <v>3</v>
      </c>
      <c r="S88" s="447"/>
      <c r="T88" s="418">
        <f>S88/R88</f>
        <v>0</v>
      </c>
      <c r="U88" s="447"/>
      <c r="V88" s="447"/>
      <c r="W88" s="418" t="str">
        <f>V88/U88</f>
        <v>0</v>
      </c>
      <c r="X88" s="447"/>
      <c r="Y88" s="447"/>
      <c r="Z88" s="418" t="str">
        <f>Y88/X88</f>
        <v>0</v>
      </c>
      <c r="AA88" s="447"/>
      <c r="AB88" s="447"/>
      <c r="AC88" s="418" t="str">
        <f>AB88/AA88</f>
        <v>0</v>
      </c>
      <c r="AD88" s="447"/>
      <c r="AE88" s="447"/>
      <c r="AF88" s="441" t="str">
        <f>AE88/AD88</f>
        <v>0</v>
      </c>
      <c r="AG88" s="447"/>
      <c r="AH88" s="449"/>
      <c r="AI88" s="442" t="str">
        <f>AH88/AG88</f>
        <v>0</v>
      </c>
      <c r="AJ88" s="118"/>
      <c r="AK88" s="423"/>
      <c r="AL88" s="418" t="str">
        <f>AK88/AJ88</f>
        <v>0</v>
      </c>
      <c r="AM88" s="118"/>
      <c r="AN88" s="423"/>
      <c r="AO88" s="424" t="str">
        <f>AN88/AM88</f>
        <v>0</v>
      </c>
      <c r="AP88" s="428">
        <f>AVERAGE(F88,I88,L88,O88,R88,U88,X88,AA88,AD88,AG88,AJ88,AM88)</f>
        <v>3</v>
      </c>
      <c r="AQ88" s="428">
        <f>SUM(G88,J88,M88,P88,S88,V88,Y88,AB88,AE88,AH88,AK88,AN88)</f>
        <v>0</v>
      </c>
      <c r="AR88" s="429">
        <f>AQ88/AP88</f>
        <v>0</v>
      </c>
      <c r="AS88" s="390"/>
      <c r="AT88" s="391"/>
      <c r="AU88" s="390"/>
      <c r="AV88" s="390"/>
      <c r="AW88" s="392"/>
    </row>
    <row r="89" spans="1:49" customHeight="1" ht="16.9" s="675" customFormat="1">
      <c r="A89" s="516" t="s">
        <v>349</v>
      </c>
      <c r="B89" s="517">
        <v>0.05</v>
      </c>
      <c r="C89" s="517">
        <f>B89/12*$C$14</f>
        <v>0.020833333333333</v>
      </c>
      <c r="D89" s="517">
        <f>AR89</f>
        <v>0.25</v>
      </c>
      <c r="E89" s="518">
        <f>IF(D89&gt;0%,C89/D89,100%)</f>
        <v>0.083333333333333</v>
      </c>
      <c r="F89" s="688">
        <f>SUM(F90:F92)+5</f>
        <v>13</v>
      </c>
      <c r="G89" s="659">
        <f>SUM(G90:G92)</f>
        <v>0</v>
      </c>
      <c r="H89" s="660">
        <f>G89/F89</f>
        <v>0</v>
      </c>
      <c r="I89" s="661">
        <f>SUM(I90:I92)+5</f>
        <v>13</v>
      </c>
      <c r="J89" s="661">
        <f>SUM(J90:J92)</f>
        <v>0</v>
      </c>
      <c r="K89" s="662">
        <f>J89/I89</f>
        <v>0</v>
      </c>
      <c r="L89" s="661">
        <f>SUM(L90:L92)+5</f>
        <v>12</v>
      </c>
      <c r="M89" s="661">
        <v>1</v>
      </c>
      <c r="N89" s="662">
        <f>M89/L89</f>
        <v>0.083333333333333</v>
      </c>
      <c r="O89" s="661">
        <v>11</v>
      </c>
      <c r="P89" s="661">
        <v>1</v>
      </c>
      <c r="Q89" s="663">
        <f>P89/O89</f>
        <v>0.090909090909091</v>
      </c>
      <c r="R89" s="661">
        <v>12</v>
      </c>
      <c r="S89" s="661">
        <f>SUM(S90:S92)</f>
        <v>0</v>
      </c>
      <c r="T89" s="663">
        <f>S89/R89</f>
        <v>0</v>
      </c>
      <c r="U89" s="661">
        <f>SUM(U90:U92)+5</f>
        <v>5</v>
      </c>
      <c r="V89" s="661">
        <f>SUM(V90:V92)</f>
        <v>0</v>
      </c>
      <c r="W89" s="663">
        <f>V89/U89</f>
        <v>0</v>
      </c>
      <c r="X89" s="661">
        <f>SUM(X90:X92)+5</f>
        <v>5</v>
      </c>
      <c r="Y89" s="661">
        <f>SUM(Y90:Y92)</f>
        <v>0</v>
      </c>
      <c r="Z89" s="663">
        <f>Y89/X89</f>
        <v>0</v>
      </c>
      <c r="AA89" s="661">
        <f>SUM(AA90:AA92)+5</f>
        <v>5</v>
      </c>
      <c r="AB89" s="661">
        <f>SUM(AB90:AB92)</f>
        <v>0</v>
      </c>
      <c r="AC89" s="663">
        <f>AB89/AA89</f>
        <v>0</v>
      </c>
      <c r="AD89" s="661">
        <f>SUM(AD90:AD92)+5</f>
        <v>5</v>
      </c>
      <c r="AE89" s="661">
        <f>SUM(AE90:AE92)</f>
        <v>0</v>
      </c>
      <c r="AF89" s="664">
        <f>AE89/AD89</f>
        <v>0</v>
      </c>
      <c r="AG89" s="661">
        <f>SUM(AG90:AG92)+5</f>
        <v>5</v>
      </c>
      <c r="AH89" s="665">
        <f>SUM(AH90:AH92)</f>
        <v>0</v>
      </c>
      <c r="AI89" s="666">
        <f>AH89/AG89</f>
        <v>0</v>
      </c>
      <c r="AJ89" s="667">
        <f>SUM(AJ90:AJ92)+5</f>
        <v>5</v>
      </c>
      <c r="AK89" s="668">
        <f>SUM(AK90:AK92)</f>
        <v>0</v>
      </c>
      <c r="AL89" s="663">
        <f>AK89/AJ89</f>
        <v>0</v>
      </c>
      <c r="AM89" s="667">
        <f>SUM(AM90:AM92)+5</f>
        <v>5</v>
      </c>
      <c r="AN89" s="668">
        <f>SUM(AN90:AN92)</f>
        <v>0</v>
      </c>
      <c r="AO89" s="669">
        <f>AN89/AM89</f>
        <v>0</v>
      </c>
      <c r="AP89" s="670">
        <f>AVERAGE(F89,I89,L89,O89,R89,U89,X89,AA89,AD89,AG89,AJ89,AM89)</f>
        <v>8</v>
      </c>
      <c r="AQ89" s="670">
        <f>SUM(G89,J89,M89,P89,S89,V89,Y89,AB89,AE89,AH89,AK89,AN89)</f>
        <v>2</v>
      </c>
      <c r="AR89" s="671">
        <f>AQ89/AP89</f>
        <v>0.25</v>
      </c>
      <c r="AS89" s="672"/>
      <c r="AT89" s="673"/>
      <c r="AU89" s="672"/>
      <c r="AV89" s="672"/>
      <c r="AW89" s="674"/>
    </row>
    <row r="90" spans="1:49" customHeight="1" ht="17.25" outlineLevel="1" s="371" customFormat="1">
      <c r="A90" s="453" t="s">
        <v>3064</v>
      </c>
      <c r="B90" s="452">
        <v>0.03</v>
      </c>
      <c r="C90" s="463">
        <f>B90/12*$C$14</f>
        <v>0.0125</v>
      </c>
      <c r="D90" s="463">
        <f>AR90</f>
        <v>0.29411764705882</v>
      </c>
      <c r="E90" s="464">
        <f>IF(D90&gt;0%,C90/D90,100%)</f>
        <v>0.0425</v>
      </c>
      <c r="F90" s="343">
        <v>4</v>
      </c>
      <c r="G90" s="343"/>
      <c r="H90" s="473">
        <f>G90/F90</f>
        <v>0</v>
      </c>
      <c r="I90" s="447">
        <v>4</v>
      </c>
      <c r="J90" s="447"/>
      <c r="K90" s="448">
        <f>J90/I90</f>
        <v>0</v>
      </c>
      <c r="L90" s="447">
        <v>3</v>
      </c>
      <c r="M90" s="447"/>
      <c r="N90" s="448">
        <f>M90/L90</f>
        <v>0</v>
      </c>
      <c r="O90" s="447">
        <v>3</v>
      </c>
      <c r="P90" s="447">
        <v>1</v>
      </c>
      <c r="Q90" s="418">
        <f>P90/O90</f>
        <v>0.33333333333333</v>
      </c>
      <c r="R90" s="447">
        <v>3</v>
      </c>
      <c r="S90" s="447"/>
      <c r="T90" s="418">
        <f>S90/R90</f>
        <v>0</v>
      </c>
      <c r="U90" s="447"/>
      <c r="V90" s="447"/>
      <c r="W90" s="418" t="str">
        <f>V90/U90</f>
        <v>0</v>
      </c>
      <c r="X90" s="447"/>
      <c r="Y90" s="447"/>
      <c r="Z90" s="418" t="str">
        <f>Y90/X90</f>
        <v>0</v>
      </c>
      <c r="AA90" s="447"/>
      <c r="AB90" s="447"/>
      <c r="AC90" s="418" t="str">
        <f>AB90/AA90</f>
        <v>0</v>
      </c>
      <c r="AD90" s="447"/>
      <c r="AE90" s="447"/>
      <c r="AF90" s="441" t="str">
        <f>AE90/AD90</f>
        <v>0</v>
      </c>
      <c r="AG90" s="447"/>
      <c r="AH90" s="449"/>
      <c r="AI90" s="442" t="str">
        <f>AH90/AG90</f>
        <v>0</v>
      </c>
      <c r="AJ90" s="118"/>
      <c r="AK90" s="423"/>
      <c r="AL90" s="418" t="str">
        <f>AK90/AJ90</f>
        <v>0</v>
      </c>
      <c r="AM90" s="118"/>
      <c r="AN90" s="423"/>
      <c r="AO90" s="424" t="str">
        <f>AN90/AM90</f>
        <v>0</v>
      </c>
      <c r="AP90" s="425">
        <f>AVERAGE(F90,I90,L90,O90,R90,U90,X90,AA90,AD90,AG90,AJ90,AM90)</f>
        <v>3.4</v>
      </c>
      <c r="AQ90" s="425">
        <f>SUM(G90,J90,M90,P90,S90,V90,Y90,AB90,AE90,AH90,AK90,AN90)</f>
        <v>1</v>
      </c>
      <c r="AR90" s="426">
        <f>AQ90/AP90</f>
        <v>0.29411764705882</v>
      </c>
      <c r="AS90" s="390"/>
      <c r="AT90" s="391"/>
      <c r="AU90" s="390"/>
      <c r="AV90" s="390"/>
      <c r="AW90" s="392"/>
    </row>
    <row r="91" spans="1:49" customHeight="1" ht="16.9" outlineLevel="1" s="371" customFormat="1">
      <c r="A91" s="453" t="s">
        <v>3065</v>
      </c>
      <c r="B91" s="504">
        <v>0.0</v>
      </c>
      <c r="C91" s="463">
        <f>B91/12*$C$14</f>
        <v>0</v>
      </c>
      <c r="D91" s="463">
        <f>AR91</f>
        <v/>
      </c>
      <c r="E91" s="464">
        <f>IF(D91&gt;0%,C91/D91,100%)</f>
        <v>1</v>
      </c>
      <c r="F91" s="120">
        <v>2</v>
      </c>
      <c r="G91" s="421"/>
      <c r="H91" s="473">
        <f>G91/F91</f>
        <v>0</v>
      </c>
      <c r="I91" s="447">
        <v>2</v>
      </c>
      <c r="J91" s="447"/>
      <c r="K91" s="448">
        <f>J91/I91</f>
        <v>0</v>
      </c>
      <c r="L91" s="447">
        <v>2</v>
      </c>
      <c r="M91" s="447"/>
      <c r="N91" s="448">
        <f>M91/L91</f>
        <v>0</v>
      </c>
      <c r="O91" s="447">
        <v>2</v>
      </c>
      <c r="P91" s="447"/>
      <c r="Q91" s="418">
        <f>P91/O91</f>
        <v>0</v>
      </c>
      <c r="R91" s="447">
        <v>7</v>
      </c>
      <c r="S91" s="447"/>
      <c r="T91" s="418">
        <f>S91/R91</f>
        <v>0</v>
      </c>
      <c r="U91" s="447"/>
      <c r="V91" s="447"/>
      <c r="W91" s="418" t="str">
        <f>V91/U91</f>
        <v>0</v>
      </c>
      <c r="X91" s="447"/>
      <c r="Y91" s="447"/>
      <c r="Z91" s="418" t="str">
        <f>Y91/X91</f>
        <v>0</v>
      </c>
      <c r="AA91" s="447"/>
      <c r="AB91" s="447"/>
      <c r="AC91" s="418" t="str">
        <f>AB91/AA91</f>
        <v>0</v>
      </c>
      <c r="AD91" s="447"/>
      <c r="AE91" s="447"/>
      <c r="AF91" s="441" t="str">
        <f>AE91/AD91</f>
        <v>0</v>
      </c>
      <c r="AG91" s="447"/>
      <c r="AH91" s="449"/>
      <c r="AI91" s="442" t="str">
        <f>AH91/AG91</f>
        <v>0</v>
      </c>
      <c r="AJ91" s="118"/>
      <c r="AK91" s="423"/>
      <c r="AL91" s="418" t="str">
        <f>AK91/AJ91</f>
        <v>0</v>
      </c>
      <c r="AM91" s="118"/>
      <c r="AN91" s="423"/>
      <c r="AO91" s="424" t="str">
        <f>AN91/AM91</f>
        <v>0</v>
      </c>
      <c r="AP91" s="428">
        <f>AVERAGE(F91,I91,L91,O91,R91,U91,X91,AA91,AD91,AG91,AJ91,AM91)</f>
        <v>3</v>
      </c>
      <c r="AQ91" s="428"/>
      <c r="AR91" s="429"/>
      <c r="AS91" s="390"/>
      <c r="AT91" s="391"/>
      <c r="AU91" s="390"/>
      <c r="AV91" s="390"/>
      <c r="AW91" s="392"/>
    </row>
    <row r="92" spans="1:49" customHeight="1" ht="16.5" outlineLevel="1" s="371" customFormat="1">
      <c r="A92" s="453" t="s">
        <v>3066</v>
      </c>
      <c r="B92" s="463">
        <v>0.0</v>
      </c>
      <c r="C92" s="463">
        <f>B92/12*$C$14</f>
        <v>0</v>
      </c>
      <c r="D92" s="463">
        <f>AR92</f>
        <v/>
      </c>
      <c r="E92" s="464">
        <f>IF(D92&gt;0%,C92/D92,100%)</f>
        <v>1</v>
      </c>
      <c r="F92" s="485">
        <v>2</v>
      </c>
      <c r="G92" s="449"/>
      <c r="H92" s="473">
        <f>G92/F92</f>
        <v>0</v>
      </c>
      <c r="I92" s="447">
        <v>2</v>
      </c>
      <c r="J92" s="447"/>
      <c r="K92" s="448">
        <f>J92/I92</f>
        <v>0</v>
      </c>
      <c r="L92" s="447">
        <v>2</v>
      </c>
      <c r="M92" s="447"/>
      <c r="N92" s="448">
        <f>M92/L92</f>
        <v>0</v>
      </c>
      <c r="O92" s="447">
        <v>2</v>
      </c>
      <c r="P92" s="447"/>
      <c r="Q92" s="418">
        <f>P92/O92</f>
        <v>0</v>
      </c>
      <c r="R92" s="447">
        <v>2</v>
      </c>
      <c r="S92" s="447"/>
      <c r="T92" s="418">
        <f>S92/R92</f>
        <v>0</v>
      </c>
      <c r="U92" s="447"/>
      <c r="V92" s="447"/>
      <c r="W92" s="418" t="str">
        <f>V92/U92</f>
        <v>0</v>
      </c>
      <c r="X92" s="447"/>
      <c r="Y92" s="447"/>
      <c r="Z92" s="418" t="str">
        <f>Y92/X92</f>
        <v>0</v>
      </c>
      <c r="AA92" s="447"/>
      <c r="AB92" s="447"/>
      <c r="AC92" s="418" t="str">
        <f>AB92/AA92</f>
        <v>0</v>
      </c>
      <c r="AD92" s="447"/>
      <c r="AE92" s="447"/>
      <c r="AF92" s="441" t="str">
        <f>AE92/AD92</f>
        <v>0</v>
      </c>
      <c r="AG92" s="447"/>
      <c r="AH92" s="449"/>
      <c r="AI92" s="442" t="str">
        <f>AH92/AG92</f>
        <v>0</v>
      </c>
      <c r="AJ92" s="118"/>
      <c r="AK92" s="423"/>
      <c r="AL92" s="418" t="str">
        <f>AK92/AJ92</f>
        <v>0</v>
      </c>
      <c r="AM92" s="118"/>
      <c r="AN92" s="423"/>
      <c r="AO92" s="424" t="str">
        <f>AN92/AM92</f>
        <v>0</v>
      </c>
      <c r="AP92" s="486">
        <f>AVERAGE(F92,I92,L92,O92,R92,U92,X92,AA92,AD92,AG92,AJ92,AM92)</f>
        <v>2</v>
      </c>
      <c r="AQ92" s="486"/>
      <c r="AR92" s="487"/>
      <c r="AS92" s="390"/>
      <c r="AT92" s="391"/>
      <c r="AU92" s="390"/>
      <c r="AV92" s="390"/>
      <c r="AW92" s="392"/>
    </row>
    <row r="93" spans="1:49" customHeight="1" ht="16.9" s="686" customFormat="1">
      <c r="A93" s="525" t="s">
        <v>250</v>
      </c>
      <c r="B93" s="526">
        <v>0.09</v>
      </c>
      <c r="C93" s="526">
        <f>B93/12*$C$14</f>
        <v>0.0375</v>
      </c>
      <c r="D93" s="526">
        <f>AR93</f>
        <v>0.13333333333333</v>
      </c>
      <c r="E93" s="527">
        <f>IF(D93&gt;0%,C93/D93,100%)</f>
        <v>0.28125</v>
      </c>
      <c r="F93" s="676">
        <f>SUM(F94:F95)</f>
        <v>18</v>
      </c>
      <c r="G93" s="677">
        <f>SUM(G94:G95)</f>
        <v>0</v>
      </c>
      <c r="H93" s="678">
        <f>G93/F93</f>
        <v>0</v>
      </c>
      <c r="I93" s="679">
        <f>SUM(I94:I95)</f>
        <v>17</v>
      </c>
      <c r="J93" s="679"/>
      <c r="K93" s="678">
        <f>J93/I93</f>
        <v>0</v>
      </c>
      <c r="L93" s="679">
        <v>18</v>
      </c>
      <c r="M93" s="679">
        <v>1</v>
      </c>
      <c r="N93" s="678">
        <f>M93/L93</f>
        <v>0.055555555555556</v>
      </c>
      <c r="O93" s="679">
        <v>18</v>
      </c>
      <c r="P93" s="679">
        <f>SUM(P94:P95)</f>
        <v>0</v>
      </c>
      <c r="Q93" s="678">
        <f>P93/O93</f>
        <v>0</v>
      </c>
      <c r="R93" s="679">
        <f>SUM(R94:R95)</f>
        <v>19</v>
      </c>
      <c r="S93" s="679">
        <f>SUM(S94:S95)</f>
        <v>0</v>
      </c>
      <c r="T93" s="678">
        <f>S93/R93</f>
        <v>0</v>
      </c>
      <c r="U93" s="679">
        <f>SUM(U94:U95)</f>
        <v>0</v>
      </c>
      <c r="V93" s="679">
        <f>SUM(V94:V95)</f>
        <v>0</v>
      </c>
      <c r="W93" s="678" t="str">
        <f>V93/U93</f>
        <v>0</v>
      </c>
      <c r="X93" s="679">
        <f>SUM(X94:X95)</f>
        <v>0</v>
      </c>
      <c r="Y93" s="679">
        <f>SUM(Y94:Y95)</f>
        <v>0</v>
      </c>
      <c r="Z93" s="678" t="str">
        <f>Y93/X93</f>
        <v>0</v>
      </c>
      <c r="AA93" s="679">
        <f>SUM(AA94:AA95)</f>
        <v>0</v>
      </c>
      <c r="AB93" s="679">
        <f>SUM(AB94:AB95)</f>
        <v>0</v>
      </c>
      <c r="AC93" s="678" t="str">
        <f>AB93/AA93</f>
        <v>0</v>
      </c>
      <c r="AD93" s="679">
        <f>SUM(AD94:AD95)</f>
        <v>0</v>
      </c>
      <c r="AE93" s="679">
        <f>SUM(AE94:AE95)</f>
        <v>0</v>
      </c>
      <c r="AF93" s="678" t="str">
        <f>AE93/AD93</f>
        <v>0</v>
      </c>
      <c r="AG93" s="679">
        <f>SUM(AG94:AG95)</f>
        <v>0</v>
      </c>
      <c r="AH93" s="677">
        <f>SUM(AH94:AH95)</f>
        <v>0</v>
      </c>
      <c r="AI93" s="678" t="str">
        <f>AH93/AG93</f>
        <v>0</v>
      </c>
      <c r="AJ93" s="679">
        <f>SUM(AJ94:AJ95)</f>
        <v>0</v>
      </c>
      <c r="AK93" s="677">
        <f>SUM(AK94:AK95)</f>
        <v>0</v>
      </c>
      <c r="AL93" s="678" t="str">
        <f>AK93/AJ93</f>
        <v>0</v>
      </c>
      <c r="AM93" s="679">
        <f>SUM(AM94:AM95)</f>
        <v>0</v>
      </c>
      <c r="AN93" s="677">
        <f>SUM(AN94:AN95)</f>
        <v>0</v>
      </c>
      <c r="AO93" s="680" t="str">
        <f>AN93/AM93</f>
        <v>0</v>
      </c>
      <c r="AP93" s="681">
        <f>AVERAGE(F93,I93,L93,O93,R93,U93,X93,AA93,AD93,AG93,AJ93,AM93)</f>
        <v>7.5</v>
      </c>
      <c r="AQ93" s="681">
        <f>SUM(G93,J93,M93,P93,S93,V93,Y93,AB93,AE93,AH93,AK93,AN93)</f>
        <v>1</v>
      </c>
      <c r="AR93" s="682">
        <f>AQ93/AP93</f>
        <v>0.13333333333333</v>
      </c>
      <c r="AS93" s="683"/>
      <c r="AT93" s="684"/>
      <c r="AU93" s="683"/>
      <c r="AV93" s="683"/>
      <c r="AW93" s="685"/>
    </row>
    <row r="94" spans="1:49" customHeight="1" ht="16.9" outlineLevel="1" s="371" customFormat="1">
      <c r="A94" s="453" t="s">
        <v>3067</v>
      </c>
      <c r="B94" s="455">
        <v>0.15</v>
      </c>
      <c r="C94" s="455">
        <f>B94/12*$C$14</f>
        <v>0.0625</v>
      </c>
      <c r="D94" s="452">
        <f>AR94</f>
        <v>0</v>
      </c>
      <c r="E94" s="489">
        <f>IF(D94&gt;0%,C94/D94,100%)</f>
        <v>1</v>
      </c>
      <c r="F94" s="120">
        <v>17</v>
      </c>
      <c r="G94" s="421"/>
      <c r="H94" s="420">
        <f>G94/F94</f>
        <v>0</v>
      </c>
      <c r="I94" s="343">
        <v>16</v>
      </c>
      <c r="J94" s="343"/>
      <c r="K94" s="420">
        <f>J94/I94</f>
        <v>0</v>
      </c>
      <c r="L94" s="343">
        <v>17</v>
      </c>
      <c r="M94" s="343"/>
      <c r="N94" s="420">
        <f>M94/L94</f>
        <v>0</v>
      </c>
      <c r="O94" s="343">
        <v>17</v>
      </c>
      <c r="P94" s="343"/>
      <c r="Q94" s="420">
        <f>P94/O94</f>
        <v>0</v>
      </c>
      <c r="R94" s="343">
        <v>18</v>
      </c>
      <c r="S94" s="343"/>
      <c r="T94" s="420">
        <f>S94/R94</f>
        <v>0</v>
      </c>
      <c r="U94" s="343"/>
      <c r="V94" s="343"/>
      <c r="W94" s="420" t="str">
        <f>V94/U94</f>
        <v>0</v>
      </c>
      <c r="X94" s="343"/>
      <c r="Y94" s="343"/>
      <c r="Z94" s="420" t="str">
        <f>Y94/X94</f>
        <v>0</v>
      </c>
      <c r="AA94" s="343"/>
      <c r="AB94" s="343"/>
      <c r="AC94" s="420" t="str">
        <f>AB94/AA94</f>
        <v>0</v>
      </c>
      <c r="AD94" s="343"/>
      <c r="AE94" s="343"/>
      <c r="AF94" s="420" t="str">
        <f>AE94/AD94</f>
        <v>0</v>
      </c>
      <c r="AG94" s="343"/>
      <c r="AH94" s="421"/>
      <c r="AI94" s="420" t="str">
        <f>AH94/AG94</f>
        <v>0</v>
      </c>
      <c r="AJ94" s="343"/>
      <c r="AK94" s="421"/>
      <c r="AL94" s="420" t="str">
        <f>AK94/AJ94</f>
        <v>0</v>
      </c>
      <c r="AM94" s="343"/>
      <c r="AN94" s="421"/>
      <c r="AO94" s="427" t="str">
        <f>AN94/AM94</f>
        <v>0</v>
      </c>
      <c r="AP94" s="428">
        <f>AVERAGE(F94,I94,L94,O94,R94,U94,X94,AA94,AD94,AG94,AJ94,AM94)</f>
        <v>17</v>
      </c>
      <c r="AQ94" s="428">
        <f>SUM(G94,J94,M94,P94,S94,V94,Y94,AB94,AE94,AH94,AK94,AN94)</f>
        <v>0</v>
      </c>
      <c r="AR94" s="429">
        <f>AQ94/AP94</f>
        <v>0</v>
      </c>
      <c r="AS94" s="390"/>
      <c r="AT94" s="391"/>
      <c r="AU94" s="390"/>
      <c r="AV94" s="390"/>
      <c r="AW94" s="392"/>
    </row>
    <row r="95" spans="1:49" customHeight="1" ht="16.9" outlineLevel="1" s="371" customFormat="1">
      <c r="A95" s="453" t="s">
        <v>3022</v>
      </c>
      <c r="B95" s="455">
        <v>0.0</v>
      </c>
      <c r="C95" s="455">
        <f>B95/12*$C$14</f>
        <v>0</v>
      </c>
      <c r="D95" s="452">
        <f>AR95</f>
        <v>0</v>
      </c>
      <c r="E95" s="489">
        <f>IF(D95&gt;0%,C95/D95,100%)</f>
        <v>1</v>
      </c>
      <c r="F95" s="120">
        <v>1</v>
      </c>
      <c r="G95" s="421"/>
      <c r="H95" s="420">
        <f>G95/F95</f>
        <v>0</v>
      </c>
      <c r="I95" s="343">
        <v>1</v>
      </c>
      <c r="J95" s="343"/>
      <c r="K95" s="420">
        <f>J95/I95</f>
        <v>0</v>
      </c>
      <c r="L95" s="343">
        <v>1</v>
      </c>
      <c r="M95" s="343"/>
      <c r="N95" s="420">
        <f>M95/L95</f>
        <v>0</v>
      </c>
      <c r="O95" s="343">
        <v>1</v>
      </c>
      <c r="P95" s="343"/>
      <c r="Q95" s="420">
        <f>P95/O95</f>
        <v>0</v>
      </c>
      <c r="R95" s="343">
        <v>1</v>
      </c>
      <c r="S95" s="343"/>
      <c r="T95" s="420">
        <f>S95/R95</f>
        <v>0</v>
      </c>
      <c r="U95" s="343"/>
      <c r="V95" s="343"/>
      <c r="W95" s="420" t="str">
        <f>V95/U95</f>
        <v>0</v>
      </c>
      <c r="X95" s="343"/>
      <c r="Y95" s="343"/>
      <c r="Z95" s="420" t="str">
        <f>Y95/X95</f>
        <v>0</v>
      </c>
      <c r="AA95" s="343"/>
      <c r="AB95" s="343"/>
      <c r="AC95" s="420" t="str">
        <f>AB95/AA95</f>
        <v>0</v>
      </c>
      <c r="AD95" s="343"/>
      <c r="AE95" s="343"/>
      <c r="AF95" s="420" t="str">
        <f>AE95/AD95</f>
        <v>0</v>
      </c>
      <c r="AG95" s="343"/>
      <c r="AH95" s="421"/>
      <c r="AI95" s="420" t="str">
        <f>AH95/AG95</f>
        <v>0</v>
      </c>
      <c r="AJ95" s="343"/>
      <c r="AK95" s="421"/>
      <c r="AL95" s="420" t="str">
        <f>AK95/AJ95</f>
        <v>0</v>
      </c>
      <c r="AM95" s="343"/>
      <c r="AN95" s="421"/>
      <c r="AO95" s="427" t="str">
        <f>AN95/AM95</f>
        <v>0</v>
      </c>
      <c r="AP95" s="428">
        <f>AVERAGE(F95,I95,L95,O95,R95,U95,X95,AA95,AD95,AG95,AJ95,AM95)</f>
        <v>1</v>
      </c>
      <c r="AQ95" s="428">
        <f>SUM(G95,J95,M95,P95,S95,V95,Y95,AB95,AE95,AH95,AK95,AN95)</f>
        <v>0</v>
      </c>
      <c r="AR95" s="429">
        <f>AQ95/AP95</f>
        <v>0</v>
      </c>
      <c r="AS95" s="390"/>
      <c r="AT95" s="391"/>
      <c r="AU95" s="390"/>
      <c r="AV95" s="390"/>
      <c r="AW95" s="392"/>
    </row>
    <row r="96" spans="1:49" customHeight="1" ht="16.5" s="29" customFormat="1">
      <c r="A96" s="689" t="s">
        <v>3004</v>
      </c>
      <c r="B96" s="438"/>
      <c r="C96" s="438"/>
      <c r="D96" s="439"/>
      <c r="E96" s="440"/>
      <c r="F96" s="690">
        <f>F17+F19+F20+F21+F22+F26+F35+F36+F42+F43+F48+F54+F57+F61+F65+F68+F73+F89+F93</f>
        <v>471</v>
      </c>
      <c r="G96" s="690">
        <f>SUM(G17:G95)</f>
        <v>14</v>
      </c>
      <c r="H96" s="691">
        <f>G96/F96</f>
        <v>0.029723991507431</v>
      </c>
      <c r="I96" s="690">
        <f>I17+I19+I20+I21+I22+I26+I35+I36+I42+I43+I48+I54+I57+I61+I65+I68+I73+I89+I93</f>
        <v>465</v>
      </c>
      <c r="J96" s="690">
        <f>J22+J35+J26+J36+J41+J57+J61+J65+J68+J73+J89+J93</f>
        <v>12</v>
      </c>
      <c r="K96" s="691">
        <f>J96/I96</f>
        <v>0.025806451612903</v>
      </c>
      <c r="L96" s="690">
        <f>L17+L19+L20+L21+L22+L26+L35+L36+L42+L43+L48+L54+L57+L61+L65+L68+L73+L89+L93</f>
        <v>472</v>
      </c>
      <c r="M96" s="690">
        <f>M22+M35+M26+M36+M41+M57+M61+M65+M68+M73+M80+M85+M89+M93</f>
        <v>8</v>
      </c>
      <c r="N96" s="691">
        <f>M96/L96</f>
        <v>0.016949152542373</v>
      </c>
      <c r="O96" s="690">
        <f>O17+O19+O20+O21+O22+O26+O35+O36+O42+O43+O48+O54+O57+O61+O65+O68+O73+O89+O93</f>
        <v>431</v>
      </c>
      <c r="P96" s="690">
        <f>P22+P35+P26+P36+P41+P57+P61+P65+P68+P73+P80+P85+P89+P93</f>
        <v>7</v>
      </c>
      <c r="Q96" s="691">
        <f>P96/O96</f>
        <v>0.016241299303944</v>
      </c>
      <c r="R96" s="690"/>
      <c r="S96" s="690"/>
      <c r="T96" s="692"/>
      <c r="U96" s="690"/>
      <c r="V96" s="690"/>
      <c r="W96" s="692"/>
      <c r="X96" s="690"/>
      <c r="Y96" s="690"/>
      <c r="Z96" s="692"/>
      <c r="AA96" s="690"/>
      <c r="AB96" s="690"/>
      <c r="AC96" s="692"/>
      <c r="AD96" s="690"/>
      <c r="AE96" s="690"/>
      <c r="AF96" s="691"/>
      <c r="AG96" s="693"/>
      <c r="AH96" s="694"/>
      <c r="AI96" s="691"/>
      <c r="AJ96" s="693"/>
      <c r="AK96" s="694"/>
      <c r="AL96" s="691"/>
      <c r="AM96" s="693"/>
      <c r="AN96" s="694"/>
      <c r="AO96" s="695"/>
      <c r="AP96" s="696"/>
      <c r="AQ96" s="696"/>
      <c r="AR96" s="697"/>
      <c r="AS96" s="390"/>
      <c r="AT96" s="391"/>
      <c r="AU96" s="390"/>
      <c r="AV96" s="390"/>
      <c r="AW96" s="392"/>
    </row>
    <row r="98" spans="1:49" customHeight="1" ht="36" s="29" customFormat="1">
      <c r="A98" s="165" t="s">
        <v>3068</v>
      </c>
      <c r="B98" s="749" t="s">
        <v>2983</v>
      </c>
      <c r="C98" s="749" t="s">
        <v>2984</v>
      </c>
      <c r="D98" s="749" t="s">
        <v>2985</v>
      </c>
      <c r="E98" s="749" t="s">
        <v>2986</v>
      </c>
      <c r="F98" s="758" t="s">
        <v>2987</v>
      </c>
      <c r="G98" s="758"/>
      <c r="H98" s="758"/>
      <c r="I98" s="758" t="s">
        <v>2988</v>
      </c>
      <c r="J98" s="758"/>
      <c r="K98" s="758"/>
      <c r="L98" s="758" t="s">
        <v>2989</v>
      </c>
      <c r="M98" s="758"/>
      <c r="N98" s="758"/>
      <c r="O98" s="758" t="s">
        <v>2990</v>
      </c>
      <c r="P98" s="758"/>
      <c r="Q98" s="758"/>
      <c r="R98" s="758" t="s">
        <v>2991</v>
      </c>
      <c r="S98" s="758"/>
      <c r="T98" s="758"/>
      <c r="U98" s="758" t="s">
        <v>2992</v>
      </c>
      <c r="V98" s="758"/>
      <c r="W98" s="758"/>
      <c r="X98" s="758" t="s">
        <v>2993</v>
      </c>
      <c r="Y98" s="758"/>
      <c r="Z98" s="758"/>
      <c r="AA98" s="758" t="s">
        <v>2994</v>
      </c>
      <c r="AB98" s="758"/>
      <c r="AC98" s="758"/>
      <c r="AD98" s="758" t="s">
        <v>2995</v>
      </c>
      <c r="AE98" s="758"/>
      <c r="AF98" s="758"/>
      <c r="AG98" s="758" t="s">
        <v>2996</v>
      </c>
      <c r="AH98" s="758"/>
      <c r="AI98" s="758"/>
      <c r="AJ98" s="758" t="s">
        <v>2997</v>
      </c>
      <c r="AK98" s="758"/>
      <c r="AL98" s="758"/>
      <c r="AM98" s="758" t="s">
        <v>2998</v>
      </c>
      <c r="AN98" s="758"/>
      <c r="AO98" s="758"/>
      <c r="AP98" s="759" t="s">
        <v>2999</v>
      </c>
      <c r="AQ98" s="759"/>
      <c r="AR98" s="759"/>
    </row>
    <row r="99" spans="1:49" customHeight="1" ht="16.9" outlineLevel="1">
      <c r="A99" s="84" t="s">
        <v>122</v>
      </c>
      <c r="B99" s="749"/>
      <c r="C99" s="749"/>
      <c r="D99" s="749"/>
      <c r="E99" s="749"/>
      <c r="F99" s="346" t="s">
        <v>3000</v>
      </c>
      <c r="G99" s="346" t="s">
        <v>3001</v>
      </c>
      <c r="H99" s="346" t="s">
        <v>3002</v>
      </c>
      <c r="I99" s="346" t="s">
        <v>3000</v>
      </c>
      <c r="J99" s="346" t="s">
        <v>3001</v>
      </c>
      <c r="K99" s="346" t="s">
        <v>3002</v>
      </c>
      <c r="L99" s="346" t="s">
        <v>3000</v>
      </c>
      <c r="M99" s="346" t="s">
        <v>3001</v>
      </c>
      <c r="N99" s="346" t="s">
        <v>3002</v>
      </c>
      <c r="O99" s="346" t="s">
        <v>3000</v>
      </c>
      <c r="P99" s="346" t="s">
        <v>3001</v>
      </c>
      <c r="Q99" s="346" t="s">
        <v>3002</v>
      </c>
      <c r="R99" s="346" t="s">
        <v>3000</v>
      </c>
      <c r="S99" s="346" t="s">
        <v>3001</v>
      </c>
      <c r="T99" s="346" t="s">
        <v>3002</v>
      </c>
      <c r="U99" s="346" t="s">
        <v>3000</v>
      </c>
      <c r="V99" s="346" t="s">
        <v>3001</v>
      </c>
      <c r="W99" s="346" t="s">
        <v>3002</v>
      </c>
      <c r="X99" s="346" t="s">
        <v>3000</v>
      </c>
      <c r="Y99" s="346" t="s">
        <v>3001</v>
      </c>
      <c r="Z99" s="346" t="s">
        <v>3002</v>
      </c>
      <c r="AA99" s="346" t="s">
        <v>3000</v>
      </c>
      <c r="AB99" s="346" t="s">
        <v>3001</v>
      </c>
      <c r="AC99" s="346" t="s">
        <v>3002</v>
      </c>
      <c r="AD99" s="346" t="s">
        <v>3000</v>
      </c>
      <c r="AE99" s="346" t="s">
        <v>3001</v>
      </c>
      <c r="AF99" s="346" t="s">
        <v>3002</v>
      </c>
      <c r="AG99" s="346" t="s">
        <v>3000</v>
      </c>
      <c r="AH99" s="346" t="s">
        <v>3001</v>
      </c>
      <c r="AI99" s="346" t="s">
        <v>3002</v>
      </c>
      <c r="AJ99" s="346" t="s">
        <v>3000</v>
      </c>
      <c r="AK99" s="346" t="s">
        <v>3001</v>
      </c>
      <c r="AL99" s="346" t="s">
        <v>3002</v>
      </c>
      <c r="AM99" s="346" t="s">
        <v>3000</v>
      </c>
      <c r="AN99" s="346" t="s">
        <v>3001</v>
      </c>
      <c r="AO99" s="346" t="s">
        <v>3002</v>
      </c>
      <c r="AP99" s="346" t="s">
        <v>3000</v>
      </c>
      <c r="AQ99" s="346" t="s">
        <v>3001</v>
      </c>
      <c r="AR99" s="346" t="s">
        <v>3002</v>
      </c>
      <c r="AS99" t="s">
        <v>3069</v>
      </c>
    </row>
    <row r="100" spans="1:49" customHeight="1" ht="20.25" outlineLevel="1">
      <c r="A100" s="460" t="s">
        <v>135</v>
      </c>
      <c r="B100" s="462">
        <v>0.15</v>
      </c>
      <c r="C100" s="462">
        <f>B100/12*$C$14</f>
        <v>0.0625</v>
      </c>
      <c r="D100" s="462">
        <f>C100/12*$C$14</f>
        <v>0.026041666666667</v>
      </c>
      <c r="E100" s="505">
        <f>IF(D100&gt;0%,C100/D100,100%)</f>
        <v>2.4</v>
      </c>
      <c r="F100" s="343"/>
      <c r="G100" s="421"/>
      <c r="H100" s="420">
        <v>0.0</v>
      </c>
      <c r="I100" s="343">
        <v>2</v>
      </c>
      <c r="J100" s="345"/>
      <c r="K100" s="344">
        <f>J100/I100</f>
        <v>0</v>
      </c>
      <c r="L100" s="343">
        <v>1</v>
      </c>
      <c r="M100" s="346"/>
      <c r="N100" s="344">
        <f>M100/L100</f>
        <v>0</v>
      </c>
      <c r="O100" s="343">
        <v>3</v>
      </c>
      <c r="P100" s="345">
        <v>1</v>
      </c>
      <c r="Q100" s="344">
        <f>P100/O100</f>
        <v>0.33333333333333</v>
      </c>
      <c r="R100" s="343"/>
      <c r="S100" s="345"/>
      <c r="T100" s="344" t="str">
        <f>S100/R100</f>
        <v>0</v>
      </c>
      <c r="U100" s="343"/>
      <c r="V100" s="345"/>
      <c r="W100" s="344" t="str">
        <f>V100/U100</f>
        <v>0</v>
      </c>
      <c r="X100" s="343"/>
      <c r="Y100" s="345"/>
      <c r="Z100" s="344" t="str">
        <f>Y100/X100</f>
        <v>0</v>
      </c>
      <c r="AA100" s="343"/>
      <c r="AB100" s="345"/>
      <c r="AC100" s="344" t="str">
        <f>AB100/AA100</f>
        <v>0</v>
      </c>
      <c r="AD100" s="343"/>
      <c r="AE100" s="345"/>
      <c r="AF100" s="344" t="str">
        <f>AE100/AD100</f>
        <v>0</v>
      </c>
      <c r="AG100" s="343"/>
      <c r="AH100" s="345"/>
      <c r="AI100" s="344" t="str">
        <f>AH100/AG100</f>
        <v>0</v>
      </c>
      <c r="AJ100" s="343"/>
      <c r="AK100" s="345"/>
      <c r="AL100" s="344" t="str">
        <f>AK100/AJ100</f>
        <v>0</v>
      </c>
      <c r="AM100" s="343"/>
      <c r="AN100" s="345"/>
      <c r="AO100" s="347" t="str">
        <f>AN100/AM100</f>
        <v>0</v>
      </c>
      <c r="AP100" s="348">
        <f>F100+I100+L100+O100+R100+U100+X100+AA100+AD100+AG100+AJ100+AM100</f>
        <v>6</v>
      </c>
      <c r="AQ100" s="348">
        <f>SUM(G100,J100,M100,P100,S100,V100,Y100,AB100,AE100,AH100,AK100,AN100)</f>
        <v>1</v>
      </c>
      <c r="AR100" s="349">
        <f>AQ100/AP100</f>
        <v>0.16666666666667</v>
      </c>
      <c r="AS100" s="357">
        <v>9</v>
      </c>
      <c r="AT100" s="357">
        <f>AS100*0.15</f>
        <v>1.35</v>
      </c>
    </row>
    <row r="101" spans="1:49" customHeight="1" ht="17.25" outlineLevel="1">
      <c r="A101" s="393" t="s">
        <v>560</v>
      </c>
      <c r="B101" s="395">
        <v>0.18</v>
      </c>
      <c r="C101" s="395">
        <f>B101/12*$C$14</f>
        <v>0.075</v>
      </c>
      <c r="D101" s="395">
        <f>C101/12*$C$14</f>
        <v>0.03125</v>
      </c>
      <c r="E101" s="506">
        <f>IF(D101&gt;0%,C101/D101,100%)</f>
        <v>2.4</v>
      </c>
      <c r="F101" s="343">
        <v>0.0</v>
      </c>
      <c r="G101" s="343">
        <v>0.0</v>
      </c>
      <c r="H101" s="420">
        <v>0.0</v>
      </c>
      <c r="I101" s="343"/>
      <c r="J101" s="345"/>
      <c r="K101" s="344">
        <v>0.0</v>
      </c>
      <c r="L101" s="343"/>
      <c r="M101" s="346"/>
      <c r="N101" s="344">
        <v>0.0</v>
      </c>
      <c r="O101" s="343"/>
      <c r="P101" s="345"/>
      <c r="Q101" s="344" t="str">
        <f>P101/O101</f>
        <v>0</v>
      </c>
      <c r="R101" s="343"/>
      <c r="S101" s="345"/>
      <c r="T101" s="344" t="str">
        <f>S101/R101</f>
        <v>0</v>
      </c>
      <c r="U101" s="343"/>
      <c r="V101" s="345"/>
      <c r="W101" s="344" t="str">
        <f>V101/U101</f>
        <v>0</v>
      </c>
      <c r="X101" s="343"/>
      <c r="Y101" s="345"/>
      <c r="Z101" s="344" t="str">
        <f>Y101/X101</f>
        <v>0</v>
      </c>
      <c r="AA101" s="343"/>
      <c r="AB101" s="345"/>
      <c r="AC101" s="344" t="str">
        <f>AB101/AA101</f>
        <v>0</v>
      </c>
      <c r="AD101" s="343"/>
      <c r="AE101" s="345"/>
      <c r="AF101" s="344" t="str">
        <f>AE101/AD101</f>
        <v>0</v>
      </c>
      <c r="AG101" s="343"/>
      <c r="AH101" s="345"/>
      <c r="AI101" s="344" t="str">
        <f>AH101/AG101</f>
        <v>0</v>
      </c>
      <c r="AJ101" s="343"/>
      <c r="AK101" s="345"/>
      <c r="AL101" s="344" t="str">
        <f>AK101/AJ101</f>
        <v>0</v>
      </c>
      <c r="AM101" s="343"/>
      <c r="AN101" s="345"/>
      <c r="AO101" s="347" t="str">
        <f>AN101/AM101</f>
        <v>0</v>
      </c>
      <c r="AP101" s="348">
        <f>F101+I101+L101+O101+R101+U101+X101+AA101+AD101+AG101+AJ101+AM101</f>
        <v>0</v>
      </c>
      <c r="AQ101" s="348">
        <f>SUM(G101,J101,M101,P101,S101,V101,Y101,AB101,AE101,AH101,AK101,AN101)</f>
        <v>0</v>
      </c>
      <c r="AR101" s="349" t="str">
        <f>AQ101/AP101</f>
        <v>0</v>
      </c>
      <c r="AS101" s="357">
        <v>1</v>
      </c>
      <c r="AT101" s="357">
        <f>AS101*0.15</f>
        <v>0.15</v>
      </c>
    </row>
    <row r="102" spans="1:49" customHeight="1" ht="17.25" outlineLevel="1">
      <c r="A102" s="453" t="s">
        <v>3008</v>
      </c>
      <c r="B102" s="452">
        <v>0.1</v>
      </c>
      <c r="C102" s="452">
        <f>B102/12*$C$14</f>
        <v>0.041666666666667</v>
      </c>
      <c r="D102" s="452">
        <f>C102/12*$C$14</f>
        <v>0.017361111111111</v>
      </c>
      <c r="E102" s="454">
        <f>IF(D102&gt;0%,C102/D102,100%)</f>
        <v>2.4</v>
      </c>
      <c r="F102" s="343">
        <v>0.0</v>
      </c>
      <c r="G102" s="343"/>
      <c r="H102" s="420">
        <v>0.0</v>
      </c>
      <c r="I102" s="343"/>
      <c r="J102" s="345"/>
      <c r="K102" s="344">
        <v>0.0</v>
      </c>
      <c r="L102" s="343"/>
      <c r="M102" s="346"/>
      <c r="N102" s="344">
        <v>0.0</v>
      </c>
      <c r="O102" s="343"/>
      <c r="P102" s="345"/>
      <c r="Q102" s="344" t="str">
        <f>P102/O102</f>
        <v>0</v>
      </c>
      <c r="R102" s="343"/>
      <c r="S102" s="345"/>
      <c r="T102" s="344" t="str">
        <f>S102/R102</f>
        <v>0</v>
      </c>
      <c r="U102" s="343"/>
      <c r="V102" s="345"/>
      <c r="W102" s="344" t="str">
        <f>V102/U102</f>
        <v>0</v>
      </c>
      <c r="X102" s="343"/>
      <c r="Y102" s="345"/>
      <c r="Z102" s="344" t="str">
        <f>Y102/X102</f>
        <v>0</v>
      </c>
      <c r="AA102" s="343"/>
      <c r="AB102" s="345"/>
      <c r="AC102" s="344" t="str">
        <f>AB102/AA102</f>
        <v>0</v>
      </c>
      <c r="AD102" s="343"/>
      <c r="AE102" s="345"/>
      <c r="AF102" s="344" t="str">
        <f>AE102/AD102</f>
        <v>0</v>
      </c>
      <c r="AG102" s="343"/>
      <c r="AH102" s="345"/>
      <c r="AI102" s="344" t="str">
        <f>AH102/AG102</f>
        <v>0</v>
      </c>
      <c r="AJ102" s="343"/>
      <c r="AK102" s="345"/>
      <c r="AL102" s="344" t="str">
        <f>AK102/AJ102</f>
        <v>0</v>
      </c>
      <c r="AM102" s="343"/>
      <c r="AN102" s="345"/>
      <c r="AO102" s="347" t="str">
        <f>AN102/AM102</f>
        <v>0</v>
      </c>
      <c r="AP102" s="348">
        <f>F102+I102+L102+O102+R102+U102+X102+AA102+AD102+AG102+AJ102+AM102</f>
        <v>0</v>
      </c>
      <c r="AQ102" s="348">
        <f>SUM(G102,J102,M102,P102,S102,V102,Y102,AB102,AE102,AH102,AK102,AN102)</f>
        <v>0</v>
      </c>
      <c r="AR102" s="349" t="str">
        <f>AQ102/AP102</f>
        <v>0</v>
      </c>
      <c r="AS102" s="357" t="e">
        <v>#REF!</v>
      </c>
      <c r="AT102" s="357" t="str">
        <f>AS102*0.15</f>
        <v>0</v>
      </c>
    </row>
    <row r="103" spans="1:49" customHeight="1" ht="17.25" outlineLevel="1">
      <c r="A103" s="453" t="s">
        <v>152</v>
      </c>
      <c r="B103" s="452">
        <v>0.04</v>
      </c>
      <c r="C103" s="452">
        <f>B103/12*$C$14</f>
        <v>0.016666666666667</v>
      </c>
      <c r="D103" s="452">
        <f>C103/12*$C$14</f>
        <v>0.0069444444444444</v>
      </c>
      <c r="E103" s="454">
        <f>IF(D103&gt;0%,C103/D103,100%)</f>
        <v>2.4</v>
      </c>
      <c r="F103" s="343">
        <v>0.0</v>
      </c>
      <c r="G103" s="343"/>
      <c r="H103" s="420">
        <v>0.0</v>
      </c>
      <c r="I103" s="343"/>
      <c r="J103" s="345"/>
      <c r="K103" s="344">
        <v>0.0</v>
      </c>
      <c r="L103" s="343"/>
      <c r="M103" s="346"/>
      <c r="N103" s="344">
        <v>0.0</v>
      </c>
      <c r="O103" s="343"/>
      <c r="P103" s="345"/>
      <c r="Q103" s="344" t="str">
        <f>P103/O103</f>
        <v>0</v>
      </c>
      <c r="R103" s="343"/>
      <c r="S103" s="345"/>
      <c r="T103" s="344" t="str">
        <f>S103/R103</f>
        <v>0</v>
      </c>
      <c r="U103" s="343"/>
      <c r="V103" s="345"/>
      <c r="W103" s="344" t="str">
        <f>V103/U103</f>
        <v>0</v>
      </c>
      <c r="X103" s="343"/>
      <c r="Y103" s="345"/>
      <c r="Z103" s="344" t="str">
        <f>Y103/X103</f>
        <v>0</v>
      </c>
      <c r="AA103" s="343"/>
      <c r="AB103" s="345"/>
      <c r="AC103" s="344" t="str">
        <f>AB103/AA103</f>
        <v>0</v>
      </c>
      <c r="AD103" s="343"/>
      <c r="AE103" s="345"/>
      <c r="AF103" s="344" t="str">
        <f>AE103/AD103</f>
        <v>0</v>
      </c>
      <c r="AG103" s="343"/>
      <c r="AH103" s="345"/>
      <c r="AI103" s="344" t="str">
        <f>AH103/AG103</f>
        <v>0</v>
      </c>
      <c r="AJ103" s="343"/>
      <c r="AK103" s="345"/>
      <c r="AL103" s="344" t="str">
        <f>AK103/AJ103</f>
        <v>0</v>
      </c>
      <c r="AM103" s="343"/>
      <c r="AN103" s="345"/>
      <c r="AO103" s="347" t="str">
        <f>AN103/AM103</f>
        <v>0</v>
      </c>
      <c r="AP103" s="348">
        <f>F103+I103+L103+O103+R103+U103+X103+AA103+AD103+AG103+AJ103+AM103</f>
        <v>0</v>
      </c>
      <c r="AQ103" s="348">
        <f>SUM(G103,J103,M103,P103,S103,V103,Y103,AB103,AE103,AH103,AK103,AN103)</f>
        <v>0</v>
      </c>
      <c r="AR103" s="349" t="str">
        <f>AQ103/AP103</f>
        <v>0</v>
      </c>
      <c r="AS103" s="357">
        <v>5</v>
      </c>
      <c r="AT103" s="357">
        <f>AS103*0.15</f>
        <v>0.75</v>
      </c>
    </row>
    <row r="104" spans="1:49" customHeight="1" ht="17.25" outlineLevel="1">
      <c r="A104" s="453" t="s">
        <v>453</v>
      </c>
      <c r="B104" s="452">
        <v>0.03</v>
      </c>
      <c r="C104" s="452">
        <f>B104/12*$C$14</f>
        <v>0.0125</v>
      </c>
      <c r="D104" s="452">
        <f>C104/12*$C$14</f>
        <v>0.0052083333333333</v>
      </c>
      <c r="E104" s="454">
        <f>IF(D104&gt;0%,C104/D104,100%)</f>
        <v>2.4</v>
      </c>
      <c r="F104" s="343">
        <v>0.0</v>
      </c>
      <c r="G104" s="343"/>
      <c r="H104" s="420">
        <v>0.0</v>
      </c>
      <c r="I104" s="343"/>
      <c r="J104" s="345"/>
      <c r="K104" s="344">
        <v>0.0</v>
      </c>
      <c r="L104" s="343"/>
      <c r="M104" s="346"/>
      <c r="N104" s="344">
        <v>0.0</v>
      </c>
      <c r="O104" s="343"/>
      <c r="P104" s="345"/>
      <c r="Q104" s="344" t="str">
        <f>P104/O104</f>
        <v>0</v>
      </c>
      <c r="R104" s="343"/>
      <c r="S104" s="345"/>
      <c r="T104" s="344" t="str">
        <f>S104/R104</f>
        <v>0</v>
      </c>
      <c r="U104" s="343"/>
      <c r="V104" s="345"/>
      <c r="W104" s="344" t="str">
        <f>V104/U104</f>
        <v>0</v>
      </c>
      <c r="X104" s="343"/>
      <c r="Y104" s="345"/>
      <c r="Z104" s="344" t="str">
        <f>Y104/X104</f>
        <v>0</v>
      </c>
      <c r="AA104" s="343"/>
      <c r="AB104" s="345"/>
      <c r="AC104" s="344" t="str">
        <f>AB104/AA104</f>
        <v>0</v>
      </c>
      <c r="AD104" s="343"/>
      <c r="AE104" s="345"/>
      <c r="AF104" s="344" t="str">
        <f>AE104/AD104</f>
        <v>0</v>
      </c>
      <c r="AG104" s="343"/>
      <c r="AH104" s="345"/>
      <c r="AI104" s="344" t="str">
        <f>AH104/AG104</f>
        <v>0</v>
      </c>
      <c r="AJ104" s="343"/>
      <c r="AK104" s="345"/>
      <c r="AL104" s="344" t="str">
        <f>AK104/AJ104</f>
        <v>0</v>
      </c>
      <c r="AM104" s="343"/>
      <c r="AN104" s="345"/>
      <c r="AO104" s="347" t="str">
        <f>AN104/AM104</f>
        <v>0</v>
      </c>
      <c r="AP104" s="348">
        <f>F104+I104+L104+O104+R104+U104+X104+AA104+AD104+AG104+AJ104+AM104</f>
        <v>0</v>
      </c>
      <c r="AQ104" s="348">
        <f>SUM(G104,J104,M104,P104,S104,V104,Y104,AB104,AE104,AH104,AK104,AN104)</f>
        <v>0</v>
      </c>
      <c r="AR104" s="349" t="str">
        <f>AQ104/AP104</f>
        <v>0</v>
      </c>
      <c r="AS104" s="357">
        <v>9</v>
      </c>
      <c r="AT104" s="357">
        <f>AS104*0.15</f>
        <v>1.35</v>
      </c>
    </row>
    <row r="105" spans="1:49" customHeight="1" ht="17.25" outlineLevel="1">
      <c r="A105" s="393" t="s">
        <v>182</v>
      </c>
      <c r="B105" s="395">
        <v>0.1</v>
      </c>
      <c r="C105" s="395">
        <f>B105/12*$C$14</f>
        <v>0.041666666666667</v>
      </c>
      <c r="D105" s="451">
        <f>C105/12*$C$14</f>
        <v>0.017361111111111</v>
      </c>
      <c r="E105" s="506">
        <f>IF(D105&gt;0%,C105/D105,100%)</f>
        <v>2.4</v>
      </c>
      <c r="F105" s="120">
        <v>0.0</v>
      </c>
      <c r="G105" s="421"/>
      <c r="H105" s="420">
        <v>0.0</v>
      </c>
      <c r="I105" s="343"/>
      <c r="J105" s="345"/>
      <c r="K105" s="344">
        <v>0.0</v>
      </c>
      <c r="L105" s="343"/>
      <c r="M105" s="346"/>
      <c r="N105" s="344">
        <v>0.0</v>
      </c>
      <c r="O105" s="343"/>
      <c r="P105" s="345"/>
      <c r="Q105" s="344" t="str">
        <f>P105/O105</f>
        <v>0</v>
      </c>
      <c r="R105" s="343"/>
      <c r="S105" s="345"/>
      <c r="T105" s="344" t="str">
        <f>S105/R105</f>
        <v>0</v>
      </c>
      <c r="U105" s="343"/>
      <c r="V105" s="345"/>
      <c r="W105" s="344" t="str">
        <f>V105/U105</f>
        <v>0</v>
      </c>
      <c r="X105" s="343"/>
      <c r="Y105" s="345"/>
      <c r="Z105" s="344" t="str">
        <f>Y105/X105</f>
        <v>0</v>
      </c>
      <c r="AA105" s="343"/>
      <c r="AB105" s="345"/>
      <c r="AC105" s="344" t="str">
        <f>AB105/AA105</f>
        <v>0</v>
      </c>
      <c r="AD105" s="343"/>
      <c r="AE105" s="345"/>
      <c r="AF105" s="344" t="str">
        <f>AE105/AD105</f>
        <v>0</v>
      </c>
      <c r="AG105" s="343"/>
      <c r="AH105" s="345"/>
      <c r="AI105" s="344" t="str">
        <f>AH105/AG105</f>
        <v>0</v>
      </c>
      <c r="AJ105" s="343"/>
      <c r="AK105" s="345"/>
      <c r="AL105" s="344" t="str">
        <f>AK105/AJ105</f>
        <v>0</v>
      </c>
      <c r="AM105" s="343"/>
      <c r="AN105" s="345"/>
      <c r="AO105" s="347" t="str">
        <f>AN105/AM105</f>
        <v>0</v>
      </c>
      <c r="AP105" s="348">
        <f>F105+I105+L105+O105+R105+U105+X105+AA105+AD105+AG105+AJ105+AM105</f>
        <v>0</v>
      </c>
      <c r="AQ105" s="348">
        <f>SUM(G105,J105,M105,P105,S105,V105,Y105,AB105,AE105,AH105,AK105,AN105)</f>
        <v>0</v>
      </c>
      <c r="AR105" s="349" t="str">
        <f>AQ105/AP105</f>
        <v>0</v>
      </c>
      <c r="AS105" s="357">
        <v>7</v>
      </c>
      <c r="AT105" s="357">
        <f>AS105*0.15</f>
        <v>1.05</v>
      </c>
    </row>
    <row r="106" spans="1:49" customHeight="1" ht="17.25" outlineLevel="1">
      <c r="A106" s="453" t="s">
        <v>3009</v>
      </c>
      <c r="B106" s="455">
        <v>0.04</v>
      </c>
      <c r="C106" s="455">
        <f>B106/12*$C$14</f>
        <v>0.016666666666667</v>
      </c>
      <c r="D106" s="452">
        <f>C106/12*$C$14</f>
        <v>0.0069444444444444</v>
      </c>
      <c r="E106" s="454">
        <f>IF(D106&gt;0%,C106/D106,100%)</f>
        <v>2.4</v>
      </c>
      <c r="F106" s="120">
        <v>0.0</v>
      </c>
      <c r="G106" s="421"/>
      <c r="H106" s="420">
        <v>0.0</v>
      </c>
      <c r="I106" s="343"/>
      <c r="J106" s="345"/>
      <c r="K106" s="344">
        <v>0.0</v>
      </c>
      <c r="L106" s="343"/>
      <c r="M106" s="346"/>
      <c r="N106" s="344">
        <v>0.0</v>
      </c>
      <c r="O106" s="343"/>
      <c r="P106" s="345"/>
      <c r="Q106" s="344" t="str">
        <f>P106/O106</f>
        <v>0</v>
      </c>
      <c r="R106" s="343"/>
      <c r="S106" s="345"/>
      <c r="T106" s="344" t="str">
        <f>S106/R106</f>
        <v>0</v>
      </c>
      <c r="U106" s="343"/>
      <c r="V106" s="345"/>
      <c r="W106" s="344" t="str">
        <f>V106/U106</f>
        <v>0</v>
      </c>
      <c r="X106" s="343"/>
      <c r="Y106" s="345"/>
      <c r="Z106" s="344" t="str">
        <f>Y106/X106</f>
        <v>0</v>
      </c>
      <c r="AA106" s="343"/>
      <c r="AB106" s="345"/>
      <c r="AC106" s="344" t="str">
        <f>AB106/AA106</f>
        <v>0</v>
      </c>
      <c r="AD106" s="343"/>
      <c r="AE106" s="345"/>
      <c r="AF106" s="344" t="str">
        <f>AE106/AD106</f>
        <v>0</v>
      </c>
      <c r="AG106" s="343"/>
      <c r="AH106" s="345"/>
      <c r="AI106" s="344" t="str">
        <f>AH106/AG106</f>
        <v>0</v>
      </c>
      <c r="AJ106" s="343"/>
      <c r="AK106" s="345"/>
      <c r="AL106" s="344" t="str">
        <f>AK106/AJ106</f>
        <v>0</v>
      </c>
      <c r="AM106" s="343"/>
      <c r="AN106" s="345"/>
      <c r="AO106" s="347" t="str">
        <f>AN106/AM106</f>
        <v>0</v>
      </c>
      <c r="AP106" s="348">
        <f>F106+I106+L106+O106+R106+U106+X106+AA106+AD106+AG106+AJ106+AM106</f>
        <v>0</v>
      </c>
      <c r="AQ106" s="348">
        <f>SUM(G106,J106,M106,P106,S106,V106,Y106,AB106,AE106,AH106,AK106,AN106)</f>
        <v>0</v>
      </c>
      <c r="AR106" s="349" t="str">
        <f>AQ106/AP106</f>
        <v>0</v>
      </c>
      <c r="AS106" s="357">
        <v>2</v>
      </c>
      <c r="AT106" s="357">
        <f>AS106*0.15</f>
        <v>0.3</v>
      </c>
    </row>
    <row r="107" spans="1:49" customHeight="1" ht="17.25" outlineLevel="1">
      <c r="A107" s="453" t="s">
        <v>3010</v>
      </c>
      <c r="B107" s="455">
        <v>0.02</v>
      </c>
      <c r="C107" s="455">
        <f>B107/12*$C$14</f>
        <v>0.0083333333333333</v>
      </c>
      <c r="D107" s="452">
        <f>C107/12*$C$14</f>
        <v>0.0034722222222222</v>
      </c>
      <c r="E107" s="454">
        <f>IF(D107&gt;0%,C107/D107,100%)</f>
        <v>2.4</v>
      </c>
      <c r="F107" s="120">
        <v>0.0</v>
      </c>
      <c r="G107" s="421"/>
      <c r="H107" s="420">
        <v>0.0</v>
      </c>
      <c r="I107" s="343"/>
      <c r="J107" s="345"/>
      <c r="K107" s="344">
        <v>0.0</v>
      </c>
      <c r="L107" s="343"/>
      <c r="M107" s="346"/>
      <c r="N107" s="344">
        <v>0.0</v>
      </c>
      <c r="O107" s="343"/>
      <c r="P107" s="345"/>
      <c r="Q107" s="344" t="str">
        <f>P107/O107</f>
        <v>0</v>
      </c>
      <c r="R107" s="343">
        <v>1</v>
      </c>
      <c r="S107" s="345"/>
      <c r="T107" s="344">
        <f>S107/R107</f>
        <v>0</v>
      </c>
      <c r="U107" s="343"/>
      <c r="V107" s="345"/>
      <c r="W107" s="344" t="str">
        <f>V107/U107</f>
        <v>0</v>
      </c>
      <c r="X107" s="343"/>
      <c r="Y107" s="345"/>
      <c r="Z107" s="344" t="str">
        <f>Y107/X107</f>
        <v>0</v>
      </c>
      <c r="AA107" s="343"/>
      <c r="AB107" s="345"/>
      <c r="AC107" s="344" t="str">
        <f>AB107/AA107</f>
        <v>0</v>
      </c>
      <c r="AD107" s="343"/>
      <c r="AE107" s="345"/>
      <c r="AF107" s="344" t="str">
        <f>AE107/AD107</f>
        <v>0</v>
      </c>
      <c r="AG107" s="343"/>
      <c r="AH107" s="345"/>
      <c r="AI107" s="344" t="str">
        <f>AH107/AG107</f>
        <v>0</v>
      </c>
      <c r="AJ107" s="343"/>
      <c r="AK107" s="345"/>
      <c r="AL107" s="344" t="str">
        <f>AK107/AJ107</f>
        <v>0</v>
      </c>
      <c r="AM107" s="343"/>
      <c r="AN107" s="345"/>
      <c r="AO107" s="347" t="str">
        <f>AN107/AM107</f>
        <v>0</v>
      </c>
      <c r="AP107" s="348">
        <f>F107+I107+L107+O107+R107+U107+X107+AA107+AD107+AG107+AJ107+AM107</f>
        <v>1</v>
      </c>
      <c r="AQ107" s="348">
        <f>SUM(G107,J107,M107,P107,S107,V107,Y107,AB107,AE107,AH107,AK107,AN107)</f>
        <v>0</v>
      </c>
      <c r="AR107" s="349">
        <f>AQ107/AP107</f>
        <v>0</v>
      </c>
      <c r="AS107" s="357">
        <v>12</v>
      </c>
      <c r="AT107" s="357">
        <f>AS107*0.15</f>
        <v>1.8</v>
      </c>
    </row>
    <row r="108" spans="1:49" customHeight="1" ht="17.25" outlineLevel="1">
      <c r="A108" s="453" t="s">
        <v>3040</v>
      </c>
      <c r="B108" s="455">
        <v>0.02</v>
      </c>
      <c r="C108" s="455">
        <f>B108/12*$C$14</f>
        <v>0.0083333333333333</v>
      </c>
      <c r="D108" s="452">
        <f>C108/12*$C$14</f>
        <v>0.0034722222222222</v>
      </c>
      <c r="E108" s="454">
        <f>IF(D108&gt;0%,C108/D108,100%)</f>
        <v>2.4</v>
      </c>
      <c r="F108" s="120">
        <v>0.0</v>
      </c>
      <c r="G108" s="421"/>
      <c r="H108" s="420">
        <v>0.0</v>
      </c>
      <c r="I108" s="343"/>
      <c r="J108" s="345"/>
      <c r="K108" s="344">
        <v>0.0</v>
      </c>
      <c r="L108" s="343"/>
      <c r="M108" s="346"/>
      <c r="N108" s="344">
        <v>0.0</v>
      </c>
      <c r="O108" s="343">
        <v>1</v>
      </c>
      <c r="P108" s="345"/>
      <c r="Q108" s="344">
        <f>P108/O108</f>
        <v>0</v>
      </c>
      <c r="R108" s="343"/>
      <c r="S108" s="345"/>
      <c r="T108" s="344" t="str">
        <f>S108/R108</f>
        <v>0</v>
      </c>
      <c r="U108" s="343"/>
      <c r="V108" s="345"/>
      <c r="W108" s="344" t="str">
        <f>V108/U108</f>
        <v>0</v>
      </c>
      <c r="X108" s="343"/>
      <c r="Y108" s="345"/>
      <c r="Z108" s="344" t="str">
        <f>Y108/X108</f>
        <v>0</v>
      </c>
      <c r="AA108" s="343"/>
      <c r="AB108" s="345"/>
      <c r="AC108" s="344" t="str">
        <f>AB108/AA108</f>
        <v>0</v>
      </c>
      <c r="AD108" s="343"/>
      <c r="AE108" s="345"/>
      <c r="AF108" s="344" t="str">
        <f>AE108/AD108</f>
        <v>0</v>
      </c>
      <c r="AG108" s="343"/>
      <c r="AH108" s="345"/>
      <c r="AI108" s="344" t="str">
        <f>AH108/AG108</f>
        <v>0</v>
      </c>
      <c r="AJ108" s="343"/>
      <c r="AK108" s="345"/>
      <c r="AL108" s="344" t="str">
        <f>AK108/AJ108</f>
        <v>0</v>
      </c>
      <c r="AM108" s="343"/>
      <c r="AN108" s="345"/>
      <c r="AO108" s="347" t="str">
        <f>AN108/AM108</f>
        <v>0</v>
      </c>
      <c r="AP108" s="348">
        <f>F108+I108+L108+O108+R108+U108+X108+AA108+AD108+AG108+AJ108+AM108</f>
        <v>1</v>
      </c>
      <c r="AQ108" s="348">
        <f>SUM(G108,J108,M108,P108,S108,V108,Y108,AB108,AE108,AH108,AK108,AN108)</f>
        <v>0</v>
      </c>
      <c r="AR108" s="349">
        <f>AQ108/AP108</f>
        <v>0</v>
      </c>
      <c r="AS108" s="357">
        <v>10</v>
      </c>
      <c r="AT108" s="357">
        <f>AS108*0.15</f>
        <v>1.5</v>
      </c>
    </row>
    <row r="109" spans="1:49" customHeight="1" ht="16.9" outlineLevel="1">
      <c r="A109" s="453" t="s">
        <v>3011</v>
      </c>
      <c r="B109" s="455">
        <v>0.02</v>
      </c>
      <c r="C109" s="455">
        <f>B109/12*$C$14</f>
        <v>0.0083333333333333</v>
      </c>
      <c r="D109" s="452">
        <f>C109/12*$C$14</f>
        <v>0.0034722222222222</v>
      </c>
      <c r="E109" s="454">
        <f>IF(D109&gt;0%,C109/D109,100%)</f>
        <v>2.4</v>
      </c>
      <c r="F109" s="120">
        <v>0.0</v>
      </c>
      <c r="G109" s="421"/>
      <c r="H109" s="420">
        <v>0.0</v>
      </c>
      <c r="I109" s="343"/>
      <c r="J109" s="345"/>
      <c r="K109" s="344">
        <v>0.0</v>
      </c>
      <c r="L109" s="343"/>
      <c r="M109" s="345"/>
      <c r="N109" s="344">
        <v>0.0</v>
      </c>
      <c r="O109" s="343"/>
      <c r="P109" s="345"/>
      <c r="Q109" s="344" t="str">
        <f>P109/O109</f>
        <v>0</v>
      </c>
      <c r="R109" s="343"/>
      <c r="S109" s="345"/>
      <c r="T109" s="344" t="str">
        <f>S109/R109</f>
        <v>0</v>
      </c>
      <c r="U109" s="343"/>
      <c r="V109" s="345"/>
      <c r="W109" s="344" t="str">
        <f>V109/U109</f>
        <v>0</v>
      </c>
      <c r="X109" s="343"/>
      <c r="Y109" s="345"/>
      <c r="Z109" s="344" t="str">
        <f>Y109/X109</f>
        <v>0</v>
      </c>
      <c r="AA109" s="343"/>
      <c r="AB109" s="345"/>
      <c r="AC109" s="344" t="str">
        <f>AB109/AA109</f>
        <v>0</v>
      </c>
      <c r="AD109" s="343"/>
      <c r="AE109" s="345"/>
      <c r="AF109" s="344" t="str">
        <f>AE109/AD109</f>
        <v>0</v>
      </c>
      <c r="AG109" s="343"/>
      <c r="AH109" s="345"/>
      <c r="AI109" s="344" t="str">
        <f>AH109/AG109</f>
        <v>0</v>
      </c>
      <c r="AJ109" s="343"/>
      <c r="AK109" s="345"/>
      <c r="AL109" s="344" t="str">
        <f>AK109/AJ109</f>
        <v>0</v>
      </c>
      <c r="AM109" s="343"/>
      <c r="AN109" s="345"/>
      <c r="AO109" s="347" t="str">
        <f>AN109/AM109</f>
        <v>0</v>
      </c>
      <c r="AP109" s="348">
        <f>F109+I109+L109+O109+R109+U109+X109+AA109+AD109+AG109+AJ109+AM109</f>
        <v>0</v>
      </c>
      <c r="AQ109" s="348">
        <f>SUM(G109,J109,M109,P109,S109,V109,Y109,AB109,AE109,AH109,AK109,AN109)</f>
        <v>0</v>
      </c>
      <c r="AR109" s="349" t="str">
        <f>AQ109/AP109</f>
        <v>0</v>
      </c>
      <c r="AS109" s="357">
        <v>2</v>
      </c>
      <c r="AT109" s="357">
        <f>AS109*0.15</f>
        <v>0.3</v>
      </c>
    </row>
    <row r="110" spans="1:49" customHeight="1" ht="16.9" outlineLevel="1">
      <c r="A110" s="393" t="s">
        <v>176</v>
      </c>
      <c r="B110" s="395">
        <v>0.17</v>
      </c>
      <c r="C110" s="395">
        <f>B110/12*$C$14</f>
        <v>0.070833333333333</v>
      </c>
      <c r="D110" s="451">
        <f>C110/12*$C$14</f>
        <v>0.029513888888889</v>
      </c>
      <c r="E110" s="506">
        <f>IF(D110&gt;0%,C110/D110,100%)</f>
        <v>2.4</v>
      </c>
      <c r="F110" s="120">
        <v>0.0</v>
      </c>
      <c r="G110" s="421"/>
      <c r="H110" s="420">
        <v>0.0</v>
      </c>
      <c r="I110" s="343"/>
      <c r="J110" s="345"/>
      <c r="K110" s="344">
        <v>0.0</v>
      </c>
      <c r="L110" s="343"/>
      <c r="M110" s="346"/>
      <c r="N110" s="344">
        <v>0.0</v>
      </c>
      <c r="O110" s="343"/>
      <c r="P110" s="345"/>
      <c r="Q110" s="344" t="str">
        <f>P110/O110</f>
        <v>0</v>
      </c>
      <c r="R110" s="343"/>
      <c r="S110" s="350"/>
      <c r="T110" s="344" t="str">
        <f>S110/R110</f>
        <v>0</v>
      </c>
      <c r="U110" s="343"/>
      <c r="V110" s="345"/>
      <c r="W110" s="344" t="str">
        <f>V110/U110</f>
        <v>0</v>
      </c>
      <c r="X110" s="343"/>
      <c r="Y110" s="345"/>
      <c r="Z110" s="344" t="str">
        <f>Y110/X110</f>
        <v>0</v>
      </c>
      <c r="AA110" s="343"/>
      <c r="AB110" s="345"/>
      <c r="AC110" s="344" t="str">
        <f>AB110/AA110</f>
        <v>0</v>
      </c>
      <c r="AD110" s="343"/>
      <c r="AE110" s="345"/>
      <c r="AF110" s="344" t="str">
        <f>AE110/AD110</f>
        <v>0</v>
      </c>
      <c r="AG110" s="343"/>
      <c r="AH110" s="345"/>
      <c r="AI110" s="344" t="str">
        <f>AH110/AG110</f>
        <v>0</v>
      </c>
      <c r="AJ110" s="343"/>
      <c r="AK110" s="345"/>
      <c r="AL110" s="344" t="str">
        <f>AK110/AJ110</f>
        <v>0</v>
      </c>
      <c r="AM110" s="343"/>
      <c r="AN110" s="345"/>
      <c r="AO110" s="347" t="str">
        <f>AN110/AM110</f>
        <v>0</v>
      </c>
      <c r="AP110" s="348">
        <f>F110+I110+L110+O110+R110+U110+X110+AA110+AD110+AG110+AJ110+AM110</f>
        <v>0</v>
      </c>
      <c r="AQ110" s="348">
        <f>SUM(G110,J110,M110,P110,S110,V110,Y110,AB110,AE110,AH110,AK110,AN110)</f>
        <v>0</v>
      </c>
      <c r="AR110" s="349" t="str">
        <f>AQ110/AP110</f>
        <v>0</v>
      </c>
      <c r="AS110" s="357">
        <v>0.0</v>
      </c>
      <c r="AT110" s="357">
        <f>AS110*0.15</f>
        <v>0</v>
      </c>
    </row>
    <row r="111" spans="1:49" customHeight="1" ht="16.9" outlineLevel="1">
      <c r="A111" s="453" t="s">
        <v>3012</v>
      </c>
      <c r="B111" s="455">
        <v>0.06</v>
      </c>
      <c r="C111" s="455">
        <f>B111/12*$C$14</f>
        <v>0.025</v>
      </c>
      <c r="D111" s="452">
        <f>C111/12*$C$14</f>
        <v>0.010416666666667</v>
      </c>
      <c r="E111" s="454">
        <f>IF(D111&gt;0%,C111/D111,100%)</f>
        <v>2.4</v>
      </c>
      <c r="F111" s="120">
        <v>0.0</v>
      </c>
      <c r="G111" s="421"/>
      <c r="H111" s="420">
        <v>0.0</v>
      </c>
      <c r="I111" s="343"/>
      <c r="J111" s="345"/>
      <c r="K111" s="344">
        <v>0.0</v>
      </c>
      <c r="L111" s="343">
        <v>1</v>
      </c>
      <c r="M111" s="346"/>
      <c r="N111" s="344">
        <f>M111/L111</f>
        <v>0</v>
      </c>
      <c r="O111" s="343">
        <v>1</v>
      </c>
      <c r="P111" s="345"/>
      <c r="Q111" s="344">
        <f>P111/O111</f>
        <v>0</v>
      </c>
      <c r="R111" s="343"/>
      <c r="S111" s="345"/>
      <c r="T111" s="344" t="str">
        <f>S111/R111</f>
        <v>0</v>
      </c>
      <c r="U111" s="343"/>
      <c r="V111" s="345"/>
      <c r="W111" s="344" t="str">
        <f>V111/U111</f>
        <v>0</v>
      </c>
      <c r="X111" s="343"/>
      <c r="Y111" s="345"/>
      <c r="Z111" s="344" t="str">
        <f>Y111/X111</f>
        <v>0</v>
      </c>
      <c r="AA111" s="343"/>
      <c r="AB111" s="345"/>
      <c r="AC111" s="344" t="str">
        <f>AB111/AA111</f>
        <v>0</v>
      </c>
      <c r="AD111" s="343"/>
      <c r="AE111" s="345"/>
      <c r="AF111" s="344" t="str">
        <f>AE111/AD111</f>
        <v>0</v>
      </c>
      <c r="AG111" s="343"/>
      <c r="AH111" s="345"/>
      <c r="AI111" s="344" t="str">
        <f>AH111/AG111</f>
        <v>0</v>
      </c>
      <c r="AJ111" s="343"/>
      <c r="AK111" s="345"/>
      <c r="AL111" s="344" t="str">
        <f>AK111/AJ111</f>
        <v>0</v>
      </c>
      <c r="AM111" s="343"/>
      <c r="AN111" s="345"/>
      <c r="AO111" s="347" t="str">
        <f>AN111/AM111</f>
        <v>0</v>
      </c>
      <c r="AP111" s="348">
        <f>F111+I111+L111+O111+R111+U111+X111+AA111+AD111+AG111+AJ111+AM111</f>
        <v>2</v>
      </c>
      <c r="AQ111" s="348">
        <f>SUM(G111,J111,M111,P111,S111,V111,Y111,AB111,AE111,AH111,AK111,AN111)</f>
        <v>0</v>
      </c>
      <c r="AR111" s="349">
        <f>AQ111/AP111</f>
        <v>0</v>
      </c>
      <c r="AS111" s="357">
        <v>2</v>
      </c>
      <c r="AT111" s="357">
        <f>AS111*0.15</f>
        <v>0.3</v>
      </c>
    </row>
    <row r="112" spans="1:49" customHeight="1" ht="16.9" outlineLevel="1">
      <c r="A112" s="453" t="s">
        <v>3013</v>
      </c>
      <c r="B112" s="455">
        <v>0.03</v>
      </c>
      <c r="C112" s="455">
        <f>B112/12*$C$14</f>
        <v>0.0125</v>
      </c>
      <c r="D112" s="452">
        <f>C112/12*$C$14</f>
        <v>0.0052083333333333</v>
      </c>
      <c r="E112" s="454">
        <f>IF(D112&gt;0%,C112/D112,100%)</f>
        <v>2.4</v>
      </c>
      <c r="F112" s="120">
        <v>0.0</v>
      </c>
      <c r="G112" s="421"/>
      <c r="H112" s="420">
        <v>0.0</v>
      </c>
      <c r="I112" s="343"/>
      <c r="J112" s="345"/>
      <c r="K112" s="344">
        <v>0.0</v>
      </c>
      <c r="L112" s="343"/>
      <c r="M112" s="346"/>
      <c r="N112" s="344" t="str">
        <f>M112/L112</f>
        <v>0</v>
      </c>
      <c r="O112" s="343"/>
      <c r="P112" s="345"/>
      <c r="Q112" s="344" t="str">
        <f>P112/O112</f>
        <v>0</v>
      </c>
      <c r="R112" s="343"/>
      <c r="S112" s="345"/>
      <c r="T112" s="344" t="str">
        <f>S112/R112</f>
        <v>0</v>
      </c>
      <c r="U112" s="343"/>
      <c r="V112" s="345"/>
      <c r="W112" s="344" t="str">
        <f>V112/U112</f>
        <v>0</v>
      </c>
      <c r="X112" s="343"/>
      <c r="Y112" s="345"/>
      <c r="Z112" s="344" t="str">
        <f>Y112/X112</f>
        <v>0</v>
      </c>
      <c r="AA112" s="343"/>
      <c r="AB112" s="345"/>
      <c r="AC112" s="344" t="str">
        <f>AB112/AA112</f>
        <v>0</v>
      </c>
      <c r="AD112" s="343"/>
      <c r="AE112" s="345"/>
      <c r="AF112" s="344" t="str">
        <f>AE112/AD112</f>
        <v>0</v>
      </c>
      <c r="AG112" s="343"/>
      <c r="AH112" s="345"/>
      <c r="AI112" s="344" t="str">
        <f>AH112/AG112</f>
        <v>0</v>
      </c>
      <c r="AJ112" s="343"/>
      <c r="AK112" s="345"/>
      <c r="AL112" s="344" t="str">
        <f>AK112/AJ112</f>
        <v>0</v>
      </c>
      <c r="AM112" s="343"/>
      <c r="AN112" s="345"/>
      <c r="AO112" s="347" t="str">
        <f>AN112/AM112</f>
        <v>0</v>
      </c>
      <c r="AP112" s="348">
        <f>F112+I112+L112+O112+R112+U112+X112+AA112+AD112+AG112+AJ112+AM112</f>
        <v>0</v>
      </c>
      <c r="AQ112" s="348">
        <f>SUM(G112,J112,M112,P112,S112,V112,Y112,AB112,AE112,AH112,AK112,AN112)</f>
        <v>0</v>
      </c>
      <c r="AR112" s="349" t="str">
        <f>AQ112/AP112</f>
        <v>0</v>
      </c>
      <c r="AS112" s="357">
        <v>3</v>
      </c>
      <c r="AT112" s="357">
        <f>AS112*0.15</f>
        <v>0.45</v>
      </c>
    </row>
    <row r="113" spans="1:49" customHeight="1" ht="16.9" outlineLevel="1">
      <c r="A113" s="453" t="s">
        <v>3014</v>
      </c>
      <c r="B113" s="455">
        <v>0.1</v>
      </c>
      <c r="C113" s="455">
        <f>B113/12*$C$14</f>
        <v>0.041666666666667</v>
      </c>
      <c r="D113" s="452">
        <f>C113/12*$C$14</f>
        <v>0.017361111111111</v>
      </c>
      <c r="E113" s="454">
        <f>IF(D113&gt;0%,C113/D113,100%)</f>
        <v>2.4</v>
      </c>
      <c r="F113" s="120"/>
      <c r="G113" s="421"/>
      <c r="H113" s="420">
        <v>0.0</v>
      </c>
      <c r="I113" s="343"/>
      <c r="J113" s="345"/>
      <c r="K113" s="344">
        <v>0.0</v>
      </c>
      <c r="L113" s="343">
        <v>1</v>
      </c>
      <c r="M113" s="346"/>
      <c r="N113" s="344">
        <f>M113/L113</f>
        <v>0</v>
      </c>
      <c r="O113" s="343"/>
      <c r="P113" s="345"/>
      <c r="Q113" s="344" t="str">
        <f>P113/O113</f>
        <v>0</v>
      </c>
      <c r="R113" s="343">
        <v>1</v>
      </c>
      <c r="S113" s="345"/>
      <c r="T113" s="344">
        <f>S113/R113</f>
        <v>0</v>
      </c>
      <c r="U113" s="343"/>
      <c r="V113" s="345"/>
      <c r="W113" s="344" t="str">
        <f>V113/U113</f>
        <v>0</v>
      </c>
      <c r="X113" s="343"/>
      <c r="Y113" s="345"/>
      <c r="Z113" s="344" t="str">
        <f>Y113/X113</f>
        <v>0</v>
      </c>
      <c r="AA113" s="343"/>
      <c r="AB113" s="345"/>
      <c r="AC113" s="344" t="str">
        <f>AB113/AA113</f>
        <v>0</v>
      </c>
      <c r="AD113" s="343"/>
      <c r="AE113" s="345"/>
      <c r="AF113" s="344" t="str">
        <f>AE113/AD113</f>
        <v>0</v>
      </c>
      <c r="AG113" s="343"/>
      <c r="AH113" s="345"/>
      <c r="AI113" s="344" t="str">
        <f>AH113/AG113</f>
        <v>0</v>
      </c>
      <c r="AJ113" s="343"/>
      <c r="AK113" s="345"/>
      <c r="AL113" s="344" t="str">
        <f>AK113/AJ113</f>
        <v>0</v>
      </c>
      <c r="AM113" s="343"/>
      <c r="AN113" s="345"/>
      <c r="AO113" s="347" t="str">
        <f>AN113/AM113</f>
        <v>0</v>
      </c>
      <c r="AP113" s="348">
        <f>F113+I113+L113+O113+R113+U113+X113+AA113+AD113+AG113+AJ113+AM113</f>
        <v>2</v>
      </c>
      <c r="AQ113" s="348">
        <f>SUM(G113,J113,M113,P113,S113,V113,Y113,AB113,AE113,AH113,AK113,AN113)</f>
        <v>0</v>
      </c>
      <c r="AR113" s="349">
        <f>AQ113/AP113</f>
        <v>0</v>
      </c>
      <c r="AS113" s="357">
        <v>4</v>
      </c>
      <c r="AT113" s="357">
        <f>AS113*0.15</f>
        <v>0.6</v>
      </c>
    </row>
    <row r="114" spans="1:49" customHeight="1" ht="16.9" outlineLevel="1">
      <c r="A114" s="453" t="s">
        <v>3015</v>
      </c>
      <c r="B114" s="455">
        <v>0.1</v>
      </c>
      <c r="C114" s="455">
        <f>B114/12*$C$14</f>
        <v>0.041666666666667</v>
      </c>
      <c r="D114" s="452">
        <f>C114/12*$C$14</f>
        <v>0.017361111111111</v>
      </c>
      <c r="E114" s="454">
        <f>IF(D114&gt;0%,C114/D114,100%)</f>
        <v>2.4</v>
      </c>
      <c r="F114" s="120">
        <v>1</v>
      </c>
      <c r="G114" s="421"/>
      <c r="H114" s="420">
        <f>G114/F114</f>
        <v>0</v>
      </c>
      <c r="I114" s="343">
        <v>1</v>
      </c>
      <c r="J114" s="345"/>
      <c r="K114" s="344">
        <f>J114/I114</f>
        <v>0</v>
      </c>
      <c r="L114" s="343"/>
      <c r="M114" s="346"/>
      <c r="N114" s="344"/>
      <c r="O114" s="343"/>
      <c r="P114" s="345"/>
      <c r="Q114" s="344" t="str">
        <f>P114/O114</f>
        <v>0</v>
      </c>
      <c r="R114" s="343"/>
      <c r="S114" s="345"/>
      <c r="T114" s="344" t="str">
        <f>S114/R114</f>
        <v>0</v>
      </c>
      <c r="U114" s="343"/>
      <c r="V114" s="345"/>
      <c r="W114" s="344" t="str">
        <f>V114/U114</f>
        <v>0</v>
      </c>
      <c r="X114" s="343"/>
      <c r="Y114" s="345"/>
      <c r="Z114" s="344" t="str">
        <f>Y114/X114</f>
        <v>0</v>
      </c>
      <c r="AA114" s="343"/>
      <c r="AB114" s="345"/>
      <c r="AC114" s="344" t="str">
        <f>AB114/AA114</f>
        <v>0</v>
      </c>
      <c r="AD114" s="343"/>
      <c r="AE114" s="345"/>
      <c r="AF114" s="344" t="str">
        <f>AE114/AD114</f>
        <v>0</v>
      </c>
      <c r="AG114" s="343"/>
      <c r="AH114" s="345"/>
      <c r="AI114" s="344" t="str">
        <f>AH114/AG114</f>
        <v>0</v>
      </c>
      <c r="AJ114" s="343"/>
      <c r="AK114" s="345"/>
      <c r="AL114" s="344" t="str">
        <f>AK114/AJ114</f>
        <v>0</v>
      </c>
      <c r="AM114" s="343"/>
      <c r="AN114" s="345"/>
      <c r="AO114" s="347" t="str">
        <f>AN114/AM114</f>
        <v>0</v>
      </c>
      <c r="AP114" s="348">
        <f>F114+I114+L114+O114+R114+U114+X114+AA114+AD114+AG114+AJ114+AM114</f>
        <v>2</v>
      </c>
      <c r="AQ114" s="348">
        <f>SUM(G114,J114,M114,P114,S114,V114,Y114,AB114,AE114,AH114,AK114,AN114)</f>
        <v>0</v>
      </c>
      <c r="AR114" s="349">
        <f>AQ114/AP114</f>
        <v>0</v>
      </c>
      <c r="AS114" s="357"/>
      <c r="AT114" s="357"/>
    </row>
    <row r="115" spans="1:49" customHeight="1" ht="16.9" outlineLevel="1" s="73" customFormat="1">
      <c r="A115" s="453" t="s">
        <v>3016</v>
      </c>
      <c r="B115" s="455">
        <v>0.07</v>
      </c>
      <c r="C115" s="455">
        <f>B115/12*$C$14</f>
        <v>0.029166666666667</v>
      </c>
      <c r="D115" s="452">
        <f>C115/12*$C$14</f>
        <v>0.012152777777778</v>
      </c>
      <c r="E115" s="454">
        <f>IF(D115&gt;0%,C115/D115,100%)</f>
        <v>2.4</v>
      </c>
      <c r="F115" s="120"/>
      <c r="G115" s="421"/>
      <c r="H115" s="420" t="str">
        <f>G115/F115</f>
        <v>0</v>
      </c>
      <c r="I115" s="343"/>
      <c r="J115" s="350"/>
      <c r="K115" s="352" t="str">
        <f>J115/I115</f>
        <v>0</v>
      </c>
      <c r="L115" s="351"/>
      <c r="M115" s="353"/>
      <c r="N115" s="352" t="str">
        <f>M115/L115</f>
        <v>0</v>
      </c>
      <c r="O115" s="351"/>
      <c r="P115" s="350"/>
      <c r="Q115" s="352" t="str">
        <f>P115/O115</f>
        <v>0</v>
      </c>
      <c r="R115" s="351"/>
      <c r="S115" s="350"/>
      <c r="T115" s="344" t="str">
        <f>S115/R115</f>
        <v>0</v>
      </c>
      <c r="U115" s="351"/>
      <c r="V115" s="350"/>
      <c r="W115" s="344" t="str">
        <f>V115/U115</f>
        <v>0</v>
      </c>
      <c r="X115" s="351"/>
      <c r="Y115" s="350"/>
      <c r="Z115" s="344" t="str">
        <f>Y115/X115</f>
        <v>0</v>
      </c>
      <c r="AA115" s="351"/>
      <c r="AB115" s="350"/>
      <c r="AC115" s="344" t="str">
        <f>AB115/AA115</f>
        <v>0</v>
      </c>
      <c r="AD115" s="351"/>
      <c r="AE115" s="350"/>
      <c r="AF115" s="352" t="str">
        <f>AE115/AD115</f>
        <v>0</v>
      </c>
      <c r="AG115" s="351"/>
      <c r="AH115" s="350"/>
      <c r="AI115" s="352" t="str">
        <f>AH115/AG115</f>
        <v>0</v>
      </c>
      <c r="AJ115" s="351"/>
      <c r="AK115" s="350"/>
      <c r="AL115" s="352" t="str">
        <f>AK115/AJ115</f>
        <v>0</v>
      </c>
      <c r="AM115" s="351"/>
      <c r="AN115" s="350"/>
      <c r="AO115" s="347" t="str">
        <f>AN115/AM115</f>
        <v>0</v>
      </c>
      <c r="AP115" s="348">
        <f>F115+I115+L115+O115+R115+U115+X115+AA115+AD115+AG115+AJ115+AM115</f>
        <v>0</v>
      </c>
      <c r="AQ115" s="348">
        <f>SUM(G115,J115,M115,P115,S115,V115,Y115,AB115,AE115,AH115,AK115,AN115)</f>
        <v>0</v>
      </c>
      <c r="AR115" s="349" t="str">
        <f>AQ115/AP115</f>
        <v>0</v>
      </c>
      <c r="AS115" s="358">
        <v>2</v>
      </c>
      <c r="AT115" s="357">
        <f>AS115*0.15</f>
        <v>0.3</v>
      </c>
    </row>
    <row r="116" spans="1:49" customHeight="1" ht="16.9" outlineLevel="1">
      <c r="A116" s="453" t="s">
        <v>3017</v>
      </c>
      <c r="B116" s="455">
        <v>0.05</v>
      </c>
      <c r="C116" s="455">
        <f>B116/12*$C$14</f>
        <v>0.020833333333333</v>
      </c>
      <c r="D116" s="452">
        <f>C116/12*$C$14</f>
        <v>0.0086805555555556</v>
      </c>
      <c r="E116" s="454">
        <f>IF(D116&gt;0%,C116/D116,100%)</f>
        <v>2.4</v>
      </c>
      <c r="F116" s="120"/>
      <c r="G116" s="421"/>
      <c r="H116" s="420" t="str">
        <f>G116/F116</f>
        <v>0</v>
      </c>
      <c r="I116" s="343"/>
      <c r="J116" s="61"/>
      <c r="K116" s="344" t="str">
        <f>J116/I116</f>
        <v>0</v>
      </c>
      <c r="L116" s="343"/>
      <c r="M116" s="61"/>
      <c r="N116" s="344" t="str">
        <f>M116/L116</f>
        <v>0</v>
      </c>
      <c r="O116" s="343"/>
      <c r="P116" s="61"/>
      <c r="Q116" s="344" t="str">
        <f>P116/O116</f>
        <v>0</v>
      </c>
      <c r="R116" s="343"/>
      <c r="S116" s="354"/>
      <c r="T116" s="344" t="str">
        <f>S116/R116</f>
        <v>0</v>
      </c>
      <c r="U116" s="343"/>
      <c r="V116" s="61"/>
      <c r="W116" s="344" t="str">
        <f>V116/U116</f>
        <v>0</v>
      </c>
      <c r="X116" s="343"/>
      <c r="Y116" s="61"/>
      <c r="Z116" s="344" t="str">
        <f>Y116/X116</f>
        <v>0</v>
      </c>
      <c r="AA116" s="343"/>
      <c r="AB116" s="61"/>
      <c r="AC116" s="344" t="str">
        <f>AB116/AA116</f>
        <v>0</v>
      </c>
      <c r="AD116" s="343">
        <f>SUM(AD100:AD115)+SUM(AD100:AD115)</f>
        <v>0</v>
      </c>
      <c r="AE116" s="61">
        <f>SUM(AE100:AE115)+SUM(AE100:AE115)</f>
        <v>0</v>
      </c>
      <c r="AF116" s="344" t="str">
        <f>AE116/AD116</f>
        <v>0</v>
      </c>
      <c r="AG116" s="343">
        <f>SUM(AG100:AG115)+SUM(AG100:AG115)</f>
        <v>0</v>
      </c>
      <c r="AH116" s="61">
        <f>SUM(AH100:AH115)+SUM(AH100:AH115)</f>
        <v>0</v>
      </c>
      <c r="AI116" s="344" t="str">
        <f>AH116/AG116</f>
        <v>0</v>
      </c>
      <c r="AJ116" s="343">
        <f>SUM(AJ100:AJ115)+SUM(AJ100:AJ115)</f>
        <v>0</v>
      </c>
      <c r="AK116" s="61">
        <f>SUM(AK100:AK115)+SUM(AK100:AK115)</f>
        <v>0</v>
      </c>
      <c r="AL116" s="344" t="str">
        <f>AK116/AJ116</f>
        <v>0</v>
      </c>
      <c r="AM116" s="343">
        <f>SUM(AM100:AM115)+SUM(AM100:AM115)</f>
        <v>0</v>
      </c>
      <c r="AN116" s="61">
        <f>SUM(AN100:AN115)+SUM(AN100:AN115)</f>
        <v>0</v>
      </c>
      <c r="AO116" s="347" t="str">
        <f>AN116/AM116</f>
        <v>0</v>
      </c>
      <c r="AP116" s="348">
        <f>F116+I116+L116+O116+R116+U116+X116+AA116+AD116+AG116+AJ116+AM116</f>
        <v>0</v>
      </c>
      <c r="AQ116" s="348">
        <f>SUM(G116,J116,M116,P116,S116,V116,Y116,AB116,AE116,AH116,AK116,AN116)</f>
        <v>0</v>
      </c>
      <c r="AR116" s="349" t="str">
        <f>AQ116/AP116</f>
        <v>0</v>
      </c>
      <c r="AS116" s="357">
        <v>70</v>
      </c>
      <c r="AT116" s="357">
        <f>AS116*0.15</f>
        <v>10.5</v>
      </c>
    </row>
    <row r="117" spans="1:49" customHeight="1" ht="15">
      <c r="A117" s="453" t="s">
        <v>3018</v>
      </c>
      <c r="B117" s="455">
        <v>0.0</v>
      </c>
      <c r="C117" s="455">
        <f>B117/12*$C$14</f>
        <v>0</v>
      </c>
      <c r="D117" s="452">
        <f>C117/12*$C$14</f>
        <v>0</v>
      </c>
      <c r="E117" s="454">
        <f>IF(D117&gt;0%,C117/D117,100%)</f>
        <v>1</v>
      </c>
      <c r="F117" s="120"/>
      <c r="G117" s="421"/>
      <c r="H117" s="420" t="str">
        <f>G117/F117</f>
        <v>0</v>
      </c>
      <c r="I117" s="343"/>
      <c r="J117" s="61"/>
      <c r="K117" s="344" t="str">
        <f>J117/I117</f>
        <v>0</v>
      </c>
      <c r="L117" s="61"/>
      <c r="M117" s="61"/>
      <c r="N117" s="344" t="str">
        <f>M117/L117</f>
        <v>0</v>
      </c>
      <c r="O117" s="61"/>
      <c r="P117" s="61"/>
      <c r="Q117" s="344" t="str">
        <f>P117/O117</f>
        <v>0</v>
      </c>
      <c r="R117" s="61"/>
      <c r="S117" s="61"/>
      <c r="T117" s="344" t="str">
        <f>S117/R117</f>
        <v>0</v>
      </c>
      <c r="U117" s="61"/>
      <c r="V117" s="61"/>
      <c r="W117" s="344" t="str">
        <f>V117/U117</f>
        <v>0</v>
      </c>
      <c r="X117" s="61"/>
      <c r="Y117" s="61"/>
      <c r="Z117" s="344" t="str">
        <f>Y117/X117</f>
        <v>0</v>
      </c>
      <c r="AA117" s="61"/>
      <c r="AB117" s="61"/>
      <c r="AC117" s="344" t="str">
        <f>AB117/AA117</f>
        <v>0</v>
      </c>
      <c r="AD117" s="61"/>
      <c r="AE117" s="61"/>
      <c r="AF117" s="61" t="str">
        <f>AE117/AD117</f>
        <v>0</v>
      </c>
      <c r="AG117" s="61"/>
      <c r="AH117" s="61"/>
      <c r="AI117" s="61" t="str">
        <f>AH117/AG117</f>
        <v>0</v>
      </c>
      <c r="AJ117" s="61"/>
      <c r="AK117" s="61"/>
      <c r="AL117" s="61" t="str">
        <f>AK117/AJ117</f>
        <v>0</v>
      </c>
      <c r="AM117" s="61"/>
      <c r="AN117" s="61"/>
      <c r="AO117" s="61" t="str">
        <f>AN117/AM117</f>
        <v>0</v>
      </c>
      <c r="AP117" s="348">
        <f>F117+I117+L117+O117+R117+U117+X117+AA117+AD117+AG117+AJ117+AM117</f>
        <v>0</v>
      </c>
      <c r="AQ117" s="348">
        <f>SUM(G117,J117,M117,P117,S117,V117,Y117,AB117,AE117,AH117,AK117,AN117)</f>
        <v>0</v>
      </c>
      <c r="AR117" s="349" t="str">
        <f>AQ117/AP117</f>
        <v>0</v>
      </c>
    </row>
    <row r="118" spans="1:49" customHeight="1" ht="15">
      <c r="A118" s="453" t="s">
        <v>1233</v>
      </c>
      <c r="B118" s="455">
        <v>0.0</v>
      </c>
      <c r="C118" s="455">
        <f>B118/12*$C$14</f>
        <v>0</v>
      </c>
      <c r="D118" s="452">
        <f>C118/12*$C$14</f>
        <v>0</v>
      </c>
      <c r="E118" s="454">
        <f>IF(D118&gt;0%,C118/D118,100%)</f>
        <v>1</v>
      </c>
      <c r="F118" s="120"/>
      <c r="G118" s="421"/>
      <c r="H118" s="420" t="str">
        <f>G118/F118</f>
        <v>0</v>
      </c>
      <c r="I118" s="343">
        <v>1</v>
      </c>
      <c r="J118" s="61"/>
      <c r="K118" s="344">
        <f>J118/I118</f>
        <v>0</v>
      </c>
      <c r="L118" s="61"/>
      <c r="M118" s="61"/>
      <c r="N118" s="344" t="str">
        <f>M118/L118</f>
        <v>0</v>
      </c>
      <c r="O118" s="61"/>
      <c r="P118" s="61"/>
      <c r="Q118" s="344" t="str">
        <f>P118/O118</f>
        <v>0</v>
      </c>
      <c r="R118" s="61">
        <v>1</v>
      </c>
      <c r="S118" s="61"/>
      <c r="T118" s="344">
        <f>S118/R118</f>
        <v>0</v>
      </c>
      <c r="U118" s="61"/>
      <c r="V118" s="61"/>
      <c r="W118" s="344" t="str">
        <f>V118/U118</f>
        <v>0</v>
      </c>
      <c r="X118" s="61"/>
      <c r="Y118" s="61"/>
      <c r="Z118" s="344" t="str">
        <f>Y118/X118</f>
        <v>0</v>
      </c>
      <c r="AA118" s="61"/>
      <c r="AB118" s="61"/>
      <c r="AC118" s="344" t="str">
        <f>AB118/AA118</f>
        <v>0</v>
      </c>
      <c r="AD118" s="61"/>
      <c r="AE118" s="61"/>
      <c r="AF118" s="61" t="str">
        <f>AE118/AD118</f>
        <v>0</v>
      </c>
      <c r="AG118" s="61"/>
      <c r="AH118" s="61"/>
      <c r="AI118" s="61" t="str">
        <f>AH118/AG118</f>
        <v>0</v>
      </c>
      <c r="AJ118" s="61"/>
      <c r="AK118" s="61"/>
      <c r="AL118" s="61" t="str">
        <f>AK118/AJ118</f>
        <v>0</v>
      </c>
      <c r="AM118" s="61"/>
      <c r="AN118" s="61"/>
      <c r="AO118" s="61" t="str">
        <f>AN118/AM118</f>
        <v>0</v>
      </c>
      <c r="AP118" s="348">
        <f>F118+I118+L118+O118+R118+U118+X118+AA118+AD118+AG118+AJ118+AM118</f>
        <v>2</v>
      </c>
      <c r="AQ118" s="348">
        <f>SUM(G118,J118,M118,P118,S118,V118,Y118,AB118,AE118,AH118,AK118,AN118)</f>
        <v>0</v>
      </c>
      <c r="AR118" s="349">
        <f>AQ118/AP118</f>
        <v>0</v>
      </c>
    </row>
    <row r="119" spans="1:49" customHeight="1" ht="15">
      <c r="A119" s="460" t="s">
        <v>143</v>
      </c>
      <c r="B119" s="462">
        <v>0.165</v>
      </c>
      <c r="C119" s="462">
        <f>B119/12*$C$14</f>
        <v>0.06875</v>
      </c>
      <c r="D119" s="462">
        <f>C119/12*$C$14</f>
        <v>0.028645833333333</v>
      </c>
      <c r="E119" s="505">
        <f>IF(D119&gt;0%,C119/D119,100%)</f>
        <v>2.4</v>
      </c>
      <c r="F119" s="120"/>
      <c r="G119" s="421"/>
      <c r="H119" s="420" t="str">
        <f>G119/F119</f>
        <v>0</v>
      </c>
      <c r="I119" s="343">
        <v>1</v>
      </c>
      <c r="J119" s="61"/>
      <c r="K119" s="344">
        <f>J119/I119</f>
        <v>0</v>
      </c>
      <c r="L119" s="61">
        <v>1</v>
      </c>
      <c r="M119" s="61"/>
      <c r="N119" s="344">
        <f>M119/L119</f>
        <v>0</v>
      </c>
      <c r="O119" s="61"/>
      <c r="P119" s="61"/>
      <c r="Q119" s="344" t="str">
        <f>P119/O119</f>
        <v>0</v>
      </c>
      <c r="R119" s="61">
        <v>1</v>
      </c>
      <c r="S119" s="61"/>
      <c r="T119" s="344">
        <f>S119/R119</f>
        <v>0</v>
      </c>
      <c r="U119" s="61"/>
      <c r="V119" s="61"/>
      <c r="W119" s="344" t="str">
        <f>V119/U119</f>
        <v>0</v>
      </c>
      <c r="X119" s="61"/>
      <c r="Y119" s="61"/>
      <c r="Z119" s="344" t="str">
        <f>Y119/X119</f>
        <v>0</v>
      </c>
      <c r="AA119" s="61"/>
      <c r="AB119" s="61"/>
      <c r="AC119" s="344" t="str">
        <f>AB119/AA119</f>
        <v>0</v>
      </c>
      <c r="AD119" s="61"/>
      <c r="AE119" s="61"/>
      <c r="AF119" s="61" t="str">
        <f>AE119/AD119</f>
        <v>0</v>
      </c>
      <c r="AG119" s="61"/>
      <c r="AH119" s="61"/>
      <c r="AI119" s="61" t="str">
        <f>AH119/AG119</f>
        <v>0</v>
      </c>
      <c r="AJ119" s="61"/>
      <c r="AK119" s="61"/>
      <c r="AL119" s="61" t="str">
        <f>AK119/AJ119</f>
        <v>0</v>
      </c>
      <c r="AM119" s="61"/>
      <c r="AN119" s="61"/>
      <c r="AO119" s="61" t="str">
        <f>AN119/AM119</f>
        <v>0</v>
      </c>
      <c r="AP119" s="348">
        <f>F119+I119+L119+O119+R119+U119+X119+AA119+AD119+AG119+AJ119+AM119</f>
        <v>3</v>
      </c>
      <c r="AQ119" s="348">
        <f>SUM(G119,J119,M119,P119,S119,V119,Y119,AB119,AE119,AH119,AK119,AN119)</f>
        <v>0</v>
      </c>
      <c r="AR119" s="349">
        <f>AQ119/AP119</f>
        <v>0</v>
      </c>
    </row>
    <row r="120" spans="1:49" customHeight="1" ht="15">
      <c r="A120" s="460" t="s">
        <v>509</v>
      </c>
      <c r="B120" s="462">
        <v>0.12</v>
      </c>
      <c r="C120" s="462">
        <f>B120/12*$C$14</f>
        <v>0.05</v>
      </c>
      <c r="D120" s="462">
        <f>C120/12*$C$14</f>
        <v>0.020833333333333</v>
      </c>
      <c r="E120" s="505">
        <f>IF(D120&gt;0%,C120/D120,100%)</f>
        <v>2.4</v>
      </c>
      <c r="F120" s="120"/>
      <c r="G120" s="421"/>
      <c r="H120" s="420" t="str">
        <f>G120/F120</f>
        <v>0</v>
      </c>
      <c r="I120" s="343"/>
      <c r="J120" s="61"/>
      <c r="K120" s="344" t="str">
        <f>J120/I120</f>
        <v>0</v>
      </c>
      <c r="L120" s="61"/>
      <c r="M120" s="61"/>
      <c r="N120" s="344" t="str">
        <f>M120/L120</f>
        <v>0</v>
      </c>
      <c r="O120" s="61"/>
      <c r="P120" s="61"/>
      <c r="Q120" s="344" t="str">
        <f>P120/O120</f>
        <v>0</v>
      </c>
      <c r="R120" s="61"/>
      <c r="S120" s="61"/>
      <c r="T120" s="344" t="str">
        <f>S120/R120</f>
        <v>0</v>
      </c>
      <c r="U120" s="61"/>
      <c r="V120" s="61"/>
      <c r="W120" s="344" t="str">
        <f>V120/U120</f>
        <v>0</v>
      </c>
      <c r="X120" s="61"/>
      <c r="Y120" s="61"/>
      <c r="Z120" s="344" t="str">
        <f>Y120/X120</f>
        <v>0</v>
      </c>
      <c r="AA120" s="61"/>
      <c r="AB120" s="61"/>
      <c r="AC120" s="344" t="str">
        <f>AB120/AA120</f>
        <v>0</v>
      </c>
      <c r="AD120" s="61"/>
      <c r="AE120" s="61"/>
      <c r="AF120" s="61" t="str">
        <f>AE120/AD120</f>
        <v>0</v>
      </c>
      <c r="AG120" s="61"/>
      <c r="AH120" s="61"/>
      <c r="AI120" s="61" t="str">
        <f>AH120/AG120</f>
        <v>0</v>
      </c>
      <c r="AJ120" s="61"/>
      <c r="AK120" s="61"/>
      <c r="AL120" s="61" t="str">
        <f>AK120/AJ120</f>
        <v>0</v>
      </c>
      <c r="AM120" s="61"/>
      <c r="AN120" s="61"/>
      <c r="AO120" s="61" t="str">
        <f>AN120/AM120</f>
        <v>0</v>
      </c>
      <c r="AP120" s="348">
        <f>F120+I120+L120+O120+R120+U120+X120+AA120+AD120+AG120+AJ120+AM120</f>
        <v>0</v>
      </c>
      <c r="AQ120" s="348">
        <f>SUM(G120,J120,M120,P120,S120,V120,Y120,AB120,AE120,AH120,AK120,AN120)</f>
        <v>0</v>
      </c>
      <c r="AR120" s="349" t="str">
        <f>AQ120/AP120</f>
        <v>0</v>
      </c>
    </row>
    <row r="121" spans="1:49" customHeight="1" ht="15">
      <c r="A121" s="453" t="s">
        <v>3019</v>
      </c>
      <c r="B121" s="452">
        <v>0.0</v>
      </c>
      <c r="C121" s="452">
        <f>B121/12*$C$14</f>
        <v>0</v>
      </c>
      <c r="D121" s="452">
        <f>C121/12*$C$14</f>
        <v>0</v>
      </c>
      <c r="E121" s="454">
        <f>IF(D121&gt;0%,C121/D121,100%)</f>
        <v>1</v>
      </c>
      <c r="F121" s="120"/>
      <c r="G121" s="421"/>
      <c r="H121" s="420" t="str">
        <f>G121/F121</f>
        <v>0</v>
      </c>
      <c r="I121" s="343"/>
      <c r="J121" s="61"/>
      <c r="K121" s="344" t="str">
        <f>J121/I121</f>
        <v>0</v>
      </c>
      <c r="L121" s="61"/>
      <c r="M121" s="61"/>
      <c r="N121" s="344" t="str">
        <f>M121/L121</f>
        <v>0</v>
      </c>
      <c r="O121" s="61"/>
      <c r="P121" s="61"/>
      <c r="Q121" s="344" t="str">
        <f>P121/O121</f>
        <v>0</v>
      </c>
      <c r="R121" s="61"/>
      <c r="S121" s="61"/>
      <c r="T121" s="344" t="str">
        <f>S121/R121</f>
        <v>0</v>
      </c>
      <c r="U121" s="61"/>
      <c r="V121" s="61"/>
      <c r="W121" s="344" t="str">
        <f>V121/U121</f>
        <v>0</v>
      </c>
      <c r="X121" s="61"/>
      <c r="Y121" s="61"/>
      <c r="Z121" s="344" t="str">
        <f>Y121/X121</f>
        <v>0</v>
      </c>
      <c r="AA121" s="61"/>
      <c r="AB121" s="61"/>
      <c r="AC121" s="344" t="str">
        <f>AB121/AA121</f>
        <v>0</v>
      </c>
      <c r="AD121" s="61"/>
      <c r="AE121" s="61"/>
      <c r="AF121" s="61" t="str">
        <f>AE121/AD121</f>
        <v>0</v>
      </c>
      <c r="AG121" s="61"/>
      <c r="AH121" s="61"/>
      <c r="AI121" s="61" t="str">
        <f>AH121/AG121</f>
        <v>0</v>
      </c>
      <c r="AJ121" s="61"/>
      <c r="AK121" s="61"/>
      <c r="AL121" s="61" t="str">
        <f>AK121/AJ121</f>
        <v>0</v>
      </c>
      <c r="AM121" s="61"/>
      <c r="AN121" s="61"/>
      <c r="AO121" s="61" t="str">
        <f>AN121/AM121</f>
        <v>0</v>
      </c>
      <c r="AP121" s="348">
        <f>F121+I121+L121+O121+R121+U121+X121+AA121+AD121+AG121+AJ121+AM121</f>
        <v>0</v>
      </c>
      <c r="AQ121" s="348">
        <f>SUM(G121,J121,M121,P121,S121,V121,Y121,AB121,AE121,AH121,AK121,AN121)</f>
        <v>0</v>
      </c>
      <c r="AR121" s="349" t="str">
        <f>AQ121/AP121</f>
        <v>0</v>
      </c>
    </row>
    <row r="122" spans="1:49" customHeight="1" ht="15">
      <c r="A122" s="453" t="s">
        <v>3020</v>
      </c>
      <c r="B122" s="452">
        <v>0.3</v>
      </c>
      <c r="C122" s="452">
        <f>B122/12*$C$14</f>
        <v>0.125</v>
      </c>
      <c r="D122" s="452">
        <f>C122/12*$C$14</f>
        <v>0.052083333333333</v>
      </c>
      <c r="E122" s="454">
        <f>IF(D122&gt;0%,C122/D122,100%)</f>
        <v>2.4</v>
      </c>
      <c r="F122" s="120"/>
      <c r="G122" s="421"/>
      <c r="H122" s="420" t="str">
        <f>G122/F122</f>
        <v>0</v>
      </c>
      <c r="I122" s="343"/>
      <c r="J122" s="61"/>
      <c r="K122" s="344" t="str">
        <f>J122/I122</f>
        <v>0</v>
      </c>
      <c r="L122" s="61"/>
      <c r="M122" s="61"/>
      <c r="N122" s="344" t="str">
        <f>M122/L122</f>
        <v>0</v>
      </c>
      <c r="O122" s="61"/>
      <c r="P122" s="61"/>
      <c r="Q122" s="344" t="str">
        <f>P122/O122</f>
        <v>0</v>
      </c>
      <c r="R122" s="61"/>
      <c r="S122" s="61"/>
      <c r="T122" s="344" t="str">
        <f>S122/R122</f>
        <v>0</v>
      </c>
      <c r="U122" s="61"/>
      <c r="V122" s="61"/>
      <c r="W122" s="344" t="str">
        <f>V122/U122</f>
        <v>0</v>
      </c>
      <c r="X122" s="61"/>
      <c r="Y122" s="61"/>
      <c r="Z122" s="344" t="str">
        <f>Y122/X122</f>
        <v>0</v>
      </c>
      <c r="AA122" s="61"/>
      <c r="AB122" s="61"/>
      <c r="AC122" s="344" t="str">
        <f>AB122/AA122</f>
        <v>0</v>
      </c>
      <c r="AD122" s="61"/>
      <c r="AE122" s="61"/>
      <c r="AF122" s="61" t="str">
        <f>AE122/AD122</f>
        <v>0</v>
      </c>
      <c r="AG122" s="61"/>
      <c r="AH122" s="61"/>
      <c r="AI122" s="61" t="str">
        <f>AH122/AG122</f>
        <v>0</v>
      </c>
      <c r="AJ122" s="61"/>
      <c r="AK122" s="61"/>
      <c r="AL122" s="61" t="str">
        <f>AK122/AJ122</f>
        <v>0</v>
      </c>
      <c r="AM122" s="61"/>
      <c r="AN122" s="61"/>
      <c r="AO122" s="61" t="str">
        <f>AN122/AM122</f>
        <v>0</v>
      </c>
      <c r="AP122" s="348">
        <f>F122+I122+L122+O122+R122+U122+X122+AA122+AD122+AG122+AJ122+AM122</f>
        <v>0</v>
      </c>
      <c r="AQ122" s="348">
        <f>SUM(G122,J122,M122,P122,S122,V122,Y122,AB122,AE122,AH122,AK122,AN122)</f>
        <v>0</v>
      </c>
      <c r="AR122" s="349" t="str">
        <f>AQ122/AP122</f>
        <v>0</v>
      </c>
    </row>
    <row r="123" spans="1:49" customHeight="1" ht="15">
      <c r="A123" s="453" t="s">
        <v>3021</v>
      </c>
      <c r="B123" s="452">
        <v>0.05</v>
      </c>
      <c r="C123" s="452">
        <f>B123/12*$C$14</f>
        <v>0.020833333333333</v>
      </c>
      <c r="D123" s="452">
        <f>C123/12*$C$14</f>
        <v>0.0086805555555556</v>
      </c>
      <c r="E123" s="454">
        <f>IF(D123&gt;0%,C123/D123,100%)</f>
        <v>2.4</v>
      </c>
      <c r="F123" s="120"/>
      <c r="G123" s="421"/>
      <c r="H123" s="420" t="str">
        <f>G123/F123</f>
        <v>0</v>
      </c>
      <c r="I123" s="343"/>
      <c r="J123" s="61"/>
      <c r="K123" s="344" t="str">
        <f>J123/I123</f>
        <v>0</v>
      </c>
      <c r="L123" s="61"/>
      <c r="M123" s="61"/>
      <c r="N123" s="344" t="str">
        <f>M123/L123</f>
        <v>0</v>
      </c>
      <c r="O123" s="61"/>
      <c r="P123" s="61"/>
      <c r="Q123" s="344" t="str">
        <f>P123/O123</f>
        <v>0</v>
      </c>
      <c r="R123" s="61"/>
      <c r="S123" s="61"/>
      <c r="T123" s="344" t="str">
        <f>S123/R123</f>
        <v>0</v>
      </c>
      <c r="U123" s="61"/>
      <c r="V123" s="61"/>
      <c r="W123" s="344" t="str">
        <f>V123/U123</f>
        <v>0</v>
      </c>
      <c r="X123" s="61"/>
      <c r="Y123" s="61"/>
      <c r="Z123" s="344" t="str">
        <f>Y123/X123</f>
        <v>0</v>
      </c>
      <c r="AA123" s="61"/>
      <c r="AB123" s="61"/>
      <c r="AC123" s="344" t="str">
        <f>AB123/AA123</f>
        <v>0</v>
      </c>
      <c r="AD123" s="61"/>
      <c r="AE123" s="61"/>
      <c r="AF123" s="61" t="str">
        <f>AE123/AD123</f>
        <v>0</v>
      </c>
      <c r="AG123" s="61"/>
      <c r="AH123" s="61"/>
      <c r="AI123" s="61" t="str">
        <f>AH123/AG123</f>
        <v>0</v>
      </c>
      <c r="AJ123" s="61"/>
      <c r="AK123" s="61"/>
      <c r="AL123" s="61" t="str">
        <f>AK123/AJ123</f>
        <v>0</v>
      </c>
      <c r="AM123" s="61"/>
      <c r="AN123" s="61"/>
      <c r="AO123" s="61" t="str">
        <f>AN123/AM123</f>
        <v>0</v>
      </c>
      <c r="AP123" s="348">
        <f>F123+I123+L123+O123+R123+U123+X123+AA123+AD123+AG123+AJ123+AM123</f>
        <v>0</v>
      </c>
      <c r="AQ123" s="348">
        <f>SUM(G123,J123,M123,P123,S123,V123,Y123,AB123,AE123,AH123,AK123,AN123)</f>
        <v>0</v>
      </c>
      <c r="AR123" s="349" t="str">
        <f>AQ123/AP123</f>
        <v>0</v>
      </c>
    </row>
    <row r="124" spans="1:49" customHeight="1" ht="15">
      <c r="A124" s="453" t="s">
        <v>3022</v>
      </c>
      <c r="B124" s="452">
        <v>0.3</v>
      </c>
      <c r="C124" s="452">
        <f>B124/12*$C$14</f>
        <v>0.125</v>
      </c>
      <c r="D124" s="452">
        <f>C124/12*$C$14</f>
        <v>0.052083333333333</v>
      </c>
      <c r="E124" s="454">
        <f>IF(D124&gt;0%,C124/D124,100%)</f>
        <v>2.4</v>
      </c>
      <c r="F124" s="120"/>
      <c r="G124" s="421"/>
      <c r="H124" s="420" t="str">
        <f>G124/F124</f>
        <v>0</v>
      </c>
      <c r="I124" s="343"/>
      <c r="J124" s="61"/>
      <c r="K124" s="344" t="str">
        <f>J124/I124</f>
        <v>0</v>
      </c>
      <c r="L124" s="61"/>
      <c r="M124" s="61"/>
      <c r="N124" s="344" t="str">
        <f>M124/L124</f>
        <v>0</v>
      </c>
      <c r="O124" s="61"/>
      <c r="P124" s="61"/>
      <c r="Q124" s="344" t="str">
        <f>P124/O124</f>
        <v>0</v>
      </c>
      <c r="R124" s="61"/>
      <c r="S124" s="61"/>
      <c r="T124" s="344" t="str">
        <f>S124/R124</f>
        <v>0</v>
      </c>
      <c r="U124" s="61"/>
      <c r="V124" s="61"/>
      <c r="W124" s="344" t="str">
        <f>V124/U124</f>
        <v>0</v>
      </c>
      <c r="X124" s="61"/>
      <c r="Y124" s="61"/>
      <c r="Z124" s="344" t="str">
        <f>Y124/X124</f>
        <v>0</v>
      </c>
      <c r="AA124" s="61"/>
      <c r="AB124" s="61"/>
      <c r="AC124" s="344" t="str">
        <f>AB124/AA124</f>
        <v>0</v>
      </c>
      <c r="AD124" s="61"/>
      <c r="AE124" s="61"/>
      <c r="AF124" s="61" t="str">
        <f>AE124/AD124</f>
        <v>0</v>
      </c>
      <c r="AG124" s="61"/>
      <c r="AH124" s="61"/>
      <c r="AI124" s="61" t="str">
        <f>AH124/AG124</f>
        <v>0</v>
      </c>
      <c r="AJ124" s="61"/>
      <c r="AK124" s="61"/>
      <c r="AL124" s="61" t="str">
        <f>AK124/AJ124</f>
        <v>0</v>
      </c>
      <c r="AM124" s="61"/>
      <c r="AN124" s="61"/>
      <c r="AO124" s="61" t="str">
        <f>AN124/AM124</f>
        <v>0</v>
      </c>
      <c r="AP124" s="348">
        <f>F124+I124+L124+O124+R124+U124+X124+AA124+AD124+AG124+AJ124+AM124</f>
        <v>0</v>
      </c>
      <c r="AQ124" s="348">
        <f>SUM(G124,J124,M124,P124,S124,V124,Y124,AB124,AE124,AH124,AK124,AN124)</f>
        <v>0</v>
      </c>
      <c r="AR124" s="349" t="str">
        <f>AQ124/AP124</f>
        <v>0</v>
      </c>
    </row>
    <row r="125" spans="1:49" customHeight="1" ht="15">
      <c r="A125" s="393" t="s">
        <v>226</v>
      </c>
      <c r="B125" s="395">
        <v>0.15</v>
      </c>
      <c r="C125" s="395">
        <f>B125/12*$C$14</f>
        <v>0.0625</v>
      </c>
      <c r="D125" s="395">
        <f>C125/12*$C$14</f>
        <v>0.026041666666667</v>
      </c>
      <c r="E125" s="506">
        <f>IF(D125&gt;0%,C125/D125,100%)</f>
        <v>2.4</v>
      </c>
      <c r="F125" s="120"/>
      <c r="G125" s="421"/>
      <c r="H125" s="420" t="str">
        <f>G125/F125</f>
        <v>0</v>
      </c>
      <c r="I125" s="343"/>
      <c r="J125" s="61"/>
      <c r="K125" s="344" t="str">
        <f>J125/I125</f>
        <v>0</v>
      </c>
      <c r="L125" s="61"/>
      <c r="M125" s="61"/>
      <c r="N125" s="344" t="str">
        <f>M125/L125</f>
        <v>0</v>
      </c>
      <c r="O125" s="61"/>
      <c r="P125" s="61"/>
      <c r="Q125" s="344" t="str">
        <f>P125/O125</f>
        <v>0</v>
      </c>
      <c r="R125" s="61"/>
      <c r="S125" s="61"/>
      <c r="T125" s="344" t="str">
        <f>S125/R125</f>
        <v>0</v>
      </c>
      <c r="U125" s="61"/>
      <c r="V125" s="61"/>
      <c r="W125" s="344" t="str">
        <f>V125/U125</f>
        <v>0</v>
      </c>
      <c r="X125" s="61"/>
      <c r="Y125" s="61"/>
      <c r="Z125" s="344" t="str">
        <f>Y125/X125</f>
        <v>0</v>
      </c>
      <c r="AA125" s="61"/>
      <c r="AB125" s="61"/>
      <c r="AC125" s="344" t="str">
        <f>AB125/AA125</f>
        <v>0</v>
      </c>
      <c r="AD125" s="61"/>
      <c r="AE125" s="61"/>
      <c r="AF125" s="61" t="str">
        <f>AE125/AD125</f>
        <v>0</v>
      </c>
      <c r="AG125" s="61"/>
      <c r="AH125" s="61"/>
      <c r="AI125" s="61" t="str">
        <f>AH125/AG125</f>
        <v>0</v>
      </c>
      <c r="AJ125" s="61"/>
      <c r="AK125" s="61"/>
      <c r="AL125" s="61" t="str">
        <f>AK125/AJ125</f>
        <v>0</v>
      </c>
      <c r="AM125" s="61"/>
      <c r="AN125" s="61"/>
      <c r="AO125" s="61" t="str">
        <f>AN125/AM125</f>
        <v>0</v>
      </c>
      <c r="AP125" s="348">
        <f>F125+I125+L125+O125+R125+U125+X125+AA125+AD125+AG125+AJ125+AM125</f>
        <v>0</v>
      </c>
      <c r="AQ125" s="348">
        <f>SUM(G125,J125,M125,P125,S125,V125,Y125,AB125,AE125,AH125,AK125,AN125)</f>
        <v>0</v>
      </c>
      <c r="AR125" s="349" t="str">
        <f>AQ125/AP125</f>
        <v>0</v>
      </c>
    </row>
    <row r="126" spans="1:49" customHeight="1" ht="15">
      <c r="A126" s="493" t="s">
        <v>3023</v>
      </c>
      <c r="B126" s="452">
        <v>0.0</v>
      </c>
      <c r="C126" s="452">
        <f>B126/12*$C$14</f>
        <v>0</v>
      </c>
      <c r="D126" s="452">
        <f>C126/12*$C$14</f>
        <v>0</v>
      </c>
      <c r="E126" s="454">
        <f>IF(D126&gt;0%,C126/D126,100%)</f>
        <v>1</v>
      </c>
      <c r="F126" s="120"/>
      <c r="G126" s="421"/>
      <c r="H126" s="420" t="str">
        <f>G126/F126</f>
        <v>0</v>
      </c>
      <c r="I126" s="343"/>
      <c r="J126" s="61"/>
      <c r="K126" s="344" t="str">
        <f>J126/I126</f>
        <v>0</v>
      </c>
      <c r="L126" s="61"/>
      <c r="M126" s="61"/>
      <c r="N126" s="344" t="str">
        <f>M126/L126</f>
        <v>0</v>
      </c>
      <c r="O126" s="61"/>
      <c r="P126" s="61"/>
      <c r="Q126" s="344" t="str">
        <f>P126/O126</f>
        <v>0</v>
      </c>
      <c r="R126" s="61"/>
      <c r="S126" s="61"/>
      <c r="T126" s="344" t="str">
        <f>S126/R126</f>
        <v>0</v>
      </c>
      <c r="U126" s="61"/>
      <c r="V126" s="61"/>
      <c r="W126" s="344" t="str">
        <f>V126/U126</f>
        <v>0</v>
      </c>
      <c r="X126" s="61"/>
      <c r="Y126" s="61"/>
      <c r="Z126" s="344" t="str">
        <f>Y126/X126</f>
        <v>0</v>
      </c>
      <c r="AA126" s="61"/>
      <c r="AB126" s="61"/>
      <c r="AC126" s="344" t="str">
        <f>AB126/AA126</f>
        <v>0</v>
      </c>
      <c r="AD126" s="61"/>
      <c r="AE126" s="61"/>
      <c r="AF126" s="61" t="str">
        <f>AE126/AD126</f>
        <v>0</v>
      </c>
      <c r="AG126" s="61"/>
      <c r="AH126" s="61"/>
      <c r="AI126" s="61" t="str">
        <f>AH126/AG126</f>
        <v>0</v>
      </c>
      <c r="AJ126" s="61"/>
      <c r="AK126" s="61"/>
      <c r="AL126" s="61" t="str">
        <f>AK126/AJ126</f>
        <v>0</v>
      </c>
      <c r="AM126" s="61"/>
      <c r="AN126" s="61"/>
      <c r="AO126" s="61" t="str">
        <f>AN126/AM126</f>
        <v>0</v>
      </c>
      <c r="AP126" s="348">
        <f>F126+I126+L126+O126+R126+U126+X126+AA126+AD126+AG126+AJ126+AM126</f>
        <v>0</v>
      </c>
      <c r="AQ126" s="348">
        <f>SUM(G126,J126,M126,P126,S126,V126,Y126,AB126,AE126,AH126,AK126,AN126)</f>
        <v>0</v>
      </c>
      <c r="AR126" s="349" t="str">
        <f>AQ126/AP126</f>
        <v>0</v>
      </c>
    </row>
    <row r="127" spans="1:49" customHeight="1" ht="15">
      <c r="A127" s="492" t="s">
        <v>3024</v>
      </c>
      <c r="B127" s="395">
        <v>0.1</v>
      </c>
      <c r="C127" s="395">
        <f>B127/12*$C$14</f>
        <v>0.041666666666667</v>
      </c>
      <c r="D127" s="395">
        <f>C127/12*$C$14</f>
        <v>0.017361111111111</v>
      </c>
      <c r="E127" s="506">
        <f>IF(D127&gt;0%,C127/D127,100%)</f>
        <v>2.4</v>
      </c>
      <c r="F127" s="477"/>
      <c r="G127" s="421"/>
      <c r="H127" s="420" t="str">
        <f>G127/F127</f>
        <v>0</v>
      </c>
      <c r="I127" s="343"/>
      <c r="J127" s="61"/>
      <c r="K127" s="344" t="str">
        <f>J127/I127</f>
        <v>0</v>
      </c>
      <c r="L127" s="61"/>
      <c r="M127" s="61"/>
      <c r="N127" s="344" t="str">
        <f>M127/L127</f>
        <v>0</v>
      </c>
      <c r="O127" s="61"/>
      <c r="P127" s="61"/>
      <c r="Q127" s="344" t="str">
        <f>P127/O127</f>
        <v>0</v>
      </c>
      <c r="R127" s="61"/>
      <c r="S127" s="61"/>
      <c r="T127" s="344" t="str">
        <f>S127/R127</f>
        <v>0</v>
      </c>
      <c r="U127" s="61"/>
      <c r="V127" s="61"/>
      <c r="W127" s="344" t="str">
        <f>V127/U127</f>
        <v>0</v>
      </c>
      <c r="X127" s="61"/>
      <c r="Y127" s="61"/>
      <c r="Z127" s="344" t="str">
        <f>Y127/X127</f>
        <v>0</v>
      </c>
      <c r="AA127" s="61"/>
      <c r="AB127" s="61"/>
      <c r="AC127" s="344" t="str">
        <f>AB127/AA127</f>
        <v>0</v>
      </c>
      <c r="AD127" s="61"/>
      <c r="AE127" s="61"/>
      <c r="AF127" s="61" t="str">
        <f>AE127/AD127</f>
        <v>0</v>
      </c>
      <c r="AG127" s="61"/>
      <c r="AH127" s="61"/>
      <c r="AI127" s="61" t="str">
        <f>AH127/AG127</f>
        <v>0</v>
      </c>
      <c r="AJ127" s="61"/>
      <c r="AK127" s="61"/>
      <c r="AL127" s="61" t="str">
        <f>AK127/AJ127</f>
        <v>0</v>
      </c>
      <c r="AM127" s="61"/>
      <c r="AN127" s="61"/>
      <c r="AO127" s="61" t="str">
        <f>AN127/AM127</f>
        <v>0</v>
      </c>
      <c r="AP127" s="348">
        <f>F127+I127+L127+O127+R127+U127+X127+AA127+AD127+AG127+AJ127+AM127</f>
        <v>0</v>
      </c>
      <c r="AQ127" s="348">
        <f>SUM(G127,J127,M127,P127,S127,V127,Y127,AB127,AE127,AH127,AK127,AN127)</f>
        <v>0</v>
      </c>
      <c r="AR127" s="349" t="str">
        <f>AQ127/AP127</f>
        <v>0</v>
      </c>
    </row>
    <row r="128" spans="1:49" customHeight="1" ht="15">
      <c r="A128" s="493" t="s">
        <v>3025</v>
      </c>
      <c r="B128" s="452">
        <v>0.05</v>
      </c>
      <c r="C128" s="452">
        <f>B128/12*$C$14</f>
        <v>0.020833333333333</v>
      </c>
      <c r="D128" s="452">
        <f>C128/12*$C$14</f>
        <v>0.0086805555555556</v>
      </c>
      <c r="E128" s="454">
        <f>IF(D128&gt;0%,C128/D128,100%)</f>
        <v>2.4</v>
      </c>
      <c r="F128" s="478"/>
      <c r="G128" s="421"/>
      <c r="H128" s="420" t="str">
        <f>G128/F128</f>
        <v>0</v>
      </c>
      <c r="I128" s="343"/>
      <c r="J128" s="61"/>
      <c r="K128" s="344" t="str">
        <f>J128/I128</f>
        <v>0</v>
      </c>
      <c r="L128" s="61"/>
      <c r="M128" s="61"/>
      <c r="N128" s="344" t="str">
        <f>M128/L128</f>
        <v>0</v>
      </c>
      <c r="O128" s="61"/>
      <c r="P128" s="61"/>
      <c r="Q128" s="344" t="str">
        <f>P128/O128</f>
        <v>0</v>
      </c>
      <c r="R128" s="61"/>
      <c r="S128" s="61"/>
      <c r="T128" s="344" t="str">
        <f>S128/R128</f>
        <v>0</v>
      </c>
      <c r="U128" s="61"/>
      <c r="V128" s="61"/>
      <c r="W128" s="344" t="str">
        <f>V128/U128</f>
        <v>0</v>
      </c>
      <c r="X128" s="61"/>
      <c r="Y128" s="61"/>
      <c r="Z128" s="344" t="str">
        <f>Y128/X128</f>
        <v>0</v>
      </c>
      <c r="AA128" s="61"/>
      <c r="AB128" s="61"/>
      <c r="AC128" s="344" t="str">
        <f>AB128/AA128</f>
        <v>0</v>
      </c>
      <c r="AD128" s="61"/>
      <c r="AE128" s="61"/>
      <c r="AF128" s="61" t="str">
        <f>AE128/AD128</f>
        <v>0</v>
      </c>
      <c r="AG128" s="61"/>
      <c r="AH128" s="61"/>
      <c r="AI128" s="61" t="str">
        <f>AH128/AG128</f>
        <v>0</v>
      </c>
      <c r="AJ128" s="61"/>
      <c r="AK128" s="61"/>
      <c r="AL128" s="61" t="str">
        <f>AK128/AJ128</f>
        <v>0</v>
      </c>
      <c r="AM128" s="61"/>
      <c r="AN128" s="61"/>
      <c r="AO128" s="61" t="str">
        <f>AN128/AM128</f>
        <v>0</v>
      </c>
      <c r="AP128" s="348">
        <f>F128+I128+L128+O128+R128+U128+X128+AA128+AD128+AG128+AJ128+AM128</f>
        <v>0</v>
      </c>
      <c r="AQ128" s="348">
        <f>SUM(G128,J128,M128,P128,S128,V128,Y128,AB128,AE128,AH128,AK128,AN128)</f>
        <v>0</v>
      </c>
      <c r="AR128" s="349" t="str">
        <f>AQ128/AP128</f>
        <v>0</v>
      </c>
    </row>
    <row r="129" spans="1:49" customHeight="1" ht="30">
      <c r="A129" s="494" t="s">
        <v>3026</v>
      </c>
      <c r="B129" s="452">
        <v>0.05</v>
      </c>
      <c r="C129" s="452">
        <f>B129/12*$C$14</f>
        <v>0.020833333333333</v>
      </c>
      <c r="D129" s="452">
        <f>C129/12*$C$14</f>
        <v>0.0086805555555556</v>
      </c>
      <c r="E129" s="454">
        <f>IF(D129&gt;0%,C129/D129,100%)</f>
        <v>2.4</v>
      </c>
      <c r="F129" s="478"/>
      <c r="G129" s="421"/>
      <c r="H129" s="420" t="str">
        <f>G129/F129</f>
        <v>0</v>
      </c>
      <c r="I129" s="343"/>
      <c r="J129" s="61"/>
      <c r="K129" s="344" t="str">
        <f>J129/I129</f>
        <v>0</v>
      </c>
      <c r="L129" s="61"/>
      <c r="M129" s="61"/>
      <c r="N129" s="344" t="str">
        <f>M129/L129</f>
        <v>0</v>
      </c>
      <c r="O129" s="61"/>
      <c r="P129" s="61"/>
      <c r="Q129" s="344" t="str">
        <f>P129/O129</f>
        <v>0</v>
      </c>
      <c r="R129" s="61">
        <v>1</v>
      </c>
      <c r="S129" s="61"/>
      <c r="T129" s="344">
        <f>S129/R129</f>
        <v>0</v>
      </c>
      <c r="U129" s="61"/>
      <c r="V129" s="61"/>
      <c r="W129" s="344" t="str">
        <f>V129/U129</f>
        <v>0</v>
      </c>
      <c r="X129" s="61"/>
      <c r="Y129" s="61"/>
      <c r="Z129" s="344" t="str">
        <f>Y129/X129</f>
        <v>0</v>
      </c>
      <c r="AA129" s="61"/>
      <c r="AB129" s="61"/>
      <c r="AC129" s="344" t="str">
        <f>AB129/AA129</f>
        <v>0</v>
      </c>
      <c r="AD129" s="61"/>
      <c r="AE129" s="61"/>
      <c r="AF129" s="61" t="str">
        <f>AE129/AD129</f>
        <v>0</v>
      </c>
      <c r="AG129" s="61"/>
      <c r="AH129" s="61"/>
      <c r="AI129" s="61" t="str">
        <f>AH129/AG129</f>
        <v>0</v>
      </c>
      <c r="AJ129" s="61"/>
      <c r="AK129" s="61"/>
      <c r="AL129" s="61" t="str">
        <f>AK129/AJ129</f>
        <v>0</v>
      </c>
      <c r="AM129" s="61"/>
      <c r="AN129" s="61"/>
      <c r="AO129" s="61" t="str">
        <f>AN129/AM129</f>
        <v>0</v>
      </c>
      <c r="AP129" s="348">
        <f>F129+I129+L129+O129+R129+U129+X129+AA129+AD129+AG129+AJ129+AM129</f>
        <v>1</v>
      </c>
      <c r="AQ129" s="348">
        <f>SUM(G129,J129,M129,P129,S129,V129,Y129,AB129,AE129,AH129,AK129,AN129)</f>
        <v>0</v>
      </c>
      <c r="AR129" s="349">
        <f>AQ129/AP129</f>
        <v>0</v>
      </c>
    </row>
    <row r="130" spans="1:49" customHeight="1" ht="30">
      <c r="A130" s="494" t="s">
        <v>3027</v>
      </c>
      <c r="B130" s="452">
        <v>0.05</v>
      </c>
      <c r="C130" s="452">
        <f>B130/12*$C$14</f>
        <v>0.020833333333333</v>
      </c>
      <c r="D130" s="452">
        <f>C130/12*$C$14</f>
        <v>0.0086805555555556</v>
      </c>
      <c r="E130" s="454">
        <f>IF(D130&gt;0%,C130/D130,100%)</f>
        <v>2.4</v>
      </c>
      <c r="F130" s="478"/>
      <c r="G130" s="421"/>
      <c r="H130" s="420" t="str">
        <f>G130/F130</f>
        <v>0</v>
      </c>
      <c r="I130" s="343">
        <v>1</v>
      </c>
      <c r="J130" s="61"/>
      <c r="K130" s="344">
        <f>J130/I130</f>
        <v>0</v>
      </c>
      <c r="L130" s="61"/>
      <c r="M130" s="61"/>
      <c r="N130" s="344" t="str">
        <f>M130/L130</f>
        <v>0</v>
      </c>
      <c r="O130" s="61"/>
      <c r="P130" s="61"/>
      <c r="Q130" s="344" t="str">
        <f>P130/O130</f>
        <v>0</v>
      </c>
      <c r="R130" s="61"/>
      <c r="S130" s="61"/>
      <c r="T130" s="344" t="str">
        <f>S130/R130</f>
        <v>0</v>
      </c>
      <c r="U130" s="61"/>
      <c r="V130" s="61"/>
      <c r="W130" s="344" t="str">
        <f>V130/U130</f>
        <v>0</v>
      </c>
      <c r="X130" s="61"/>
      <c r="Y130" s="61"/>
      <c r="Z130" s="344" t="str">
        <f>Y130/X130</f>
        <v>0</v>
      </c>
      <c r="AA130" s="61"/>
      <c r="AB130" s="61"/>
      <c r="AC130" s="344" t="str">
        <f>AB130/AA130</f>
        <v>0</v>
      </c>
      <c r="AD130" s="61"/>
      <c r="AE130" s="61"/>
      <c r="AF130" s="61" t="str">
        <f>AE130/AD130</f>
        <v>0</v>
      </c>
      <c r="AG130" s="61"/>
      <c r="AH130" s="61"/>
      <c r="AI130" s="61" t="str">
        <f>AH130/AG130</f>
        <v>0</v>
      </c>
      <c r="AJ130" s="61"/>
      <c r="AK130" s="61"/>
      <c r="AL130" s="61" t="str">
        <f>AK130/AJ130</f>
        <v>0</v>
      </c>
      <c r="AM130" s="61"/>
      <c r="AN130" s="61"/>
      <c r="AO130" s="61" t="str">
        <f>AN130/AM130</f>
        <v>0</v>
      </c>
      <c r="AP130" s="348">
        <f>F130+I130+L130+O130+R130+U130+X130+AA130+AD130+AG130+AJ130+AM130</f>
        <v>1</v>
      </c>
      <c r="AQ130" s="348">
        <f>SUM(G130,J130,M130,P130,S130,V130,Y130,AB130,AE130,AH130,AK130,AN130)</f>
        <v>0</v>
      </c>
      <c r="AR130" s="349">
        <f>AQ130/AP130</f>
        <v>0</v>
      </c>
    </row>
    <row r="131" spans="1:49" customHeight="1" ht="30">
      <c r="A131" s="494" t="s">
        <v>3028</v>
      </c>
      <c r="B131" s="452">
        <v>0.05</v>
      </c>
      <c r="C131" s="452">
        <f>B131/12*$C$14</f>
        <v>0.020833333333333</v>
      </c>
      <c r="D131" s="452">
        <f>C131/12*$C$14</f>
        <v>0.0086805555555556</v>
      </c>
      <c r="E131" s="454">
        <f>IF(D131&gt;0%,C131/D131,100%)</f>
        <v>2.4</v>
      </c>
      <c r="F131" s="478"/>
      <c r="G131" s="421"/>
      <c r="H131" s="420" t="str">
        <f>G131/F131</f>
        <v>0</v>
      </c>
      <c r="I131" s="343"/>
      <c r="J131" s="61"/>
      <c r="K131" s="344" t="str">
        <f>J131/I131</f>
        <v>0</v>
      </c>
      <c r="L131" s="61"/>
      <c r="M131" s="61"/>
      <c r="N131" s="344" t="str">
        <f>M131/L131</f>
        <v>0</v>
      </c>
      <c r="O131" s="61"/>
      <c r="P131" s="61"/>
      <c r="Q131" s="344" t="str">
        <f>P131/O131</f>
        <v>0</v>
      </c>
      <c r="R131" s="61"/>
      <c r="S131" s="61"/>
      <c r="T131" s="344" t="str">
        <f>S131/R131</f>
        <v>0</v>
      </c>
      <c r="U131" s="61"/>
      <c r="V131" s="61"/>
      <c r="W131" s="344" t="str">
        <f>V131/U131</f>
        <v>0</v>
      </c>
      <c r="X131" s="61"/>
      <c r="Y131" s="61"/>
      <c r="Z131" s="344" t="str">
        <f>Y131/X131</f>
        <v>0</v>
      </c>
      <c r="AA131" s="61"/>
      <c r="AB131" s="61"/>
      <c r="AC131" s="344" t="str">
        <f>AB131/AA131</f>
        <v>0</v>
      </c>
      <c r="AD131" s="61"/>
      <c r="AE131" s="61"/>
      <c r="AF131" s="61" t="str">
        <f>AE131/AD131</f>
        <v>0</v>
      </c>
      <c r="AG131" s="61"/>
      <c r="AH131" s="61"/>
      <c r="AI131" s="61" t="str">
        <f>AH131/AG131</f>
        <v>0</v>
      </c>
      <c r="AJ131" s="61"/>
      <c r="AK131" s="61"/>
      <c r="AL131" s="61" t="str">
        <f>AK131/AJ131</f>
        <v>0</v>
      </c>
      <c r="AM131" s="61"/>
      <c r="AN131" s="61"/>
      <c r="AO131" s="61" t="str">
        <f>AN131/AM131</f>
        <v>0</v>
      </c>
      <c r="AP131" s="348">
        <f>F131+I131+L131+O131+R131+U131+X131+AA131+AD131+AG131+AJ131+AM131</f>
        <v>0</v>
      </c>
      <c r="AQ131" s="348">
        <f>SUM(G131,J131,M131,P131,S131,V131,Y131,AB131,AE131,AH131,AK131,AN131)</f>
        <v>0</v>
      </c>
      <c r="AR131" s="349" t="str">
        <f>AQ131/AP131</f>
        <v>0</v>
      </c>
    </row>
    <row r="132" spans="1:49" customHeight="1" ht="15">
      <c r="A132" s="495" t="s">
        <v>3029</v>
      </c>
      <c r="B132" s="395">
        <v>0.2</v>
      </c>
      <c r="C132" s="395">
        <f>B132/12*$C$14</f>
        <v>0.083333333333333</v>
      </c>
      <c r="D132" s="395">
        <f>C132/12*$C$14</f>
        <v>0.034722222222222</v>
      </c>
      <c r="E132" s="507">
        <f>IF(D132&gt;0%,C132/D132,100%)</f>
        <v>2.4</v>
      </c>
      <c r="F132" s="483"/>
      <c r="G132" s="421"/>
      <c r="H132" s="420" t="str">
        <f>G132/F132</f>
        <v>0</v>
      </c>
      <c r="I132" s="343"/>
      <c r="J132" s="61"/>
      <c r="K132" s="344" t="str">
        <f>J132/I132</f>
        <v>0</v>
      </c>
      <c r="L132" s="61"/>
      <c r="M132" s="61"/>
      <c r="N132" s="344" t="str">
        <f>M132/L132</f>
        <v>0</v>
      </c>
      <c r="O132" s="61"/>
      <c r="P132" s="61"/>
      <c r="Q132" s="344" t="str">
        <f>P132/O132</f>
        <v>0</v>
      </c>
      <c r="R132" s="61"/>
      <c r="S132" s="61"/>
      <c r="T132" s="344" t="str">
        <f>S132/R132</f>
        <v>0</v>
      </c>
      <c r="U132" s="61"/>
      <c r="V132" s="61"/>
      <c r="W132" s="344" t="str">
        <f>V132/U132</f>
        <v>0</v>
      </c>
      <c r="X132" s="61"/>
      <c r="Y132" s="61"/>
      <c r="Z132" s="344" t="str">
        <f>Y132/X132</f>
        <v>0</v>
      </c>
      <c r="AA132" s="61"/>
      <c r="AB132" s="61"/>
      <c r="AC132" s="344" t="str">
        <f>AB132/AA132</f>
        <v>0</v>
      </c>
      <c r="AD132" s="61"/>
      <c r="AE132" s="61"/>
      <c r="AF132" s="61" t="str">
        <f>AE132/AD132</f>
        <v>0</v>
      </c>
      <c r="AG132" s="61"/>
      <c r="AH132" s="61"/>
      <c r="AI132" s="61" t="str">
        <f>AH132/AG132</f>
        <v>0</v>
      </c>
      <c r="AJ132" s="61"/>
      <c r="AK132" s="61"/>
      <c r="AL132" s="61" t="str">
        <f>AK132/AJ132</f>
        <v>0</v>
      </c>
      <c r="AM132" s="61"/>
      <c r="AN132" s="61"/>
      <c r="AO132" s="61" t="str">
        <f>AN132/AM132</f>
        <v>0</v>
      </c>
      <c r="AP132" s="348">
        <f>F132+I132+L132+O132+R132+U132+X132+AA132+AD132+AG132+AJ132+AM132</f>
        <v>0</v>
      </c>
      <c r="AQ132" s="348">
        <f>SUM(G132,J132,M132,P132,S132,V132,Y132,AB132,AE132,AH132,AK132,AN132)</f>
        <v>0</v>
      </c>
      <c r="AR132" s="349" t="str">
        <f>AQ132/AP132</f>
        <v>0</v>
      </c>
    </row>
    <row r="133" spans="1:49" customHeight="1" ht="15">
      <c r="A133" s="493" t="s">
        <v>3030</v>
      </c>
      <c r="B133" s="452">
        <v>0.08</v>
      </c>
      <c r="C133" s="452">
        <f>B133/12*$C$14</f>
        <v>0.033333333333333</v>
      </c>
      <c r="D133" s="452">
        <f>C133/12*$C$14</f>
        <v>0.013888888888889</v>
      </c>
      <c r="E133" s="454">
        <f>IF(D133&gt;0%,C133/D133,100%)</f>
        <v>2.4</v>
      </c>
      <c r="F133" s="478"/>
      <c r="G133" s="421"/>
      <c r="H133" s="420" t="str">
        <f>G133/F133</f>
        <v>0</v>
      </c>
      <c r="I133" s="343">
        <v>1</v>
      </c>
      <c r="J133" s="61"/>
      <c r="K133" s="344">
        <f>J133/I133</f>
        <v>0</v>
      </c>
      <c r="L133" s="61"/>
      <c r="M133" s="61"/>
      <c r="N133" s="344" t="str">
        <f>M133/L133</f>
        <v>0</v>
      </c>
      <c r="O133" s="61"/>
      <c r="P133" s="61"/>
      <c r="Q133" s="344" t="str">
        <f>P133/O133</f>
        <v>0</v>
      </c>
      <c r="R133" s="61"/>
      <c r="S133" s="61"/>
      <c r="T133" s="344" t="str">
        <f>S133/R133</f>
        <v>0</v>
      </c>
      <c r="U133" s="61"/>
      <c r="V133" s="61"/>
      <c r="W133" s="344" t="str">
        <f>V133/U133</f>
        <v>0</v>
      </c>
      <c r="X133" s="61"/>
      <c r="Y133" s="61"/>
      <c r="Z133" s="344" t="str">
        <f>Y133/X133</f>
        <v>0</v>
      </c>
      <c r="AA133" s="61"/>
      <c r="AB133" s="61"/>
      <c r="AC133" s="344" t="str">
        <f>AB133/AA133</f>
        <v>0</v>
      </c>
      <c r="AD133" s="61"/>
      <c r="AE133" s="61"/>
      <c r="AF133" s="61" t="str">
        <f>AE133/AD133</f>
        <v>0</v>
      </c>
      <c r="AG133" s="61"/>
      <c r="AH133" s="61"/>
      <c r="AI133" s="61" t="str">
        <f>AH133/AG133</f>
        <v>0</v>
      </c>
      <c r="AJ133" s="61"/>
      <c r="AK133" s="61"/>
      <c r="AL133" s="61" t="str">
        <f>AK133/AJ133</f>
        <v>0</v>
      </c>
      <c r="AM133" s="61"/>
      <c r="AN133" s="61"/>
      <c r="AO133" s="61" t="str">
        <f>AN133/AM133</f>
        <v>0</v>
      </c>
      <c r="AP133" s="348">
        <f>F133+I133+L133+O133+R133+U133+X133+AA133+AD133+AG133+AJ133+AM133</f>
        <v>1</v>
      </c>
      <c r="AQ133" s="348">
        <f>SUM(G133,J133,M133,P133,S133,V133,Y133,AB133,AE133,AH133,AK133,AN133)</f>
        <v>0</v>
      </c>
      <c r="AR133" s="349">
        <f>AQ133/AP133</f>
        <v>0</v>
      </c>
    </row>
    <row r="134" spans="1:49" customHeight="1" ht="15">
      <c r="A134" s="493" t="s">
        <v>3031</v>
      </c>
      <c r="B134" s="452">
        <v>0.13</v>
      </c>
      <c r="C134" s="452">
        <f>B134/12*$C$14</f>
        <v>0.054166666666667</v>
      </c>
      <c r="D134" s="452">
        <f>C134/12*$C$14</f>
        <v>0.022569444444444</v>
      </c>
      <c r="E134" s="454">
        <f>IF(D134&gt;0%,C134/D134,100%)</f>
        <v>2.4</v>
      </c>
      <c r="F134" s="478">
        <v>1</v>
      </c>
      <c r="G134" s="421"/>
      <c r="H134" s="420">
        <f>G134/F134</f>
        <v>0</v>
      </c>
      <c r="I134" s="343"/>
      <c r="J134" s="61"/>
      <c r="K134" s="344" t="str">
        <f>J134/I134</f>
        <v>0</v>
      </c>
      <c r="L134" s="61"/>
      <c r="M134" s="61"/>
      <c r="N134" s="344" t="str">
        <f>M134/L134</f>
        <v>0</v>
      </c>
      <c r="O134" s="61"/>
      <c r="P134" s="61"/>
      <c r="Q134" s="344" t="str">
        <f>P134/O134</f>
        <v>0</v>
      </c>
      <c r="R134" s="61"/>
      <c r="S134" s="61"/>
      <c r="T134" s="344" t="str">
        <f>S134/R134</f>
        <v>0</v>
      </c>
      <c r="U134" s="61"/>
      <c r="V134" s="61"/>
      <c r="W134" s="344" t="str">
        <f>V134/U134</f>
        <v>0</v>
      </c>
      <c r="X134" s="61"/>
      <c r="Y134" s="61"/>
      <c r="Z134" s="344" t="str">
        <f>Y134/X134</f>
        <v>0</v>
      </c>
      <c r="AA134" s="61"/>
      <c r="AB134" s="61"/>
      <c r="AC134" s="344" t="str">
        <f>AB134/AA134</f>
        <v>0</v>
      </c>
      <c r="AD134" s="61"/>
      <c r="AE134" s="61"/>
      <c r="AF134" s="61" t="str">
        <f>AE134/AD134</f>
        <v>0</v>
      </c>
      <c r="AG134" s="61"/>
      <c r="AH134" s="61"/>
      <c r="AI134" s="61" t="str">
        <f>AH134/AG134</f>
        <v>0</v>
      </c>
      <c r="AJ134" s="61"/>
      <c r="AK134" s="61"/>
      <c r="AL134" s="61" t="str">
        <f>AK134/AJ134</f>
        <v>0</v>
      </c>
      <c r="AM134" s="61"/>
      <c r="AN134" s="61"/>
      <c r="AO134" s="61" t="str">
        <f>AN134/AM134</f>
        <v>0</v>
      </c>
      <c r="AP134" s="348">
        <f>F134+I134+L134+O134+R134+U134+X134+AA134+AD134+AG134+AJ134+AM134</f>
        <v>1</v>
      </c>
      <c r="AQ134" s="348">
        <f>SUM(G134,J134,M134,P134,S134,V134,Y134,AB134,AE134,AH134,AK134,AN134)</f>
        <v>0</v>
      </c>
      <c r="AR134" s="349">
        <f>AQ134/AP134</f>
        <v>0</v>
      </c>
    </row>
    <row r="135" spans="1:49" customHeight="1" ht="15">
      <c r="A135" s="493" t="s">
        <v>3032</v>
      </c>
      <c r="B135" s="452">
        <v>0.13</v>
      </c>
      <c r="C135" s="452">
        <f>B135/12*$C$14</f>
        <v>0.054166666666667</v>
      </c>
      <c r="D135" s="452">
        <f>C135/12*$C$14</f>
        <v>0.022569444444444</v>
      </c>
      <c r="E135" s="454">
        <f>IF(D135&gt;0%,C135/D135,100%)</f>
        <v>2.4</v>
      </c>
      <c r="F135" s="478"/>
      <c r="G135" s="421"/>
      <c r="H135" s="420" t="str">
        <f>G135/F135</f>
        <v>0</v>
      </c>
      <c r="I135" s="343"/>
      <c r="J135" s="61"/>
      <c r="K135" s="344" t="str">
        <f>J135/I135</f>
        <v>0</v>
      </c>
      <c r="L135" s="61">
        <v>2</v>
      </c>
      <c r="M135" s="61"/>
      <c r="N135" s="344">
        <f>M135/L135</f>
        <v>0</v>
      </c>
      <c r="O135" s="61">
        <v>1</v>
      </c>
      <c r="P135" s="61"/>
      <c r="Q135" s="344">
        <f>P135/O135</f>
        <v>0</v>
      </c>
      <c r="R135" s="61">
        <v>4</v>
      </c>
      <c r="S135" s="61"/>
      <c r="T135" s="344">
        <f>S135/R135</f>
        <v>0</v>
      </c>
      <c r="U135" s="61"/>
      <c r="V135" s="61"/>
      <c r="W135" s="344" t="str">
        <f>V135/U135</f>
        <v>0</v>
      </c>
      <c r="X135" s="61"/>
      <c r="Y135" s="61"/>
      <c r="Z135" s="344" t="str">
        <f>Y135/X135</f>
        <v>0</v>
      </c>
      <c r="AA135" s="61"/>
      <c r="AB135" s="61"/>
      <c r="AC135" s="344" t="str">
        <f>AB135/AA135</f>
        <v>0</v>
      </c>
      <c r="AD135" s="61"/>
      <c r="AE135" s="61"/>
      <c r="AF135" s="61" t="str">
        <f>AE135/AD135</f>
        <v>0</v>
      </c>
      <c r="AG135" s="61"/>
      <c r="AH135" s="61"/>
      <c r="AI135" s="61" t="str">
        <f>AH135/AG135</f>
        <v>0</v>
      </c>
      <c r="AJ135" s="61"/>
      <c r="AK135" s="61"/>
      <c r="AL135" s="61" t="str">
        <f>AK135/AJ135</f>
        <v>0</v>
      </c>
      <c r="AM135" s="61"/>
      <c r="AN135" s="61"/>
      <c r="AO135" s="61" t="str">
        <f>AN135/AM135</f>
        <v>0</v>
      </c>
      <c r="AP135" s="348">
        <f>F135+I135+L135+O135+R135+U135+X135+AA135+AD135+AG135+AJ135+AM135</f>
        <v>7</v>
      </c>
      <c r="AQ135" s="348">
        <f>SUM(G135,J135,M135,P135,S135,V135,Y135,AB135,AE135,AH135,AK135,AN135)</f>
        <v>0</v>
      </c>
      <c r="AR135" s="349">
        <f>AQ135/AP135</f>
        <v>0</v>
      </c>
    </row>
    <row r="136" spans="1:49" customHeight="1" ht="15">
      <c r="A136" s="493" t="s">
        <v>3033</v>
      </c>
      <c r="B136" s="455">
        <v>0.0</v>
      </c>
      <c r="C136" s="455">
        <f>B136/12*$C$14</f>
        <v>0</v>
      </c>
      <c r="D136" s="455">
        <f>C136/12*$C$14</f>
        <v>0</v>
      </c>
      <c r="E136" s="489">
        <f>IF(D136&gt;0%,C136/D136,100%)</f>
        <v>1</v>
      </c>
      <c r="F136" s="478"/>
      <c r="G136" s="421"/>
      <c r="H136" s="420" t="str">
        <f>G136/F136</f>
        <v>0</v>
      </c>
      <c r="I136" s="343"/>
      <c r="J136" s="61"/>
      <c r="K136" s="344" t="str">
        <f>J136/I136</f>
        <v>0</v>
      </c>
      <c r="L136" s="61"/>
      <c r="M136" s="61"/>
      <c r="N136" s="344" t="str">
        <f>M136/L136</f>
        <v>0</v>
      </c>
      <c r="O136" s="61"/>
      <c r="P136" s="61"/>
      <c r="Q136" s="344" t="str">
        <f>P136/O136</f>
        <v>0</v>
      </c>
      <c r="R136" s="61">
        <v>1</v>
      </c>
      <c r="S136" s="61"/>
      <c r="T136" s="344">
        <f>S136/R136</f>
        <v>0</v>
      </c>
      <c r="U136" s="61"/>
      <c r="V136" s="61"/>
      <c r="W136" s="344" t="str">
        <f>V136/U136</f>
        <v>0</v>
      </c>
      <c r="X136" s="61"/>
      <c r="Y136" s="61"/>
      <c r="Z136" s="344" t="str">
        <f>Y136/X136</f>
        <v>0</v>
      </c>
      <c r="AA136" s="61"/>
      <c r="AB136" s="61"/>
      <c r="AC136" s="344" t="str">
        <f>AB136/AA136</f>
        <v>0</v>
      </c>
      <c r="AD136" s="61"/>
      <c r="AE136" s="61"/>
      <c r="AF136" s="61" t="str">
        <f>AE136/AD136</f>
        <v>0</v>
      </c>
      <c r="AG136" s="61"/>
      <c r="AH136" s="61"/>
      <c r="AI136" s="61" t="str">
        <f>AH136/AG136</f>
        <v>0</v>
      </c>
      <c r="AJ136" s="61"/>
      <c r="AK136" s="61"/>
      <c r="AL136" s="61" t="str">
        <f>AK136/AJ136</f>
        <v>0</v>
      </c>
      <c r="AM136" s="61"/>
      <c r="AN136" s="61"/>
      <c r="AO136" s="61" t="str">
        <f>AN136/AM136</f>
        <v>0</v>
      </c>
      <c r="AP136" s="348">
        <f>F136+I136+L136+O136+R136+U136+X136+AA136+AD136+AG136+AJ136+AM136</f>
        <v>1</v>
      </c>
      <c r="AQ136" s="348">
        <f>SUM(G136,J136,M136,P136,S136,V136,Y136,AB136,AE136,AH136,AK136,AN136)</f>
        <v>0</v>
      </c>
      <c r="AR136" s="349">
        <f>AQ136/AP136</f>
        <v>0</v>
      </c>
    </row>
    <row r="137" spans="1:49" customHeight="1" ht="15">
      <c r="A137" s="493" t="s">
        <v>3034</v>
      </c>
      <c r="B137" s="455">
        <v>0.2</v>
      </c>
      <c r="C137" s="455">
        <f>B137/12*$C$14</f>
        <v>0.083333333333333</v>
      </c>
      <c r="D137" s="455">
        <f>C137/12*$C$14</f>
        <v>0.034722222222222</v>
      </c>
      <c r="E137" s="489">
        <f>IF(D137&gt;0%,C137/D137,100%)</f>
        <v>2.4</v>
      </c>
      <c r="F137" s="478"/>
      <c r="G137" s="421"/>
      <c r="H137" s="420" t="str">
        <f>G137/F137</f>
        <v>0</v>
      </c>
      <c r="I137" s="343"/>
      <c r="J137" s="61">
        <v>1</v>
      </c>
      <c r="K137" s="344" t="str">
        <f>J137/I137</f>
        <v>0</v>
      </c>
      <c r="L137" s="61"/>
      <c r="M137" s="61"/>
      <c r="N137" s="344" t="str">
        <f>M137/L137</f>
        <v>0</v>
      </c>
      <c r="O137" s="61">
        <v>2</v>
      </c>
      <c r="P137" s="61"/>
      <c r="Q137" s="344">
        <f>P137/O137</f>
        <v>0</v>
      </c>
      <c r="R137" s="61">
        <v>3</v>
      </c>
      <c r="S137" s="61"/>
      <c r="T137" s="344">
        <f>S137/R137</f>
        <v>0</v>
      </c>
      <c r="U137" s="61"/>
      <c r="V137" s="61"/>
      <c r="W137" s="344" t="str">
        <f>V137/U137</f>
        <v>0</v>
      </c>
      <c r="X137" s="61"/>
      <c r="Y137" s="61"/>
      <c r="Z137" s="344" t="str">
        <f>Y137/X137</f>
        <v>0</v>
      </c>
      <c r="AA137" s="61"/>
      <c r="AB137" s="61"/>
      <c r="AC137" s="344" t="str">
        <f>AB137/AA137</f>
        <v>0</v>
      </c>
      <c r="AD137" s="61"/>
      <c r="AE137" s="61"/>
      <c r="AF137" s="61" t="str">
        <f>AE137/AD137</f>
        <v>0</v>
      </c>
      <c r="AG137" s="61"/>
      <c r="AH137" s="61"/>
      <c r="AI137" s="61" t="str">
        <f>AH137/AG137</f>
        <v>0</v>
      </c>
      <c r="AJ137" s="61"/>
      <c r="AK137" s="61"/>
      <c r="AL137" s="61" t="str">
        <f>AK137/AJ137</f>
        <v>0</v>
      </c>
      <c r="AM137" s="61"/>
      <c r="AN137" s="61"/>
      <c r="AO137" s="61" t="str">
        <f>AN137/AM137</f>
        <v>0</v>
      </c>
      <c r="AP137" s="348">
        <f>F137+I137+L137+O137+R137+U137+X137+AA137+AD137+AG137+AJ137+AM137</f>
        <v>5</v>
      </c>
      <c r="AQ137" s="348">
        <f>SUM(G137,J137,M137,P137,S137,V137,Y137,AB137,AE137,AH137,AK137,AN137)</f>
        <v>1</v>
      </c>
      <c r="AR137" s="349">
        <f>AQ137/AP137</f>
        <v>0.2</v>
      </c>
    </row>
    <row r="138" spans="1:49" customHeight="1" ht="15">
      <c r="A138" s="492" t="s">
        <v>3035</v>
      </c>
      <c r="B138" s="395">
        <v>0.15</v>
      </c>
      <c r="C138" s="395">
        <f>B138/12*$C$14</f>
        <v>0.0625</v>
      </c>
      <c r="D138" s="395">
        <f>C138/12*$C$14</f>
        <v>0.026041666666667</v>
      </c>
      <c r="E138" s="506">
        <f>IF(D138&gt;0%,C138/D138,100%)</f>
        <v>2.4</v>
      </c>
      <c r="F138" s="478"/>
      <c r="G138" s="421"/>
      <c r="H138" s="420" t="str">
        <f>G138/F138</f>
        <v>0</v>
      </c>
      <c r="I138" s="343"/>
      <c r="J138" s="61"/>
      <c r="K138" s="344" t="str">
        <f>J138/I138</f>
        <v>0</v>
      </c>
      <c r="L138" s="61"/>
      <c r="M138" s="61"/>
      <c r="N138" s="344" t="str">
        <f>M138/L138</f>
        <v>0</v>
      </c>
      <c r="O138" s="61"/>
      <c r="P138" s="61"/>
      <c r="Q138" s="344" t="str">
        <f>P138/O138</f>
        <v>0</v>
      </c>
      <c r="R138" s="61"/>
      <c r="S138" s="61"/>
      <c r="T138" s="344" t="str">
        <f>S138/R138</f>
        <v>0</v>
      </c>
      <c r="U138" s="61"/>
      <c r="V138" s="61"/>
      <c r="W138" s="344" t="str">
        <f>V138/U138</f>
        <v>0</v>
      </c>
      <c r="X138" s="61"/>
      <c r="Y138" s="61"/>
      <c r="Z138" s="344" t="str">
        <f>Y138/X138</f>
        <v>0</v>
      </c>
      <c r="AA138" s="61"/>
      <c r="AB138" s="61"/>
      <c r="AC138" s="344" t="str">
        <f>AB138/AA138</f>
        <v>0</v>
      </c>
      <c r="AD138" s="61"/>
      <c r="AE138" s="61"/>
      <c r="AF138" s="61" t="str">
        <f>AE138/AD138</f>
        <v>0</v>
      </c>
      <c r="AG138" s="61"/>
      <c r="AH138" s="61"/>
      <c r="AI138" s="61" t="str">
        <f>AH138/AG138</f>
        <v>0</v>
      </c>
      <c r="AJ138" s="61"/>
      <c r="AK138" s="61"/>
      <c r="AL138" s="61" t="str">
        <f>AK138/AJ138</f>
        <v>0</v>
      </c>
      <c r="AM138" s="61"/>
      <c r="AN138" s="61"/>
      <c r="AO138" s="61" t="str">
        <f>AN138/AM138</f>
        <v>0</v>
      </c>
      <c r="AP138" s="348">
        <f>F138+I138+L138+O138+R138+U138+X138+AA138+AD138+AG138+AJ138+AM138</f>
        <v>0</v>
      </c>
      <c r="AQ138" s="348">
        <f>SUM(G138,J138,M138,P138,S138,V138,Y138,AB138,AE138,AH138,AK138,AN138)</f>
        <v>0</v>
      </c>
      <c r="AR138" s="349" t="str">
        <f>AQ138/AP138</f>
        <v>0</v>
      </c>
    </row>
    <row r="139" spans="1:49" customHeight="1" ht="30">
      <c r="A139" s="457" t="s">
        <v>3036</v>
      </c>
      <c r="B139" s="452">
        <v>0.05</v>
      </c>
      <c r="C139" s="452">
        <f>B139/12*$C$14</f>
        <v>0.020833333333333</v>
      </c>
      <c r="D139" s="452">
        <f>C139/12*$C$14</f>
        <v>0.0086805555555556</v>
      </c>
      <c r="E139" s="454">
        <f>IF(D139&gt;0%,C139/D139,100%)</f>
        <v>2.4</v>
      </c>
      <c r="F139" s="120"/>
      <c r="G139" s="421"/>
      <c r="H139" s="420" t="str">
        <f>G139/F139</f>
        <v>0</v>
      </c>
      <c r="I139" s="343"/>
      <c r="J139" s="61"/>
      <c r="K139" s="344" t="str">
        <f>J139/I139</f>
        <v>0</v>
      </c>
      <c r="L139" s="61"/>
      <c r="M139" s="61"/>
      <c r="N139" s="344" t="str">
        <f>M139/L139</f>
        <v>0</v>
      </c>
      <c r="O139" s="61"/>
      <c r="P139" s="61"/>
      <c r="Q139" s="344" t="str">
        <f>P139/O139</f>
        <v>0</v>
      </c>
      <c r="R139" s="61"/>
      <c r="S139" s="61"/>
      <c r="T139" s="344" t="str">
        <f>S139/R139</f>
        <v>0</v>
      </c>
      <c r="U139" s="61"/>
      <c r="V139" s="61"/>
      <c r="W139" s="344" t="str">
        <f>V139/U139</f>
        <v>0</v>
      </c>
      <c r="X139" s="61"/>
      <c r="Y139" s="61"/>
      <c r="Z139" s="344" t="str">
        <f>Y139/X139</f>
        <v>0</v>
      </c>
      <c r="AA139" s="61"/>
      <c r="AB139" s="61"/>
      <c r="AC139" s="344" t="str">
        <f>AB139/AA139</f>
        <v>0</v>
      </c>
      <c r="AD139" s="61"/>
      <c r="AE139" s="61"/>
      <c r="AF139" s="61" t="str">
        <f>AE139/AD139</f>
        <v>0</v>
      </c>
      <c r="AG139" s="61"/>
      <c r="AH139" s="61"/>
      <c r="AI139" s="61" t="str">
        <f>AH139/AG139</f>
        <v>0</v>
      </c>
      <c r="AJ139" s="61"/>
      <c r="AK139" s="61"/>
      <c r="AL139" s="61" t="str">
        <f>AK139/AJ139</f>
        <v>0</v>
      </c>
      <c r="AM139" s="61"/>
      <c r="AN139" s="61"/>
      <c r="AO139" s="61" t="str">
        <f>AN139/AM139</f>
        <v>0</v>
      </c>
      <c r="AP139" s="348">
        <f>F139+I139+L139+O139+R139+U139+X139+AA139+AD139+AG139+AJ139+AM139</f>
        <v>0</v>
      </c>
      <c r="AQ139" s="348">
        <f>SUM(G139,J139,M139,P139,S139,V139,Y139,AB139,AE139,AH139,AK139,AN139)</f>
        <v>0</v>
      </c>
      <c r="AR139" s="349" t="str">
        <f>AQ139/AP139</f>
        <v>0</v>
      </c>
    </row>
    <row r="140" spans="1:49" customHeight="1" ht="15">
      <c r="A140" s="457" t="s">
        <v>3037</v>
      </c>
      <c r="B140" s="452">
        <v>0.1</v>
      </c>
      <c r="C140" s="452">
        <f>B140/12*$C$14</f>
        <v>0.041666666666667</v>
      </c>
      <c r="D140" s="452">
        <f>C140/12*$C$14</f>
        <v>0.017361111111111</v>
      </c>
      <c r="E140" s="454">
        <f>IF(D140&gt;0%,C140/D140,100%)</f>
        <v>2.4</v>
      </c>
      <c r="F140" s="120"/>
      <c r="G140" s="421"/>
      <c r="H140" s="420" t="str">
        <f>G140/F140</f>
        <v>0</v>
      </c>
      <c r="I140" s="343"/>
      <c r="J140" s="61"/>
      <c r="K140" s="344" t="str">
        <f>J140/I140</f>
        <v>0</v>
      </c>
      <c r="L140" s="61"/>
      <c r="M140" s="61"/>
      <c r="N140" s="344" t="str">
        <f>M140/L140</f>
        <v>0</v>
      </c>
      <c r="O140" s="61"/>
      <c r="P140" s="61"/>
      <c r="Q140" s="344" t="str">
        <f>P140/O140</f>
        <v>0</v>
      </c>
      <c r="R140" s="61"/>
      <c r="S140" s="61"/>
      <c r="T140" s="344" t="str">
        <f>S140/R140</f>
        <v>0</v>
      </c>
      <c r="U140" s="61"/>
      <c r="V140" s="61"/>
      <c r="W140" s="344" t="str">
        <f>V140/U140</f>
        <v>0</v>
      </c>
      <c r="X140" s="61"/>
      <c r="Y140" s="61"/>
      <c r="Z140" s="344" t="str">
        <f>Y140/X140</f>
        <v>0</v>
      </c>
      <c r="AA140" s="61"/>
      <c r="AB140" s="61"/>
      <c r="AC140" s="344" t="str">
        <f>AB140/AA140</f>
        <v>0</v>
      </c>
      <c r="AD140" s="61"/>
      <c r="AE140" s="61"/>
      <c r="AF140" s="61" t="str">
        <f>AE140/AD140</f>
        <v>0</v>
      </c>
      <c r="AG140" s="61"/>
      <c r="AH140" s="61"/>
      <c r="AI140" s="61" t="str">
        <f>AH140/AG140</f>
        <v>0</v>
      </c>
      <c r="AJ140" s="61"/>
      <c r="AK140" s="61"/>
      <c r="AL140" s="61" t="str">
        <f>AK140/AJ140</f>
        <v>0</v>
      </c>
      <c r="AM140" s="61"/>
      <c r="AN140" s="61"/>
      <c r="AO140" s="61" t="str">
        <f>AN140/AM140</f>
        <v>0</v>
      </c>
      <c r="AP140" s="348">
        <f>F140+I140+L140+O140+R140+U140+X140+AA140+AD140+AG140+AJ140+AM140</f>
        <v>0</v>
      </c>
      <c r="AQ140" s="348">
        <f>SUM(G140,J140,M140,P140,S140,V140,Y140,AB140,AE140,AH140,AK140,AN140)</f>
        <v>0</v>
      </c>
      <c r="AR140" s="349" t="str">
        <f>AQ140/AP140</f>
        <v>0</v>
      </c>
    </row>
    <row r="141" spans="1:49" customHeight="1" ht="15">
      <c r="A141" s="393" t="s">
        <v>219</v>
      </c>
      <c r="B141" s="395">
        <v>0.1</v>
      </c>
      <c r="C141" s="395">
        <f>B141/12*$C$14</f>
        <v>0.041666666666667</v>
      </c>
      <c r="D141" s="395">
        <f>C141/12*$C$14</f>
        <v>0.017361111111111</v>
      </c>
      <c r="E141" s="506">
        <f>IF(D141&gt;0%,C141/D141,100%)</f>
        <v>2.4</v>
      </c>
      <c r="F141" s="343"/>
      <c r="G141" s="421"/>
      <c r="H141" s="420" t="str">
        <f>G141/F141</f>
        <v>0</v>
      </c>
      <c r="I141" s="343"/>
      <c r="J141" s="61"/>
      <c r="K141" s="344" t="str">
        <f>J141/I141</f>
        <v>0</v>
      </c>
      <c r="L141" s="61"/>
      <c r="M141" s="61"/>
      <c r="N141" s="344" t="str">
        <f>M141/L141</f>
        <v>0</v>
      </c>
      <c r="O141" s="61"/>
      <c r="P141" s="61"/>
      <c r="Q141" s="344" t="str">
        <f>P141/O141</f>
        <v>0</v>
      </c>
      <c r="R141" s="61"/>
      <c r="S141" s="61"/>
      <c r="T141" s="344" t="str">
        <f>S141/R141</f>
        <v>0</v>
      </c>
      <c r="U141" s="61"/>
      <c r="V141" s="61"/>
      <c r="W141" s="344" t="str">
        <f>V141/U141</f>
        <v>0</v>
      </c>
      <c r="X141" s="61"/>
      <c r="Y141" s="61"/>
      <c r="Z141" s="344" t="str">
        <f>Y141/X141</f>
        <v>0</v>
      </c>
      <c r="AA141" s="61"/>
      <c r="AB141" s="61"/>
      <c r="AC141" s="344" t="str">
        <f>AB141/AA141</f>
        <v>0</v>
      </c>
      <c r="AD141" s="61"/>
      <c r="AE141" s="61"/>
      <c r="AF141" s="61" t="str">
        <f>AE141/AD141</f>
        <v>0</v>
      </c>
      <c r="AG141" s="61"/>
      <c r="AH141" s="61"/>
      <c r="AI141" s="61" t="str">
        <f>AH141/AG141</f>
        <v>0</v>
      </c>
      <c r="AJ141" s="61"/>
      <c r="AK141" s="61"/>
      <c r="AL141" s="61" t="str">
        <f>AK141/AJ141</f>
        <v>0</v>
      </c>
      <c r="AM141" s="61"/>
      <c r="AN141" s="61"/>
      <c r="AO141" s="61" t="str">
        <f>AN141/AM141</f>
        <v>0</v>
      </c>
      <c r="AP141" s="348">
        <f>F141+I141+L141+O141+R141+U141+X141+AA141+AD141+AG141+AJ141+AM141</f>
        <v>0</v>
      </c>
      <c r="AQ141" s="348">
        <f>SUM(G141,J141,M141,P141,S141,V141,Y141,AB141,AE141,AH141,AK141,AN141)</f>
        <v>0</v>
      </c>
      <c r="AR141" s="349" t="str">
        <f>AQ141/AP141</f>
        <v>0</v>
      </c>
    </row>
    <row r="142" spans="1:49" customHeight="1" ht="15">
      <c r="A142" s="430" t="s">
        <v>3038</v>
      </c>
      <c r="B142" s="417">
        <v>0.08</v>
      </c>
      <c r="C142" s="417">
        <f>B142/12*$C$14</f>
        <v>0.033333333333333</v>
      </c>
      <c r="D142" s="417">
        <f>C142/12*$C$14</f>
        <v>0.013888888888889</v>
      </c>
      <c r="E142" s="508">
        <f>AS142</f>
        <v>0</v>
      </c>
      <c r="F142" s="343"/>
      <c r="G142" s="421"/>
      <c r="H142" s="420" t="str">
        <f>G142/F142</f>
        <v>0</v>
      </c>
      <c r="I142" s="343"/>
      <c r="J142" s="61"/>
      <c r="K142" s="344" t="str">
        <f>J142/I142</f>
        <v>0</v>
      </c>
      <c r="L142" s="61"/>
      <c r="M142" s="61"/>
      <c r="N142" s="344" t="str">
        <f>M142/L142</f>
        <v>0</v>
      </c>
      <c r="O142" s="61"/>
      <c r="P142" s="61"/>
      <c r="Q142" s="344" t="str">
        <f>P142/O142</f>
        <v>0</v>
      </c>
      <c r="R142" s="61"/>
      <c r="S142" s="61"/>
      <c r="T142" s="344" t="str">
        <f>S142/R142</f>
        <v>0</v>
      </c>
      <c r="U142" s="61"/>
      <c r="V142" s="61"/>
      <c r="W142" s="344" t="str">
        <f>V142/U142</f>
        <v>0</v>
      </c>
      <c r="X142" s="61"/>
      <c r="Y142" s="61"/>
      <c r="Z142" s="344" t="str">
        <f>Y142/X142</f>
        <v>0</v>
      </c>
      <c r="AA142" s="61"/>
      <c r="AB142" s="61"/>
      <c r="AC142" s="344" t="str">
        <f>AB142/AA142</f>
        <v>0</v>
      </c>
      <c r="AD142" s="61"/>
      <c r="AE142" s="61"/>
      <c r="AF142" s="61" t="str">
        <f>AE142/AD142</f>
        <v>0</v>
      </c>
      <c r="AG142" s="61"/>
      <c r="AH142" s="61"/>
      <c r="AI142" s="61" t="str">
        <f>AH142/AG142</f>
        <v>0</v>
      </c>
      <c r="AJ142" s="61"/>
      <c r="AK142" s="61"/>
      <c r="AL142" s="61" t="str">
        <f>AK142/AJ142</f>
        <v>0</v>
      </c>
      <c r="AM142" s="61"/>
      <c r="AN142" s="61"/>
      <c r="AO142" s="61" t="str">
        <f>AN142/AM142</f>
        <v>0</v>
      </c>
      <c r="AP142" s="348">
        <f>F142+I142+L142+O142+R142+U142+X142+AA142+AD142+AG142+AJ142+AM142</f>
        <v>0</v>
      </c>
      <c r="AQ142" s="348">
        <f>SUM(G142,J142,M142,P142,S142,V142,Y142,AB142,AE142,AH142,AK142,AN142)</f>
        <v>0</v>
      </c>
      <c r="AR142" s="349" t="str">
        <f>AQ142/AP142</f>
        <v>0</v>
      </c>
    </row>
    <row r="143" spans="1:49" customHeight="1" ht="15">
      <c r="A143" s="430" t="s">
        <v>3039</v>
      </c>
      <c r="B143" s="417">
        <v>0.02</v>
      </c>
      <c r="C143" s="417">
        <f>B143/12*$C$14</f>
        <v>0.0083333333333333</v>
      </c>
      <c r="D143" s="417">
        <f>C143/12*$C$14</f>
        <v>0.0034722222222222</v>
      </c>
      <c r="E143" s="508">
        <f>AS143</f>
        <v>0</v>
      </c>
      <c r="F143" s="343"/>
      <c r="G143" s="421"/>
      <c r="H143" s="420" t="str">
        <f>G143/F143</f>
        <v>0</v>
      </c>
      <c r="I143" s="343"/>
      <c r="J143" s="61"/>
      <c r="K143" s="344" t="str">
        <f>J143/I143</f>
        <v>0</v>
      </c>
      <c r="L143" s="61"/>
      <c r="M143" s="61"/>
      <c r="N143" s="344" t="str">
        <f>M143/L143</f>
        <v>0</v>
      </c>
      <c r="O143" s="61"/>
      <c r="P143" s="61"/>
      <c r="Q143" s="344" t="str">
        <f>P143/O143</f>
        <v>0</v>
      </c>
      <c r="R143" s="61"/>
      <c r="S143" s="61"/>
      <c r="T143" s="344" t="str">
        <f>S143/R143</f>
        <v>0</v>
      </c>
      <c r="U143" s="61"/>
      <c r="V143" s="61"/>
      <c r="W143" s="344" t="str">
        <f>V143/U143</f>
        <v>0</v>
      </c>
      <c r="X143" s="61"/>
      <c r="Y143" s="61"/>
      <c r="Z143" s="344" t="str">
        <f>Y143/X143</f>
        <v>0</v>
      </c>
      <c r="AA143" s="61"/>
      <c r="AB143" s="61"/>
      <c r="AC143" s="344" t="str">
        <f>AB143/AA143</f>
        <v>0</v>
      </c>
      <c r="AD143" s="61"/>
      <c r="AE143" s="61"/>
      <c r="AF143" s="61" t="str">
        <f>AE143/AD143</f>
        <v>0</v>
      </c>
      <c r="AG143" s="61"/>
      <c r="AH143" s="61"/>
      <c r="AI143" s="61" t="str">
        <f>AH143/AG143</f>
        <v>0</v>
      </c>
      <c r="AJ143" s="61"/>
      <c r="AK143" s="61"/>
      <c r="AL143" s="61" t="str">
        <f>AK143/AJ143</f>
        <v>0</v>
      </c>
      <c r="AM143" s="61"/>
      <c r="AN143" s="61"/>
      <c r="AO143" s="61" t="str">
        <f>AN143/AM143</f>
        <v>0</v>
      </c>
      <c r="AP143" s="348">
        <f>F143+I143+L143+O143+R143+U143+X143+AA143+AD143+AG143+AJ143+AM143</f>
        <v>0</v>
      </c>
      <c r="AQ143" s="348">
        <f>SUM(G143,J143,M143,P143,S143,V143,Y143,AB143,AE143,AH143,AK143,AN143)</f>
        <v>0</v>
      </c>
      <c r="AR143" s="349" t="str">
        <f>AQ143/AP143</f>
        <v>0</v>
      </c>
    </row>
    <row r="144" spans="1:49" customHeight="1" ht="15">
      <c r="A144" s="393" t="s">
        <v>3041</v>
      </c>
      <c r="B144" s="451">
        <v>0.15</v>
      </c>
      <c r="C144" s="451">
        <f>B144/12*$C$14</f>
        <v>0.0625</v>
      </c>
      <c r="D144" s="451">
        <f>C144/12*$C$14</f>
        <v>0.026041666666667</v>
      </c>
      <c r="E144" s="450">
        <f>IF(D144&gt;0%,C144/D144,100%)</f>
        <v>2.4</v>
      </c>
      <c r="F144" s="120"/>
      <c r="G144" s="421"/>
      <c r="H144" s="420" t="str">
        <f>G144/F144</f>
        <v>0</v>
      </c>
      <c r="I144" s="343"/>
      <c r="J144" s="61"/>
      <c r="K144" s="344" t="str">
        <f>J144/I144</f>
        <v>0</v>
      </c>
      <c r="L144" s="61"/>
      <c r="M144" s="61"/>
      <c r="N144" s="344" t="str">
        <f>M144/L144</f>
        <v>0</v>
      </c>
      <c r="O144" s="61"/>
      <c r="P144" s="61"/>
      <c r="Q144" s="344" t="str">
        <f>P144/O144</f>
        <v>0</v>
      </c>
      <c r="R144" s="61"/>
      <c r="S144" s="61"/>
      <c r="T144" s="344" t="str">
        <f>S144/R144</f>
        <v>0</v>
      </c>
      <c r="U144" s="61"/>
      <c r="V144" s="61"/>
      <c r="W144" s="344" t="str">
        <f>V144/U144</f>
        <v>0</v>
      </c>
      <c r="X144" s="61"/>
      <c r="Y144" s="61"/>
      <c r="Z144" s="344" t="str">
        <f>Y144/X144</f>
        <v>0</v>
      </c>
      <c r="AA144" s="61"/>
      <c r="AB144" s="61"/>
      <c r="AC144" s="344" t="str">
        <f>AB144/AA144</f>
        <v>0</v>
      </c>
      <c r="AD144" s="61"/>
      <c r="AE144" s="61"/>
      <c r="AF144" s="61" t="str">
        <f>AE144/AD144</f>
        <v>0</v>
      </c>
      <c r="AG144" s="61"/>
      <c r="AH144" s="61"/>
      <c r="AI144" s="61" t="str">
        <f>AH144/AG144</f>
        <v>0</v>
      </c>
      <c r="AJ144" s="61"/>
      <c r="AK144" s="61"/>
      <c r="AL144" s="61" t="str">
        <f>AK144/AJ144</f>
        <v>0</v>
      </c>
      <c r="AM144" s="61"/>
      <c r="AN144" s="61"/>
      <c r="AO144" s="61" t="str">
        <f>AN144/AM144</f>
        <v>0</v>
      </c>
      <c r="AP144" s="348">
        <f>F144+I144+L144+O144+R144+U144+X144+AA144+AD144+AG144+AJ144+AM144</f>
        <v>0</v>
      </c>
      <c r="AQ144" s="348">
        <f>SUM(G144,J144,M144,P144,S144,V144,Y144,AB144,AE144,AH144,AK144,AN144)</f>
        <v>0</v>
      </c>
      <c r="AR144" s="349" t="str">
        <f>AQ144/AP144</f>
        <v>0</v>
      </c>
    </row>
    <row r="145" spans="1:49" customHeight="1" ht="15">
      <c r="A145" s="453" t="s">
        <v>400</v>
      </c>
      <c r="B145" s="452">
        <v>0.09</v>
      </c>
      <c r="C145" s="452">
        <f>B145/12*$C$14</f>
        <v>0.0375</v>
      </c>
      <c r="D145" s="452">
        <f>C145/12*$C$14</f>
        <v>0.015625</v>
      </c>
      <c r="E145" s="454">
        <f>IF(D145&gt;0%,C145/D145,100%)</f>
        <v>2.4</v>
      </c>
      <c r="F145" s="120"/>
      <c r="G145" s="421"/>
      <c r="H145" s="420" t="str">
        <f>G145/F145</f>
        <v>0</v>
      </c>
      <c r="I145" s="343"/>
      <c r="J145" s="61"/>
      <c r="K145" s="344" t="str">
        <f>J145/I145</f>
        <v>0</v>
      </c>
      <c r="L145" s="61"/>
      <c r="M145" s="61"/>
      <c r="N145" s="344" t="str">
        <f>M145/L145</f>
        <v>0</v>
      </c>
      <c r="O145" s="61"/>
      <c r="P145" s="61"/>
      <c r="Q145" s="344" t="str">
        <f>P145/O145</f>
        <v>0</v>
      </c>
      <c r="R145" s="61"/>
      <c r="S145" s="61"/>
      <c r="T145" s="344" t="str">
        <f>S145/R145</f>
        <v>0</v>
      </c>
      <c r="U145" s="61"/>
      <c r="V145" s="61"/>
      <c r="W145" s="344" t="str">
        <f>V145/U145</f>
        <v>0</v>
      </c>
      <c r="X145" s="61"/>
      <c r="Y145" s="61"/>
      <c r="Z145" s="344" t="str">
        <f>Y145/X145</f>
        <v>0</v>
      </c>
      <c r="AA145" s="61"/>
      <c r="AB145" s="61"/>
      <c r="AC145" s="344" t="str">
        <f>AB145/AA145</f>
        <v>0</v>
      </c>
      <c r="AD145" s="61"/>
      <c r="AE145" s="61"/>
      <c r="AF145" s="61" t="str">
        <f>AE145/AD145</f>
        <v>0</v>
      </c>
      <c r="AG145" s="61"/>
      <c r="AH145" s="61"/>
      <c r="AI145" s="61" t="str">
        <f>AH145/AG145</f>
        <v>0</v>
      </c>
      <c r="AJ145" s="61"/>
      <c r="AK145" s="61"/>
      <c r="AL145" s="61" t="str">
        <f>AK145/AJ145</f>
        <v>0</v>
      </c>
      <c r="AM145" s="61"/>
      <c r="AN145" s="61"/>
      <c r="AO145" s="61" t="str">
        <f>AN145/AM145</f>
        <v>0</v>
      </c>
      <c r="AP145" s="348">
        <f>F145+I145+L145+O145+R145+U145+X145+AA145+AD145+AG145+AJ145+AM145</f>
        <v>0</v>
      </c>
      <c r="AQ145" s="348">
        <f>SUM(G145,J145,M145,P145,S145,V145,Y145,AB145,AE145,AH145,AK145,AN145)</f>
        <v>0</v>
      </c>
      <c r="AR145" s="349" t="str">
        <f>AQ145/AP145</f>
        <v>0</v>
      </c>
    </row>
    <row r="146" spans="1:49" customHeight="1" ht="15">
      <c r="A146" s="453" t="s">
        <v>3042</v>
      </c>
      <c r="B146" s="452">
        <v>0.06</v>
      </c>
      <c r="C146" s="452">
        <f>B146/12*$C$14</f>
        <v>0.025</v>
      </c>
      <c r="D146" s="452">
        <f>C146/12*$C$14</f>
        <v>0.010416666666667</v>
      </c>
      <c r="E146" s="454">
        <f>IF(D146&gt;0%,C146/D146,100%)</f>
        <v>2.4</v>
      </c>
      <c r="F146" s="120"/>
      <c r="G146" s="421"/>
      <c r="H146" s="420" t="str">
        <f>G146/F146</f>
        <v>0</v>
      </c>
      <c r="I146" s="343">
        <v>2</v>
      </c>
      <c r="J146" s="61"/>
      <c r="K146" s="344">
        <f>J146/I146</f>
        <v>0</v>
      </c>
      <c r="L146" s="61"/>
      <c r="M146" s="61"/>
      <c r="N146" s="344" t="str">
        <f>M146/L146</f>
        <v>0</v>
      </c>
      <c r="O146" s="61"/>
      <c r="P146" s="61"/>
      <c r="Q146" s="344" t="str">
        <f>P146/O146</f>
        <v>0</v>
      </c>
      <c r="R146" s="61">
        <v>1</v>
      </c>
      <c r="S146" s="61"/>
      <c r="T146" s="344">
        <f>S146/R146</f>
        <v>0</v>
      </c>
      <c r="U146" s="61"/>
      <c r="V146" s="61"/>
      <c r="W146" s="344" t="str">
        <f>V146/U146</f>
        <v>0</v>
      </c>
      <c r="X146" s="61"/>
      <c r="Y146" s="61"/>
      <c r="Z146" s="344" t="str">
        <f>Y146/X146</f>
        <v>0</v>
      </c>
      <c r="AA146" s="61"/>
      <c r="AB146" s="61"/>
      <c r="AC146" s="344" t="str">
        <f>AB146/AA146</f>
        <v>0</v>
      </c>
      <c r="AD146" s="61"/>
      <c r="AE146" s="61"/>
      <c r="AF146" s="61" t="str">
        <f>AE146/AD146</f>
        <v>0</v>
      </c>
      <c r="AG146" s="61"/>
      <c r="AH146" s="61"/>
      <c r="AI146" s="61" t="str">
        <f>AH146/AG146</f>
        <v>0</v>
      </c>
      <c r="AJ146" s="61"/>
      <c r="AK146" s="61"/>
      <c r="AL146" s="61" t="str">
        <f>AK146/AJ146</f>
        <v>0</v>
      </c>
      <c r="AM146" s="61"/>
      <c r="AN146" s="61"/>
      <c r="AO146" s="61" t="str">
        <f>AN146/AM146</f>
        <v>0</v>
      </c>
      <c r="AP146" s="348">
        <f>F146+I146+L146+O146+R146+U146+X146+AA146+AD146+AG146+AJ146+AM146</f>
        <v>3</v>
      </c>
      <c r="AQ146" s="348">
        <f>SUM(G146,J146,M146,P146,S146,V146,Y146,AB146,AE146,AH146,AK146,AN146)</f>
        <v>0</v>
      </c>
      <c r="AR146" s="349">
        <f>AQ146/AP146</f>
        <v>0</v>
      </c>
    </row>
    <row r="147" spans="1:49" customHeight="1" ht="15">
      <c r="A147" s="453" t="s">
        <v>1746</v>
      </c>
      <c r="B147" s="452">
        <v>0.0</v>
      </c>
      <c r="C147" s="452">
        <f>B147/12*$C$14</f>
        <v>0</v>
      </c>
      <c r="D147" s="452">
        <f>C147/12*$C$14</f>
        <v>0</v>
      </c>
      <c r="E147" s="454">
        <f>IF(D147&gt;0%,C147/D147,100%)</f>
        <v>1</v>
      </c>
      <c r="F147" s="120"/>
      <c r="G147" s="421"/>
      <c r="H147" s="420" t="str">
        <f>G147/F147</f>
        <v>0</v>
      </c>
      <c r="I147" s="343"/>
      <c r="J147" s="61"/>
      <c r="K147" s="344" t="str">
        <f>J147/I147</f>
        <v>0</v>
      </c>
      <c r="L147" s="61"/>
      <c r="M147" s="61"/>
      <c r="N147" s="344" t="str">
        <f>M147/L147</f>
        <v>0</v>
      </c>
      <c r="O147" s="61"/>
      <c r="P147" s="61"/>
      <c r="Q147" s="344" t="str">
        <f>P147/O147</f>
        <v>0</v>
      </c>
      <c r="R147" s="61"/>
      <c r="S147" s="61"/>
      <c r="T147" s="344" t="str">
        <f>S147/R147</f>
        <v>0</v>
      </c>
      <c r="U147" s="61"/>
      <c r="V147" s="61"/>
      <c r="W147" s="344" t="str">
        <f>V147/U147</f>
        <v>0</v>
      </c>
      <c r="X147" s="61"/>
      <c r="Y147" s="61"/>
      <c r="Z147" s="344" t="str">
        <f>Y147/X147</f>
        <v>0</v>
      </c>
      <c r="AA147" s="61"/>
      <c r="AB147" s="61"/>
      <c r="AC147" s="344" t="str">
        <f>AB147/AA147</f>
        <v>0</v>
      </c>
      <c r="AD147" s="61"/>
      <c r="AE147" s="61"/>
      <c r="AF147" s="61" t="str">
        <f>AE147/AD147</f>
        <v>0</v>
      </c>
      <c r="AG147" s="61"/>
      <c r="AH147" s="61"/>
      <c r="AI147" s="61" t="str">
        <f>AH147/AG147</f>
        <v>0</v>
      </c>
      <c r="AJ147" s="61"/>
      <c r="AK147" s="61"/>
      <c r="AL147" s="61" t="str">
        <f>AK147/AJ147</f>
        <v>0</v>
      </c>
      <c r="AM147" s="61"/>
      <c r="AN147" s="61"/>
      <c r="AO147" s="61" t="str">
        <f>AN147/AM147</f>
        <v>0</v>
      </c>
      <c r="AP147" s="348">
        <f>F147+I147+L147+O147+R147+U147+X147+AA147+AD147+AG147+AJ147+AM147</f>
        <v>0</v>
      </c>
      <c r="AQ147" s="348">
        <f>SUM(G147,J147,M147,P147,S147,V147,Y147,AB147,AE147,AH147,AK147,AN147)</f>
        <v>0</v>
      </c>
      <c r="AR147" s="349" t="str">
        <f>AQ147/AP147</f>
        <v>0</v>
      </c>
    </row>
    <row r="148" spans="1:49" customHeight="1" ht="15">
      <c r="A148" s="393" t="s">
        <v>594</v>
      </c>
      <c r="B148" s="451">
        <v>0.1</v>
      </c>
      <c r="C148" s="451">
        <f>B148/12*$C$14</f>
        <v>0.041666666666667</v>
      </c>
      <c r="D148" s="451">
        <f>C148/12*$C$14</f>
        <v>0.017361111111111</v>
      </c>
      <c r="E148" s="450">
        <f>IF(D148&gt;0%,C148/D148,100%)</f>
        <v>2.4</v>
      </c>
      <c r="F148" s="120"/>
      <c r="G148" s="419"/>
      <c r="H148" s="420" t="str">
        <f>G148/F148</f>
        <v>0</v>
      </c>
      <c r="I148" s="343"/>
      <c r="J148" s="61"/>
      <c r="K148" s="344" t="str">
        <f>J148/I148</f>
        <v>0</v>
      </c>
      <c r="L148" s="61"/>
      <c r="M148" s="61"/>
      <c r="N148" s="344" t="str">
        <f>M148/L148</f>
        <v>0</v>
      </c>
      <c r="O148" s="61"/>
      <c r="P148" s="61"/>
      <c r="Q148" s="344" t="str">
        <f>P148/O148</f>
        <v>0</v>
      </c>
      <c r="R148" s="61"/>
      <c r="S148" s="61"/>
      <c r="T148" s="344" t="str">
        <f>S148/R148</f>
        <v>0</v>
      </c>
      <c r="U148" s="61"/>
      <c r="V148" s="61"/>
      <c r="W148" s="344" t="str">
        <f>V148/U148</f>
        <v>0</v>
      </c>
      <c r="X148" s="61"/>
      <c r="Y148" s="61"/>
      <c r="Z148" s="344" t="str">
        <f>Y148/X148</f>
        <v>0</v>
      </c>
      <c r="AA148" s="61"/>
      <c r="AB148" s="61"/>
      <c r="AC148" s="344" t="str">
        <f>AB148/AA148</f>
        <v>0</v>
      </c>
      <c r="AD148" s="61"/>
      <c r="AE148" s="61"/>
      <c r="AF148" s="61" t="str">
        <f>AE148/AD148</f>
        <v>0</v>
      </c>
      <c r="AG148" s="61"/>
      <c r="AH148" s="61"/>
      <c r="AI148" s="61" t="str">
        <f>AH148/AG148</f>
        <v>0</v>
      </c>
      <c r="AJ148" s="61"/>
      <c r="AK148" s="61"/>
      <c r="AL148" s="61" t="str">
        <f>AK148/AJ148</f>
        <v>0</v>
      </c>
      <c r="AM148" s="61"/>
      <c r="AN148" s="61"/>
      <c r="AO148" s="61" t="str">
        <f>AN148/AM148</f>
        <v>0</v>
      </c>
      <c r="AP148" s="348">
        <f>F148+I148+L148+O148+R148+U148+X148+AA148+AD148+AG148+AJ148+AM148</f>
        <v>0</v>
      </c>
      <c r="AQ148" s="348">
        <f>SUM(G148,J148,M148,P148,S148,V148,Y148,AB148,AE148,AH148,AK148,AN148)</f>
        <v>0</v>
      </c>
      <c r="AR148" s="349" t="str">
        <f>AQ148/AP148</f>
        <v>0</v>
      </c>
    </row>
    <row r="149" spans="1:49" customHeight="1" ht="15">
      <c r="A149" s="453" t="s">
        <v>3043</v>
      </c>
      <c r="B149" s="452">
        <v>0.0</v>
      </c>
      <c r="C149" s="452">
        <f>B149/12*$C$14</f>
        <v>0</v>
      </c>
      <c r="D149" s="452">
        <f>C149/12*$C$14</f>
        <v>0</v>
      </c>
      <c r="E149" s="454">
        <v>0.03</v>
      </c>
      <c r="F149" s="120"/>
      <c r="G149" s="120"/>
      <c r="H149" s="420" t="str">
        <f>G149/F149</f>
        <v>0</v>
      </c>
      <c r="I149" s="343"/>
      <c r="J149" s="61"/>
      <c r="K149" s="344" t="str">
        <f>J149/I149</f>
        <v>0</v>
      </c>
      <c r="L149" s="61"/>
      <c r="M149" s="61"/>
      <c r="N149" s="344" t="str">
        <f>M149/L149</f>
        <v>0</v>
      </c>
      <c r="O149" s="61"/>
      <c r="P149" s="61"/>
      <c r="Q149" s="344" t="str">
        <f>P149/O149</f>
        <v>0</v>
      </c>
      <c r="R149" s="61"/>
      <c r="S149" s="61"/>
      <c r="T149" s="344" t="str">
        <f>S149/R149</f>
        <v>0</v>
      </c>
      <c r="U149" s="61"/>
      <c r="V149" s="61"/>
      <c r="W149" s="344" t="str">
        <f>V149/U149</f>
        <v>0</v>
      </c>
      <c r="X149" s="61"/>
      <c r="Y149" s="61"/>
      <c r="Z149" s="344" t="str">
        <f>Y149/X149</f>
        <v>0</v>
      </c>
      <c r="AA149" s="61"/>
      <c r="AB149" s="61"/>
      <c r="AC149" s="344" t="str">
        <f>AB149/AA149</f>
        <v>0</v>
      </c>
      <c r="AD149" s="61"/>
      <c r="AE149" s="61"/>
      <c r="AF149" s="61" t="str">
        <f>AE149/AD149</f>
        <v>0</v>
      </c>
      <c r="AG149" s="61"/>
      <c r="AH149" s="61"/>
      <c r="AI149" s="61" t="str">
        <f>AH149/AG149</f>
        <v>0</v>
      </c>
      <c r="AJ149" s="61"/>
      <c r="AK149" s="61"/>
      <c r="AL149" s="61" t="str">
        <f>AK149/AJ149</f>
        <v>0</v>
      </c>
      <c r="AM149" s="61"/>
      <c r="AN149" s="61"/>
      <c r="AO149" s="61" t="str">
        <f>AN149/AM149</f>
        <v>0</v>
      </c>
      <c r="AP149" s="348">
        <f>F149+I149+L149+O149+R149+U149+X149+AA149+AD149+AG149+AJ149+AM149</f>
        <v>0</v>
      </c>
      <c r="AQ149" s="348">
        <f>SUM(G149,J149,M149,P149,S149,V149,Y149,AB149,AE149,AH149,AK149,AN149)</f>
        <v>0</v>
      </c>
      <c r="AR149" s="349" t="str">
        <f>AQ149/AP149</f>
        <v>0</v>
      </c>
    </row>
    <row r="150" spans="1:49" customHeight="1" ht="15">
      <c r="A150" s="453" t="s">
        <v>3044</v>
      </c>
      <c r="B150" s="452">
        <v>0.0</v>
      </c>
      <c r="C150" s="452">
        <f>B150/12*$C$14</f>
        <v>0</v>
      </c>
      <c r="D150" s="452">
        <f>C150/12*$C$14</f>
        <v>0</v>
      </c>
      <c r="E150" s="454">
        <v>0.03</v>
      </c>
      <c r="F150" s="120"/>
      <c r="G150" s="120"/>
      <c r="H150" s="420" t="str">
        <f>G150/F150</f>
        <v>0</v>
      </c>
      <c r="I150" s="343"/>
      <c r="J150" s="61"/>
      <c r="K150" s="344" t="str">
        <f>J150/I150</f>
        <v>0</v>
      </c>
      <c r="L150" s="61"/>
      <c r="M150" s="61"/>
      <c r="N150" s="344" t="str">
        <f>M150/L150</f>
        <v>0</v>
      </c>
      <c r="O150" s="61"/>
      <c r="P150" s="61"/>
      <c r="Q150" s="344" t="str">
        <f>P150/O150</f>
        <v>0</v>
      </c>
      <c r="R150" s="61"/>
      <c r="S150" s="61"/>
      <c r="T150" s="344" t="str">
        <f>S150/R150</f>
        <v>0</v>
      </c>
      <c r="U150" s="61"/>
      <c r="V150" s="61"/>
      <c r="W150" s="344" t="str">
        <f>V150/U150</f>
        <v>0</v>
      </c>
      <c r="X150" s="61"/>
      <c r="Y150" s="61"/>
      <c r="Z150" s="344" t="str">
        <f>Y150/X150</f>
        <v>0</v>
      </c>
      <c r="AA150" s="61"/>
      <c r="AB150" s="61"/>
      <c r="AC150" s="344" t="str">
        <f>AB150/AA150</f>
        <v>0</v>
      </c>
      <c r="AD150" s="61"/>
      <c r="AE150" s="61"/>
      <c r="AF150" s="61" t="str">
        <f>AE150/AD150</f>
        <v>0</v>
      </c>
      <c r="AG150" s="61"/>
      <c r="AH150" s="61"/>
      <c r="AI150" s="61" t="str">
        <f>AH150/AG150</f>
        <v>0</v>
      </c>
      <c r="AJ150" s="61"/>
      <c r="AK150" s="61"/>
      <c r="AL150" s="61" t="str">
        <f>AK150/AJ150</f>
        <v>0</v>
      </c>
      <c r="AM150" s="61"/>
      <c r="AN150" s="61"/>
      <c r="AO150" s="61" t="str">
        <f>AN150/AM150</f>
        <v>0</v>
      </c>
      <c r="AP150" s="348">
        <f>F150+I150+L150+O150+R150+U150+X150+AA150+AD150+AG150+AJ150+AM150</f>
        <v>0</v>
      </c>
      <c r="AQ150" s="348">
        <f>SUM(G150,J150,M150,P150,S150,V150,Y150,AB150,AE150,AH150,AK150,AN150)</f>
        <v>0</v>
      </c>
      <c r="AR150" s="349" t="str">
        <f>AQ150/AP150</f>
        <v>0</v>
      </c>
    </row>
    <row r="151" spans="1:49" customHeight="1" ht="15">
      <c r="A151" s="393" t="s">
        <v>130</v>
      </c>
      <c r="B151" s="395">
        <v>0.12</v>
      </c>
      <c r="C151" s="395">
        <f>B151/12*$C$14</f>
        <v>0.05</v>
      </c>
      <c r="D151" s="395">
        <f>C151/12*$C$14</f>
        <v>0.020833333333333</v>
      </c>
      <c r="E151" s="506">
        <f>IF(D151&gt;0%,C151/D151,100%)</f>
        <v>2.4</v>
      </c>
      <c r="F151" s="120"/>
      <c r="G151" s="421"/>
      <c r="H151" s="420" t="str">
        <f>G151/F151</f>
        <v>0</v>
      </c>
      <c r="I151" s="343"/>
      <c r="J151" s="61"/>
      <c r="K151" s="344" t="str">
        <f>J151/I151</f>
        <v>0</v>
      </c>
      <c r="L151" s="61"/>
      <c r="M151" s="61"/>
      <c r="N151" s="344" t="str">
        <f>M151/L151</f>
        <v>0</v>
      </c>
      <c r="O151" s="61">
        <v>1</v>
      </c>
      <c r="P151" s="61"/>
      <c r="Q151" s="344">
        <f>P151/O151</f>
        <v>0</v>
      </c>
      <c r="R151" s="61"/>
      <c r="S151" s="61"/>
      <c r="T151" s="344" t="str">
        <f>S151/R151</f>
        <v>0</v>
      </c>
      <c r="U151" s="61"/>
      <c r="V151" s="61"/>
      <c r="W151" s="344" t="str">
        <f>V151/U151</f>
        <v>0</v>
      </c>
      <c r="X151" s="61"/>
      <c r="Y151" s="61"/>
      <c r="Z151" s="344" t="str">
        <f>Y151/X151</f>
        <v>0</v>
      </c>
      <c r="AA151" s="61"/>
      <c r="AB151" s="61"/>
      <c r="AC151" s="344" t="str">
        <f>AB151/AA151</f>
        <v>0</v>
      </c>
      <c r="AD151" s="61"/>
      <c r="AE151" s="61"/>
      <c r="AF151" s="61" t="str">
        <f>AE151/AD151</f>
        <v>0</v>
      </c>
      <c r="AG151" s="61"/>
      <c r="AH151" s="61"/>
      <c r="AI151" s="61" t="str">
        <f>AH151/AG151</f>
        <v>0</v>
      </c>
      <c r="AJ151" s="61"/>
      <c r="AK151" s="61"/>
      <c r="AL151" s="61" t="str">
        <f>AK151/AJ151</f>
        <v>0</v>
      </c>
      <c r="AM151" s="61"/>
      <c r="AN151" s="61"/>
      <c r="AO151" s="61" t="str">
        <f>AN151/AM151</f>
        <v>0</v>
      </c>
      <c r="AP151" s="348">
        <f>F151+I151+L151+O151+R151+U151+X151+AA151+AD151+AG151+AJ151+AM151</f>
        <v>1</v>
      </c>
      <c r="AQ151" s="348">
        <f>SUM(G151,J151,M151,P151,S151,V151,Y151,AB151,AE151,AH151,AK151,AN151)</f>
        <v>0</v>
      </c>
      <c r="AR151" s="349">
        <f>AQ151/AP151</f>
        <v>0</v>
      </c>
    </row>
    <row r="152" spans="1:49" customHeight="1" ht="15">
      <c r="A152" s="453" t="s">
        <v>3045</v>
      </c>
      <c r="B152" s="452">
        <v>0.05</v>
      </c>
      <c r="C152" s="455">
        <f>B152/12*$C$14</f>
        <v>0.020833333333333</v>
      </c>
      <c r="D152" s="452">
        <f>C152/12*$C$14</f>
        <v>0.0086805555555556</v>
      </c>
      <c r="E152" s="489">
        <f>IF(D152&gt;0%,C152/D152,100%)</f>
        <v>2.4</v>
      </c>
      <c r="F152" s="120"/>
      <c r="G152" s="421"/>
      <c r="H152" s="420" t="str">
        <f>G152/F152</f>
        <v>0</v>
      </c>
      <c r="I152" s="343">
        <v>1</v>
      </c>
      <c r="J152" s="61"/>
      <c r="K152" s="344">
        <f>J152/I152</f>
        <v>0</v>
      </c>
      <c r="L152" s="61"/>
      <c r="M152" s="61"/>
      <c r="N152" s="344" t="str">
        <f>M152/L152</f>
        <v>0</v>
      </c>
      <c r="O152" s="61"/>
      <c r="P152" s="61"/>
      <c r="Q152" s="344" t="str">
        <f>P152/O152</f>
        <v>0</v>
      </c>
      <c r="R152" s="61">
        <v>1</v>
      </c>
      <c r="S152" s="61"/>
      <c r="T152" s="344">
        <f>S152/R152</f>
        <v>0</v>
      </c>
      <c r="U152" s="61"/>
      <c r="V152" s="61"/>
      <c r="W152" s="344" t="str">
        <f>V152/U152</f>
        <v>0</v>
      </c>
      <c r="X152" s="61"/>
      <c r="Y152" s="61"/>
      <c r="Z152" s="344" t="str">
        <f>Y152/X152</f>
        <v>0</v>
      </c>
      <c r="AA152" s="61"/>
      <c r="AB152" s="61"/>
      <c r="AC152" s="344" t="str">
        <f>AB152/AA152</f>
        <v>0</v>
      </c>
      <c r="AD152" s="61"/>
      <c r="AE152" s="61"/>
      <c r="AF152" s="61" t="str">
        <f>AE152/AD152</f>
        <v>0</v>
      </c>
      <c r="AG152" s="61"/>
      <c r="AH152" s="61"/>
      <c r="AI152" s="61" t="str">
        <f>AH152/AG152</f>
        <v>0</v>
      </c>
      <c r="AJ152" s="61"/>
      <c r="AK152" s="61"/>
      <c r="AL152" s="61" t="str">
        <f>AK152/AJ152</f>
        <v>0</v>
      </c>
      <c r="AM152" s="61"/>
      <c r="AN152" s="61"/>
      <c r="AO152" s="61" t="str">
        <f>AN152/AM152</f>
        <v>0</v>
      </c>
      <c r="AP152" s="348">
        <f>F152+I152+L152+O152+R152+U152+X152+AA152+AD152+AG152+AJ152+AM152</f>
        <v>2</v>
      </c>
      <c r="AQ152" s="348">
        <f>SUM(G152,J152,M152,P152,S152,V152,Y152,AB152,AE152,AH152,AK152,AN152)</f>
        <v>0</v>
      </c>
      <c r="AR152" s="349">
        <f>AQ152/AP152</f>
        <v>0</v>
      </c>
    </row>
    <row r="153" spans="1:49" customHeight="1" ht="15">
      <c r="A153" s="453" t="s">
        <v>3046</v>
      </c>
      <c r="B153" s="452">
        <v>0.1</v>
      </c>
      <c r="C153" s="455">
        <f>B153/12*$C$14</f>
        <v>0.041666666666667</v>
      </c>
      <c r="D153" s="452">
        <f>C153/12*$C$14</f>
        <v>0.017361111111111</v>
      </c>
      <c r="E153" s="489">
        <f>IF(D153&gt;0%,C153/D153,100%)</f>
        <v>2.4</v>
      </c>
      <c r="F153" s="120">
        <v>1</v>
      </c>
      <c r="G153" s="421"/>
      <c r="H153" s="420">
        <f>G153/F153</f>
        <v>0</v>
      </c>
      <c r="I153" s="343"/>
      <c r="J153" s="61"/>
      <c r="K153" s="344" t="str">
        <f>J153/I153</f>
        <v>0</v>
      </c>
      <c r="L153" s="61">
        <v>1</v>
      </c>
      <c r="M153" s="61"/>
      <c r="N153" s="344">
        <f>M153/L153</f>
        <v>0</v>
      </c>
      <c r="O153" s="61"/>
      <c r="P153" s="61"/>
      <c r="Q153" s="344" t="str">
        <f>P153/O153</f>
        <v>0</v>
      </c>
      <c r="R153" s="61"/>
      <c r="S153" s="61"/>
      <c r="T153" s="344" t="str">
        <f>S153/R153</f>
        <v>0</v>
      </c>
      <c r="U153" s="61"/>
      <c r="V153" s="61"/>
      <c r="W153" s="344" t="str">
        <f>V153/U153</f>
        <v>0</v>
      </c>
      <c r="X153" s="61"/>
      <c r="Y153" s="61"/>
      <c r="Z153" s="344" t="str">
        <f>Y153/X153</f>
        <v>0</v>
      </c>
      <c r="AA153" s="61"/>
      <c r="AB153" s="61"/>
      <c r="AC153" s="344" t="str">
        <f>AB153/AA153</f>
        <v>0</v>
      </c>
      <c r="AD153" s="61"/>
      <c r="AE153" s="61"/>
      <c r="AF153" s="61" t="str">
        <f>AE153/AD153</f>
        <v>0</v>
      </c>
      <c r="AG153" s="61"/>
      <c r="AH153" s="61"/>
      <c r="AI153" s="61" t="str">
        <f>AH153/AG153</f>
        <v>0</v>
      </c>
      <c r="AJ153" s="61"/>
      <c r="AK153" s="61"/>
      <c r="AL153" s="61" t="str">
        <f>AK153/AJ153</f>
        <v>0</v>
      </c>
      <c r="AM153" s="61"/>
      <c r="AN153" s="61"/>
      <c r="AO153" s="61" t="str">
        <f>AN153/AM153</f>
        <v>0</v>
      </c>
      <c r="AP153" s="348">
        <f>F153+I153+L153+O153+R153+U153+X153+AA153+AD153+AG153+AJ153+AM153</f>
        <v>2</v>
      </c>
      <c r="AQ153" s="348">
        <f>SUM(G153,J153,M153,P153,S153,V153,Y153,AB153,AE153,AH153,AK153,AN153)</f>
        <v>0</v>
      </c>
      <c r="AR153" s="349">
        <f>AQ153/AP153</f>
        <v>0</v>
      </c>
    </row>
    <row r="154" spans="1:49" customHeight="1" ht="15">
      <c r="A154" s="453" t="s">
        <v>1692</v>
      </c>
      <c r="B154" s="452">
        <v>0.0</v>
      </c>
      <c r="C154" s="455">
        <f>B154/12*$C$14</f>
        <v>0</v>
      </c>
      <c r="D154" s="452">
        <f>C154/12*$C$14</f>
        <v>0</v>
      </c>
      <c r="E154" s="489">
        <f>IF(D154&gt;0%,C154/D154,100%)</f>
        <v>1</v>
      </c>
      <c r="F154" s="120"/>
      <c r="G154" s="421"/>
      <c r="H154" s="420" t="str">
        <f>G154/F154</f>
        <v>0</v>
      </c>
      <c r="I154" s="343"/>
      <c r="J154" s="61"/>
      <c r="K154" s="344" t="str">
        <f>J154/I154</f>
        <v>0</v>
      </c>
      <c r="L154" s="61"/>
      <c r="M154" s="61"/>
      <c r="N154" s="344" t="str">
        <f>M154/L154</f>
        <v>0</v>
      </c>
      <c r="O154" s="61"/>
      <c r="P154" s="61"/>
      <c r="Q154" s="344" t="str">
        <f>P154/O154</f>
        <v>0</v>
      </c>
      <c r="R154" s="61"/>
      <c r="S154" s="61"/>
      <c r="T154" s="344" t="str">
        <f>S154/R154</f>
        <v>0</v>
      </c>
      <c r="U154" s="61"/>
      <c r="V154" s="61"/>
      <c r="W154" s="344" t="str">
        <f>V154/U154</f>
        <v>0</v>
      </c>
      <c r="X154" s="61"/>
      <c r="Y154" s="61"/>
      <c r="Z154" s="344" t="str">
        <f>Y154/X154</f>
        <v>0</v>
      </c>
      <c r="AA154" s="61"/>
      <c r="AB154" s="61"/>
      <c r="AC154" s="344" t="str">
        <f>AB154/AA154</f>
        <v>0</v>
      </c>
      <c r="AD154" s="61"/>
      <c r="AE154" s="61"/>
      <c r="AF154" s="61" t="str">
        <f>AE154/AD154</f>
        <v>0</v>
      </c>
      <c r="AG154" s="61"/>
      <c r="AH154" s="61"/>
      <c r="AI154" s="61" t="str">
        <f>AH154/AG154</f>
        <v>0</v>
      </c>
      <c r="AJ154" s="61"/>
      <c r="AK154" s="61"/>
      <c r="AL154" s="61" t="str">
        <f>AK154/AJ154</f>
        <v>0</v>
      </c>
      <c r="AM154" s="61"/>
      <c r="AN154" s="61"/>
      <c r="AO154" s="61" t="str">
        <f>AN154/AM154</f>
        <v>0</v>
      </c>
      <c r="AP154" s="348">
        <f>F154+I154+L154+O154+R154+U154+X154+AA154+AD154+AG154+AJ154+AM154</f>
        <v>0</v>
      </c>
      <c r="AQ154" s="348">
        <f>SUM(G154,J154,M154,P154,S154,V154,Y154,AB154,AE154,AH154,AK154,AN154)</f>
        <v>0</v>
      </c>
      <c r="AR154" s="349" t="str">
        <f>AQ154/AP154</f>
        <v>0</v>
      </c>
    </row>
    <row r="155" spans="1:49" customHeight="1" ht="15">
      <c r="A155" s="453" t="s">
        <v>3047</v>
      </c>
      <c r="B155" s="452">
        <v>0.03</v>
      </c>
      <c r="C155" s="455">
        <f>B155/12*$C$14</f>
        <v>0.0125</v>
      </c>
      <c r="D155" s="452">
        <f>C155/12*$C$14</f>
        <v>0.0052083333333333</v>
      </c>
      <c r="E155" s="489">
        <f>IF(D155&gt;0%,C155/D155,100%)</f>
        <v>2.4</v>
      </c>
      <c r="F155" s="120"/>
      <c r="G155" s="421"/>
      <c r="H155" s="420" t="str">
        <f>G155/F155</f>
        <v>0</v>
      </c>
      <c r="I155" s="343"/>
      <c r="J155" s="61"/>
      <c r="K155" s="344" t="str">
        <f>J155/I155</f>
        <v>0</v>
      </c>
      <c r="L155" s="61"/>
      <c r="M155" s="61"/>
      <c r="N155" s="344" t="str">
        <f>M155/L155</f>
        <v>0</v>
      </c>
      <c r="O155" s="61"/>
      <c r="P155" s="61"/>
      <c r="Q155" s="344" t="str">
        <f>P155/O155</f>
        <v>0</v>
      </c>
      <c r="R155" s="61"/>
      <c r="S155" s="61"/>
      <c r="T155" s="344" t="str">
        <f>S155/R155</f>
        <v>0</v>
      </c>
      <c r="U155" s="61"/>
      <c r="V155" s="61"/>
      <c r="W155" s="344" t="str">
        <f>V155/U155</f>
        <v>0</v>
      </c>
      <c r="X155" s="61"/>
      <c r="Y155" s="61"/>
      <c r="Z155" s="344" t="str">
        <f>Y155/X155</f>
        <v>0</v>
      </c>
      <c r="AA155" s="61"/>
      <c r="AB155" s="61"/>
      <c r="AC155" s="344" t="str">
        <f>AB155/AA155</f>
        <v>0</v>
      </c>
      <c r="AD155" s="61"/>
      <c r="AE155" s="61"/>
      <c r="AF155" s="61" t="str">
        <f>AE155/AD155</f>
        <v>0</v>
      </c>
      <c r="AG155" s="61"/>
      <c r="AH155" s="61"/>
      <c r="AI155" s="61" t="str">
        <f>AH155/AG155</f>
        <v>0</v>
      </c>
      <c r="AJ155" s="61"/>
      <c r="AK155" s="61"/>
      <c r="AL155" s="61" t="str">
        <f>AK155/AJ155</f>
        <v>0</v>
      </c>
      <c r="AM155" s="61"/>
      <c r="AN155" s="61"/>
      <c r="AO155" s="61" t="str">
        <f>AN155/AM155</f>
        <v>0</v>
      </c>
      <c r="AP155" s="348">
        <f>F155+I155+L155+O155+R155+U155+X155+AA155+AD155+AG155+AJ155+AM155</f>
        <v>0</v>
      </c>
      <c r="AQ155" s="348">
        <f>SUM(G155,J155,M155,P155,S155,V155,Y155,AB155,AE155,AH155,AK155,AN155)</f>
        <v>0</v>
      </c>
      <c r="AR155" s="349" t="str">
        <f>AQ155/AP155</f>
        <v>0</v>
      </c>
    </row>
    <row r="156" spans="1:49" customHeight="1" ht="15">
      <c r="A156" s="479" t="s">
        <v>3048</v>
      </c>
      <c r="B156" s="480">
        <v>0.17</v>
      </c>
      <c r="C156" s="480">
        <f>B156/12*$C$14</f>
        <v>0.070833333333333</v>
      </c>
      <c r="D156" s="480">
        <f>C156/12*$C$14</f>
        <v>0.029513888888889</v>
      </c>
      <c r="E156" s="509">
        <f>IF(D156&gt;0%,C156/D156,100%)</f>
        <v>2.4</v>
      </c>
      <c r="F156" s="120"/>
      <c r="G156" s="421"/>
      <c r="H156" s="420" t="str">
        <f>G156/F156</f>
        <v>0</v>
      </c>
      <c r="I156" s="343"/>
      <c r="J156" s="61"/>
      <c r="K156" s="344" t="str">
        <f>J156/I156</f>
        <v>0</v>
      </c>
      <c r="L156" s="61"/>
      <c r="M156" s="61"/>
      <c r="N156" s="344" t="str">
        <f>M156/L156</f>
        <v>0</v>
      </c>
      <c r="O156" s="61"/>
      <c r="P156" s="61"/>
      <c r="Q156" s="344" t="str">
        <f>P156/O156</f>
        <v>0</v>
      </c>
      <c r="R156" s="61"/>
      <c r="S156" s="61"/>
      <c r="T156" s="344" t="str">
        <f>S156/R156</f>
        <v>0</v>
      </c>
      <c r="U156" s="61"/>
      <c r="V156" s="61"/>
      <c r="W156" s="344" t="str">
        <f>V156/U156</f>
        <v>0</v>
      </c>
      <c r="X156" s="61"/>
      <c r="Y156" s="61"/>
      <c r="Z156" s="344" t="str">
        <f>Y156/X156</f>
        <v>0</v>
      </c>
      <c r="AA156" s="61"/>
      <c r="AB156" s="61"/>
      <c r="AC156" s="344" t="str">
        <f>AB156/AA156</f>
        <v>0</v>
      </c>
      <c r="AD156" s="61"/>
      <c r="AE156" s="61"/>
      <c r="AF156" s="61" t="str">
        <f>AE156/AD156</f>
        <v>0</v>
      </c>
      <c r="AG156" s="61"/>
      <c r="AH156" s="61"/>
      <c r="AI156" s="61" t="str">
        <f>AH156/AG156</f>
        <v>0</v>
      </c>
      <c r="AJ156" s="61"/>
      <c r="AK156" s="61"/>
      <c r="AL156" s="61" t="str">
        <f>AK156/AJ156</f>
        <v>0</v>
      </c>
      <c r="AM156" s="61"/>
      <c r="AN156" s="61"/>
      <c r="AO156" s="61" t="str">
        <f>AN156/AM156</f>
        <v>0</v>
      </c>
      <c r="AP156" s="348">
        <f>F156+I156+L156+O156+R156+U156+X156+AA156+AD156+AG156+AJ156+AM156</f>
        <v>0</v>
      </c>
      <c r="AQ156" s="348">
        <f>SUM(G156,J156,M156,P156,S156,V156,Y156,AB156,AE156,AH156,AK156,AN156)</f>
        <v>0</v>
      </c>
      <c r="AR156" s="349" t="str">
        <f>AQ156/AP156</f>
        <v>0</v>
      </c>
    </row>
    <row r="157" spans="1:49" customHeight="1" ht="15">
      <c r="A157" s="453" t="s">
        <v>3049</v>
      </c>
      <c r="B157" s="455">
        <v>0.0</v>
      </c>
      <c r="C157" s="455">
        <f>B157/12*$C$14</f>
        <v>0</v>
      </c>
      <c r="D157" s="452">
        <f>C157/12*$C$14</f>
        <v>0</v>
      </c>
      <c r="E157" s="489">
        <f>IF(D157&gt;0%,C157/D157,100%)</f>
        <v>1</v>
      </c>
      <c r="F157" s="120"/>
      <c r="G157" s="421"/>
      <c r="H157" s="420" t="str">
        <f>G157/F157</f>
        <v>0</v>
      </c>
      <c r="I157" s="343"/>
      <c r="J157" s="61"/>
      <c r="K157" s="344" t="str">
        <f>J157/I157</f>
        <v>0</v>
      </c>
      <c r="L157" s="61"/>
      <c r="M157" s="61"/>
      <c r="N157" s="344" t="str">
        <f>M157/L157</f>
        <v>0</v>
      </c>
      <c r="O157" s="61"/>
      <c r="P157" s="61"/>
      <c r="Q157" s="344" t="str">
        <f>P157/O157</f>
        <v>0</v>
      </c>
      <c r="R157" s="61"/>
      <c r="S157" s="61"/>
      <c r="T157" s="344" t="str">
        <f>S157/R157</f>
        <v>0</v>
      </c>
      <c r="U157" s="61"/>
      <c r="V157" s="61"/>
      <c r="W157" s="344" t="str">
        <f>V157/U157</f>
        <v>0</v>
      </c>
      <c r="X157" s="61"/>
      <c r="Y157" s="61"/>
      <c r="Z157" s="344" t="str">
        <f>Y157/X157</f>
        <v>0</v>
      </c>
      <c r="AA157" s="61"/>
      <c r="AB157" s="61"/>
      <c r="AC157" s="344" t="str">
        <f>AB157/AA157</f>
        <v>0</v>
      </c>
      <c r="AD157" s="61"/>
      <c r="AE157" s="61"/>
      <c r="AF157" s="61" t="str">
        <f>AE157/AD157</f>
        <v>0</v>
      </c>
      <c r="AG157" s="61"/>
      <c r="AH157" s="61"/>
      <c r="AI157" s="61" t="str">
        <f>AH157/AG157</f>
        <v>0</v>
      </c>
      <c r="AJ157" s="61"/>
      <c r="AK157" s="61"/>
      <c r="AL157" s="61" t="str">
        <f>AK157/AJ157</f>
        <v>0</v>
      </c>
      <c r="AM157" s="61"/>
      <c r="AN157" s="61"/>
      <c r="AO157" s="61" t="str">
        <f>AN157/AM157</f>
        <v>0</v>
      </c>
      <c r="AP157" s="348">
        <f>F157+I157+L157+O157+R157+U157+X157+AA157+AD157+AG157+AJ157+AM157</f>
        <v>0</v>
      </c>
      <c r="AQ157" s="348">
        <f>SUM(G157,J157,M157,P157,S157,V157,Y157,AB157,AE157,AH157,AK157,AN157)</f>
        <v>0</v>
      </c>
      <c r="AR157" s="349" t="str">
        <f>AQ157/AP157</f>
        <v>0</v>
      </c>
    </row>
    <row r="158" spans="1:49" customHeight="1" ht="15">
      <c r="A158" s="453" t="s">
        <v>3050</v>
      </c>
      <c r="B158" s="455">
        <v>0.08</v>
      </c>
      <c r="C158" s="455">
        <f>B158/12*$C$14</f>
        <v>0.033333333333333</v>
      </c>
      <c r="D158" s="452">
        <f>C158/12*$C$14</f>
        <v>0.013888888888889</v>
      </c>
      <c r="E158" s="489">
        <f>IF(D158&gt;0%,C158/D158,100%)</f>
        <v>2.4</v>
      </c>
      <c r="F158" s="120"/>
      <c r="G158" s="421"/>
      <c r="H158" s="420" t="str">
        <f>G158/F158</f>
        <v>0</v>
      </c>
      <c r="I158" s="343"/>
      <c r="J158" s="61"/>
      <c r="K158" s="344" t="str">
        <f>J158/I158</f>
        <v>0</v>
      </c>
      <c r="L158" s="61"/>
      <c r="M158" s="61"/>
      <c r="N158" s="344" t="str">
        <f>M158/L158</f>
        <v>0</v>
      </c>
      <c r="O158" s="61"/>
      <c r="P158" s="61"/>
      <c r="Q158" s="344" t="str">
        <f>P158/O158</f>
        <v>0</v>
      </c>
      <c r="R158" s="61"/>
      <c r="S158" s="61"/>
      <c r="T158" s="344" t="str">
        <f>S158/R158</f>
        <v>0</v>
      </c>
      <c r="U158" s="61"/>
      <c r="V158" s="61"/>
      <c r="W158" s="344" t="str">
        <f>V158/U158</f>
        <v>0</v>
      </c>
      <c r="X158" s="61"/>
      <c r="Y158" s="61"/>
      <c r="Z158" s="344" t="str">
        <f>Y158/X158</f>
        <v>0</v>
      </c>
      <c r="AA158" s="61"/>
      <c r="AB158" s="61"/>
      <c r="AC158" s="344" t="str">
        <f>AB158/AA158</f>
        <v>0</v>
      </c>
      <c r="AD158" s="61"/>
      <c r="AE158" s="61"/>
      <c r="AF158" s="61" t="str">
        <f>AE158/AD158</f>
        <v>0</v>
      </c>
      <c r="AG158" s="61"/>
      <c r="AH158" s="61"/>
      <c r="AI158" s="61" t="str">
        <f>AH158/AG158</f>
        <v>0</v>
      </c>
      <c r="AJ158" s="61"/>
      <c r="AK158" s="61"/>
      <c r="AL158" s="61" t="str">
        <f>AK158/AJ158</f>
        <v>0</v>
      </c>
      <c r="AM158" s="61"/>
      <c r="AN158" s="61"/>
      <c r="AO158" s="61" t="str">
        <f>AN158/AM158</f>
        <v>0</v>
      </c>
      <c r="AP158" s="348">
        <f>F158+I158+L158+O158+R158+U158+X158+AA158+AD158+AG158+AJ158+AM158</f>
        <v>0</v>
      </c>
      <c r="AQ158" s="348">
        <f>SUM(G158,J158,M158,P158,S158,V158,Y158,AB158,AE158,AH158,AK158,AN158)</f>
        <v>0</v>
      </c>
      <c r="AR158" s="349" t="str">
        <f>AQ158/AP158</f>
        <v>0</v>
      </c>
    </row>
    <row r="159" spans="1:49" customHeight="1" ht="15">
      <c r="A159" s="453" t="s">
        <v>3051</v>
      </c>
      <c r="B159" s="455">
        <v>0.08</v>
      </c>
      <c r="C159" s="455">
        <f>B159/12*$C$14</f>
        <v>0.033333333333333</v>
      </c>
      <c r="D159" s="452">
        <f>C159/12*$C$14</f>
        <v>0.013888888888889</v>
      </c>
      <c r="E159" s="489">
        <f>IF(D159&gt;0%,C159/D159,100%)</f>
        <v>2.4</v>
      </c>
      <c r="F159" s="120"/>
      <c r="G159" s="421"/>
      <c r="H159" s="420" t="str">
        <f>G159/F159</f>
        <v>0</v>
      </c>
      <c r="I159" s="343">
        <v>1</v>
      </c>
      <c r="J159" s="61"/>
      <c r="K159" s="344">
        <f>J159/I159</f>
        <v>0</v>
      </c>
      <c r="L159" s="61">
        <v>1</v>
      </c>
      <c r="M159" s="61"/>
      <c r="N159" s="344">
        <f>M159/L159</f>
        <v>0</v>
      </c>
      <c r="O159" s="61"/>
      <c r="P159" s="61"/>
      <c r="Q159" s="344" t="str">
        <f>P159/O159</f>
        <v>0</v>
      </c>
      <c r="R159" s="61"/>
      <c r="S159" s="61"/>
      <c r="T159" s="344" t="str">
        <f>S159/R159</f>
        <v>0</v>
      </c>
      <c r="U159" s="61"/>
      <c r="V159" s="61"/>
      <c r="W159" s="344" t="str">
        <f>V159/U159</f>
        <v>0</v>
      </c>
      <c r="X159" s="61"/>
      <c r="Y159" s="61"/>
      <c r="Z159" s="344" t="str">
        <f>Y159/X159</f>
        <v>0</v>
      </c>
      <c r="AA159" s="61"/>
      <c r="AB159" s="61"/>
      <c r="AC159" s="344" t="str">
        <f>AB159/AA159</f>
        <v>0</v>
      </c>
      <c r="AD159" s="61"/>
      <c r="AE159" s="61"/>
      <c r="AF159" s="61" t="str">
        <f>AE159/AD159</f>
        <v>0</v>
      </c>
      <c r="AG159" s="61"/>
      <c r="AH159" s="61"/>
      <c r="AI159" s="61" t="str">
        <f>AH159/AG159</f>
        <v>0</v>
      </c>
      <c r="AJ159" s="61"/>
      <c r="AK159" s="61"/>
      <c r="AL159" s="61" t="str">
        <f>AK159/AJ159</f>
        <v>0</v>
      </c>
      <c r="AM159" s="61"/>
      <c r="AN159" s="61"/>
      <c r="AO159" s="61" t="str">
        <f>AN159/AM159</f>
        <v>0</v>
      </c>
      <c r="AP159" s="348">
        <f>F159+I159+L159+O159+R159+U159+X159+AA159+AD159+AG159+AJ159+AM159</f>
        <v>2</v>
      </c>
      <c r="AQ159" s="348">
        <f>SUM(G159,J159,M159,P159,S159,V159,Y159,AB159,AE159,AH159,AK159,AN159)</f>
        <v>0</v>
      </c>
      <c r="AR159" s="349">
        <f>AQ159/AP159</f>
        <v>0</v>
      </c>
    </row>
    <row r="160" spans="1:49" customHeight="1" ht="15">
      <c r="A160" s="453" t="s">
        <v>3052</v>
      </c>
      <c r="B160" s="455">
        <v>0.0</v>
      </c>
      <c r="C160" s="455">
        <f>B160/12*$C$14</f>
        <v>0</v>
      </c>
      <c r="D160" s="452">
        <f>C160/12*$C$14</f>
        <v>0</v>
      </c>
      <c r="E160" s="489">
        <f>IF(D160&gt;0%,C160/D160,100%)</f>
        <v>1</v>
      </c>
      <c r="F160" s="120"/>
      <c r="G160" s="421"/>
      <c r="H160" s="420" t="str">
        <f>G160/F160</f>
        <v>0</v>
      </c>
      <c r="I160" s="343"/>
      <c r="J160" s="61"/>
      <c r="K160" s="344" t="str">
        <f>J160/I160</f>
        <v>0</v>
      </c>
      <c r="L160" s="61"/>
      <c r="M160" s="61"/>
      <c r="N160" s="344" t="str">
        <f>M160/L160</f>
        <v>0</v>
      </c>
      <c r="O160" s="61">
        <v>1</v>
      </c>
      <c r="P160" s="61"/>
      <c r="Q160" s="344">
        <f>P160/O160</f>
        <v>0</v>
      </c>
      <c r="R160" s="61"/>
      <c r="S160" s="61"/>
      <c r="T160" s="344" t="str">
        <f>S160/R160</f>
        <v>0</v>
      </c>
      <c r="U160" s="61"/>
      <c r="V160" s="61"/>
      <c r="W160" s="344" t="str">
        <f>V160/U160</f>
        <v>0</v>
      </c>
      <c r="X160" s="61"/>
      <c r="Y160" s="61"/>
      <c r="Z160" s="344" t="str">
        <f>Y160/X160</f>
        <v>0</v>
      </c>
      <c r="AA160" s="61"/>
      <c r="AB160" s="61"/>
      <c r="AC160" s="344" t="str">
        <f>AB160/AA160</f>
        <v>0</v>
      </c>
      <c r="AD160" s="61"/>
      <c r="AE160" s="61"/>
      <c r="AF160" s="61" t="str">
        <f>AE160/AD160</f>
        <v>0</v>
      </c>
      <c r="AG160" s="61"/>
      <c r="AH160" s="61"/>
      <c r="AI160" s="61" t="str">
        <f>AH160/AG160</f>
        <v>0</v>
      </c>
      <c r="AJ160" s="61"/>
      <c r="AK160" s="61"/>
      <c r="AL160" s="61" t="str">
        <f>AK160/AJ160</f>
        <v>0</v>
      </c>
      <c r="AM160" s="61"/>
      <c r="AN160" s="61"/>
      <c r="AO160" s="61" t="str">
        <f>AN160/AM160</f>
        <v>0</v>
      </c>
      <c r="AP160" s="348">
        <f>F160+I160+L160+O160+R160+U160+X160+AA160+AD160+AG160+AJ160+AM160</f>
        <v>1</v>
      </c>
      <c r="AQ160" s="348">
        <f>SUM(G160,J160,M160,P160,S160,V160,Y160,AB160,AE160,AH160,AK160,AN160)</f>
        <v>0</v>
      </c>
      <c r="AR160" s="349">
        <f>AQ160/AP160</f>
        <v>0</v>
      </c>
    </row>
    <row r="161" spans="1:49" customHeight="1" ht="15">
      <c r="A161" s="491" t="s">
        <v>3053</v>
      </c>
      <c r="B161" s="455">
        <v>0.08</v>
      </c>
      <c r="C161" s="455">
        <f>B161/12*$C$14</f>
        <v>0.033333333333333</v>
      </c>
      <c r="D161" s="452">
        <f>C161/12*$C$14</f>
        <v>0.013888888888889</v>
      </c>
      <c r="E161" s="489">
        <f>IF(D161&gt;0%,C161/D161,100%)</f>
        <v>2.4</v>
      </c>
      <c r="F161" s="120"/>
      <c r="G161" s="421"/>
      <c r="H161" s="420" t="str">
        <f>G161/F161</f>
        <v>0</v>
      </c>
      <c r="I161" s="343"/>
      <c r="J161" s="61"/>
      <c r="K161" s="344" t="str">
        <f>J161/I161</f>
        <v>0</v>
      </c>
      <c r="L161" s="61"/>
      <c r="M161" s="61"/>
      <c r="N161" s="344" t="str">
        <f>M161/L161</f>
        <v>0</v>
      </c>
      <c r="O161" s="61"/>
      <c r="P161" s="61"/>
      <c r="Q161" s="344" t="str">
        <f>P161/O161</f>
        <v>0</v>
      </c>
      <c r="R161" s="61"/>
      <c r="S161" s="61"/>
      <c r="T161" s="344" t="str">
        <f>S161/R161</f>
        <v>0</v>
      </c>
      <c r="U161" s="61"/>
      <c r="V161" s="61"/>
      <c r="W161" s="344" t="str">
        <f>V161/U161</f>
        <v>0</v>
      </c>
      <c r="X161" s="61"/>
      <c r="Y161" s="61"/>
      <c r="Z161" s="344" t="str">
        <f>Y161/X161</f>
        <v>0</v>
      </c>
      <c r="AA161" s="61"/>
      <c r="AB161" s="61"/>
      <c r="AC161" s="344" t="str">
        <f>AB161/AA161</f>
        <v>0</v>
      </c>
      <c r="AD161" s="61"/>
      <c r="AE161" s="61"/>
      <c r="AF161" s="61" t="str">
        <f>AE161/AD161</f>
        <v>0</v>
      </c>
      <c r="AG161" s="61"/>
      <c r="AH161" s="61"/>
      <c r="AI161" s="61" t="str">
        <f>AH161/AG161</f>
        <v>0</v>
      </c>
      <c r="AJ161" s="61"/>
      <c r="AK161" s="61"/>
      <c r="AL161" s="61" t="str">
        <f>AK161/AJ161</f>
        <v>0</v>
      </c>
      <c r="AM161" s="61"/>
      <c r="AN161" s="61"/>
      <c r="AO161" s="61" t="str">
        <f>AN161/AM161</f>
        <v>0</v>
      </c>
      <c r="AP161" s="348">
        <f>F161+I161+L161+O161+R161+U161+X161+AA161+AD161+AG161+AJ161+AM161</f>
        <v>0</v>
      </c>
      <c r="AQ161" s="348">
        <f>SUM(G161,J161,M161,P161,S161,V161,Y161,AB161,AE161,AH161,AK161,AN161)</f>
        <v>0</v>
      </c>
      <c r="AR161" s="349" t="str">
        <f>AQ161/AP161</f>
        <v>0</v>
      </c>
    </row>
    <row r="162" spans="1:49" customHeight="1" ht="15">
      <c r="A162" s="491" t="s">
        <v>3054</v>
      </c>
      <c r="B162" s="455">
        <v>0.05</v>
      </c>
      <c r="C162" s="455">
        <f>B162/12*$C$14</f>
        <v>0.020833333333333</v>
      </c>
      <c r="D162" s="452">
        <f>C162/12*$C$14</f>
        <v>0.0086805555555556</v>
      </c>
      <c r="E162" s="489">
        <f>IF(D162&gt;0%,C162/D162,100%)</f>
        <v>2.4</v>
      </c>
      <c r="F162" s="120"/>
      <c r="G162" s="421"/>
      <c r="H162" s="420" t="str">
        <f>G162/F162</f>
        <v>0</v>
      </c>
      <c r="I162" s="343"/>
      <c r="J162" s="61"/>
      <c r="K162" s="344" t="str">
        <f>J162/I162</f>
        <v>0</v>
      </c>
      <c r="L162" s="61">
        <v>1</v>
      </c>
      <c r="M162" s="61"/>
      <c r="N162" s="344">
        <f>M162/L162</f>
        <v>0</v>
      </c>
      <c r="O162" s="61"/>
      <c r="P162" s="61"/>
      <c r="Q162" s="344" t="str">
        <f>P162/O162</f>
        <v>0</v>
      </c>
      <c r="R162" s="61"/>
      <c r="S162" s="61"/>
      <c r="T162" s="344" t="str">
        <f>S162/R162</f>
        <v>0</v>
      </c>
      <c r="U162" s="61"/>
      <c r="V162" s="61"/>
      <c r="W162" s="344" t="str">
        <f>V162/U162</f>
        <v>0</v>
      </c>
      <c r="X162" s="61"/>
      <c r="Y162" s="61"/>
      <c r="Z162" s="344" t="str">
        <f>Y162/X162</f>
        <v>0</v>
      </c>
      <c r="AA162" s="61"/>
      <c r="AB162" s="61"/>
      <c r="AC162" s="344" t="str">
        <f>AB162/AA162</f>
        <v>0</v>
      </c>
      <c r="AD162" s="61"/>
      <c r="AE162" s="61"/>
      <c r="AF162" s="61" t="str">
        <f>AE162/AD162</f>
        <v>0</v>
      </c>
      <c r="AG162" s="61"/>
      <c r="AH162" s="61"/>
      <c r="AI162" s="61" t="str">
        <f>AH162/AG162</f>
        <v>0</v>
      </c>
      <c r="AJ162" s="61"/>
      <c r="AK162" s="61"/>
      <c r="AL162" s="61" t="str">
        <f>AK162/AJ162</f>
        <v>0</v>
      </c>
      <c r="AM162" s="61"/>
      <c r="AN162" s="61"/>
      <c r="AO162" s="61" t="str">
        <f>AN162/AM162</f>
        <v>0</v>
      </c>
      <c r="AP162" s="348">
        <f>F162+I162+L162+O162+R162+U162+X162+AA162+AD162+AG162+AJ162+AM162</f>
        <v>1</v>
      </c>
      <c r="AQ162" s="348">
        <f>SUM(G162,J162,M162,P162,S162,V162,Y162,AB162,AE162,AH162,AK162,AN162)</f>
        <v>0</v>
      </c>
      <c r="AR162" s="349">
        <f>AQ162/AP162</f>
        <v>0</v>
      </c>
    </row>
    <row r="163" spans="1:49" customHeight="1" ht="15">
      <c r="A163" s="490" t="s">
        <v>3055</v>
      </c>
      <c r="B163" s="480">
        <v>0.08</v>
      </c>
      <c r="C163" s="480">
        <f>B163/12*$C$14</f>
        <v>0.033333333333333</v>
      </c>
      <c r="D163" s="480">
        <f>C163/12*$C$14</f>
        <v>0.013888888888889</v>
      </c>
      <c r="E163" s="509">
        <f>IF(D163&gt;0%,C163/D163,100%)</f>
        <v>2.4</v>
      </c>
      <c r="F163" s="120"/>
      <c r="G163" s="421"/>
      <c r="H163" s="420" t="str">
        <f>G163/F163</f>
        <v>0</v>
      </c>
      <c r="I163" s="343"/>
      <c r="J163" s="61"/>
      <c r="K163" s="344" t="str">
        <f>J163/I163</f>
        <v>0</v>
      </c>
      <c r="L163" s="61"/>
      <c r="M163" s="61"/>
      <c r="N163" s="344" t="str">
        <f>M163/L163</f>
        <v>0</v>
      </c>
      <c r="O163" s="61"/>
      <c r="P163" s="61"/>
      <c r="Q163" s="344" t="str">
        <f>P163/O163</f>
        <v>0</v>
      </c>
      <c r="R163" s="61"/>
      <c r="S163" s="61"/>
      <c r="T163" s="344" t="str">
        <f>S163/R163</f>
        <v>0</v>
      </c>
      <c r="U163" s="61"/>
      <c r="V163" s="61"/>
      <c r="W163" s="344" t="str">
        <f>V163/U163</f>
        <v>0</v>
      </c>
      <c r="X163" s="61"/>
      <c r="Y163" s="61"/>
      <c r="Z163" s="344" t="str">
        <f>Y163/X163</f>
        <v>0</v>
      </c>
      <c r="AA163" s="61"/>
      <c r="AB163" s="61"/>
      <c r="AC163" s="344" t="str">
        <f>AB163/AA163</f>
        <v>0</v>
      </c>
      <c r="AD163" s="61"/>
      <c r="AE163" s="61"/>
      <c r="AF163" s="61" t="str">
        <f>AE163/AD163</f>
        <v>0</v>
      </c>
      <c r="AG163" s="61"/>
      <c r="AH163" s="61"/>
      <c r="AI163" s="61" t="str">
        <f>AH163/AG163</f>
        <v>0</v>
      </c>
      <c r="AJ163" s="61"/>
      <c r="AK163" s="61"/>
      <c r="AL163" s="61" t="str">
        <f>AK163/AJ163</f>
        <v>0</v>
      </c>
      <c r="AM163" s="61"/>
      <c r="AN163" s="61"/>
      <c r="AO163" s="61" t="str">
        <f>AN163/AM163</f>
        <v>0</v>
      </c>
      <c r="AP163" s="348">
        <f>F163+I163+L163+O163+R163+U163+X163+AA163+AD163+AG163+AJ163+AM163</f>
        <v>0</v>
      </c>
      <c r="AQ163" s="348">
        <f>SUM(G163,J163,M163,P163,S163,V163,Y163,AB163,AE163,AH163,AK163,AN163)</f>
        <v>0</v>
      </c>
      <c r="AR163" s="349" t="str">
        <f>AQ163/AP163</f>
        <v>0</v>
      </c>
    </row>
    <row r="164" spans="1:49" customHeight="1" ht="15">
      <c r="A164" s="453" t="s">
        <v>3056</v>
      </c>
      <c r="B164" s="455">
        <v>0.08</v>
      </c>
      <c r="C164" s="455">
        <f>B164/12*$C$14</f>
        <v>0.033333333333333</v>
      </c>
      <c r="D164" s="452">
        <f>C164/12*$C$14</f>
        <v>0.013888888888889</v>
      </c>
      <c r="E164" s="489">
        <f>IF(D164&gt;0%,C164/D164,100%)</f>
        <v>2.4</v>
      </c>
      <c r="F164" s="120"/>
      <c r="G164" s="421"/>
      <c r="H164" s="420" t="str">
        <f>G164/F164</f>
        <v>0</v>
      </c>
      <c r="I164" s="343"/>
      <c r="J164" s="61"/>
      <c r="K164" s="344" t="str">
        <f>J164/I164</f>
        <v>0</v>
      </c>
      <c r="L164" s="61"/>
      <c r="M164" s="61"/>
      <c r="N164" s="344" t="str">
        <f>M164/L164</f>
        <v>0</v>
      </c>
      <c r="O164" s="61"/>
      <c r="P164" s="61"/>
      <c r="Q164" s="344" t="str">
        <f>P164/O164</f>
        <v>0</v>
      </c>
      <c r="R164" s="61"/>
      <c r="S164" s="61"/>
      <c r="T164" s="344" t="str">
        <f>S164/R164</f>
        <v>0</v>
      </c>
      <c r="U164" s="61"/>
      <c r="V164" s="61"/>
      <c r="W164" s="344" t="str">
        <f>V164/U164</f>
        <v>0</v>
      </c>
      <c r="X164" s="61"/>
      <c r="Y164" s="61"/>
      <c r="Z164" s="344" t="str">
        <f>Y164/X164</f>
        <v>0</v>
      </c>
      <c r="AA164" s="61"/>
      <c r="AB164" s="61"/>
      <c r="AC164" s="344" t="str">
        <f>AB164/AA164</f>
        <v>0</v>
      </c>
      <c r="AD164" s="61"/>
      <c r="AE164" s="61"/>
      <c r="AF164" s="61" t="str">
        <f>AE164/AD164</f>
        <v>0</v>
      </c>
      <c r="AG164" s="61"/>
      <c r="AH164" s="61"/>
      <c r="AI164" s="61" t="str">
        <f>AH164/AG164</f>
        <v>0</v>
      </c>
      <c r="AJ164" s="61"/>
      <c r="AK164" s="61"/>
      <c r="AL164" s="61" t="str">
        <f>AK164/AJ164</f>
        <v>0</v>
      </c>
      <c r="AM164" s="61"/>
      <c r="AN164" s="61"/>
      <c r="AO164" s="61" t="str">
        <f>AN164/AM164</f>
        <v>0</v>
      </c>
      <c r="AP164" s="348">
        <f>F164+I164+L164+O164+R164+U164+X164+AA164+AD164+AG164+AJ164+AM164</f>
        <v>0</v>
      </c>
      <c r="AQ164" s="348">
        <f>SUM(G164,J164,M164,P164,S164,V164,Y164,AB164,AE164,AH164,AK164,AN164)</f>
        <v>0</v>
      </c>
      <c r="AR164" s="349" t="str">
        <f>AQ164/AP164</f>
        <v>0</v>
      </c>
    </row>
    <row r="165" spans="1:49" customHeight="1" ht="15">
      <c r="A165" s="453" t="s">
        <v>3058</v>
      </c>
      <c r="B165" s="455">
        <v>0.0</v>
      </c>
      <c r="C165" s="455">
        <f>B165/12*$C$14</f>
        <v>0</v>
      </c>
      <c r="D165" s="452">
        <f>C165/12*$C$14</f>
        <v>0</v>
      </c>
      <c r="E165" s="489">
        <f>IF(D165&gt;0%,C165/D165,100%)</f>
        <v>1</v>
      </c>
      <c r="F165" s="120"/>
      <c r="G165" s="421"/>
      <c r="H165" s="420" t="str">
        <f>G165/F165</f>
        <v>0</v>
      </c>
      <c r="I165" s="343"/>
      <c r="J165" s="61"/>
      <c r="K165" s="344" t="str">
        <f>J165/I165</f>
        <v>0</v>
      </c>
      <c r="L165" s="61"/>
      <c r="M165" s="61"/>
      <c r="N165" s="344" t="str">
        <f>M165/L165</f>
        <v>0</v>
      </c>
      <c r="O165" s="61"/>
      <c r="P165" s="61"/>
      <c r="Q165" s="344" t="str">
        <f>P165/O165</f>
        <v>0</v>
      </c>
      <c r="R165" s="61"/>
      <c r="S165" s="61"/>
      <c r="T165" s="344" t="str">
        <f>S165/R165</f>
        <v>0</v>
      </c>
      <c r="U165" s="61"/>
      <c r="V165" s="61"/>
      <c r="W165" s="344" t="str">
        <f>V165/U165</f>
        <v>0</v>
      </c>
      <c r="X165" s="61"/>
      <c r="Y165" s="61"/>
      <c r="Z165" s="344" t="str">
        <f>Y165/X165</f>
        <v>0</v>
      </c>
      <c r="AA165" s="61"/>
      <c r="AB165" s="61"/>
      <c r="AC165" s="344" t="str">
        <f>AB165/AA165</f>
        <v>0</v>
      </c>
      <c r="AD165" s="61"/>
      <c r="AE165" s="61"/>
      <c r="AF165" s="61" t="str">
        <f>AE165/AD165</f>
        <v>0</v>
      </c>
      <c r="AG165" s="61"/>
      <c r="AH165" s="61"/>
      <c r="AI165" s="61" t="str">
        <f>AH165/AG165</f>
        <v>0</v>
      </c>
      <c r="AJ165" s="61"/>
      <c r="AK165" s="61"/>
      <c r="AL165" s="61" t="str">
        <f>AK165/AJ165</f>
        <v>0</v>
      </c>
      <c r="AM165" s="61"/>
      <c r="AN165" s="61"/>
      <c r="AO165" s="61" t="str">
        <f>AN165/AM165</f>
        <v>0</v>
      </c>
      <c r="AP165" s="348">
        <f>F165+I165+L165+O165+R165+U165+X165+AA165+AD165+AG165+AJ165+AM165</f>
        <v>0</v>
      </c>
      <c r="AQ165" s="348">
        <f>SUM(G165,J165,M165,P165,S165,V165,Y165,AB165,AE165,AH165,AK165,AN165)</f>
        <v>0</v>
      </c>
      <c r="AR165" s="349" t="str">
        <f>AQ165/AP165</f>
        <v>0</v>
      </c>
    </row>
    <row r="166" spans="1:49" customHeight="1" ht="15">
      <c r="A166" s="453" t="s">
        <v>3059</v>
      </c>
      <c r="B166" s="455">
        <v>0.0</v>
      </c>
      <c r="C166" s="455">
        <f>B166/12*$C$14</f>
        <v>0</v>
      </c>
      <c r="D166" s="452">
        <f>C166/12*$C$14</f>
        <v>0</v>
      </c>
      <c r="E166" s="489">
        <f>IF(D166&gt;0%,C166/D166,100%)</f>
        <v>1</v>
      </c>
      <c r="F166" s="120"/>
      <c r="G166" s="421"/>
      <c r="H166" s="420" t="str">
        <f>G166/F166</f>
        <v>0</v>
      </c>
      <c r="I166" s="343"/>
      <c r="J166" s="61"/>
      <c r="K166" s="344" t="str">
        <f>J166/I166</f>
        <v>0</v>
      </c>
      <c r="L166" s="61"/>
      <c r="M166" s="61"/>
      <c r="N166" s="344" t="str">
        <f>M166/L166</f>
        <v>0</v>
      </c>
      <c r="O166" s="61"/>
      <c r="P166" s="61"/>
      <c r="Q166" s="344" t="str">
        <f>P166/O166</f>
        <v>0</v>
      </c>
      <c r="R166" s="61"/>
      <c r="S166" s="61"/>
      <c r="T166" s="344" t="str">
        <f>S166/R166</f>
        <v>0</v>
      </c>
      <c r="U166" s="61"/>
      <c r="V166" s="61"/>
      <c r="W166" s="344" t="str">
        <f>V166/U166</f>
        <v>0</v>
      </c>
      <c r="X166" s="61"/>
      <c r="Y166" s="61"/>
      <c r="Z166" s="344" t="str">
        <f>Y166/X166</f>
        <v>0</v>
      </c>
      <c r="AA166" s="61"/>
      <c r="AB166" s="61"/>
      <c r="AC166" s="344" t="str">
        <f>AB166/AA166</f>
        <v>0</v>
      </c>
      <c r="AD166" s="61"/>
      <c r="AE166" s="61"/>
      <c r="AF166" s="61" t="str">
        <f>AE166/AD166</f>
        <v>0</v>
      </c>
      <c r="AG166" s="61"/>
      <c r="AH166" s="61"/>
      <c r="AI166" s="61" t="str">
        <f>AH166/AG166</f>
        <v>0</v>
      </c>
      <c r="AJ166" s="61"/>
      <c r="AK166" s="61"/>
      <c r="AL166" s="61" t="str">
        <f>AK166/AJ166</f>
        <v>0</v>
      </c>
      <c r="AM166" s="61"/>
      <c r="AN166" s="61"/>
      <c r="AO166" s="61" t="str">
        <f>AN166/AM166</f>
        <v>0</v>
      </c>
      <c r="AP166" s="348">
        <f>F166+I166+L166+O166+R166+U166+X166+AA166+AD166+AG166+AJ166+AM166</f>
        <v>0</v>
      </c>
      <c r="AQ166" s="348">
        <f>SUM(G166,J166,M166,P166,S166,V166,Y166,AB166,AE166,AH166,AK166,AN166)</f>
        <v>0</v>
      </c>
      <c r="AR166" s="349" t="str">
        <f>AQ166/AP166</f>
        <v>0</v>
      </c>
    </row>
    <row r="167" spans="1:49" customHeight="1" ht="15">
      <c r="A167" s="453" t="s">
        <v>3060</v>
      </c>
      <c r="B167" s="455">
        <v>0.0</v>
      </c>
      <c r="C167" s="455">
        <f>B167/12*$C$14</f>
        <v>0</v>
      </c>
      <c r="D167" s="452">
        <f>C167/12*$C$14</f>
        <v>0</v>
      </c>
      <c r="E167" s="489">
        <f>IF(D167&gt;0%,C167/D167,100%)</f>
        <v>1</v>
      </c>
      <c r="F167" s="120">
        <v>1</v>
      </c>
      <c r="G167" s="421"/>
      <c r="H167" s="420">
        <f>G167/F167</f>
        <v>0</v>
      </c>
      <c r="I167" s="343"/>
      <c r="J167" s="61"/>
      <c r="K167" s="344" t="str">
        <f>J167/I167</f>
        <v>0</v>
      </c>
      <c r="L167" s="61"/>
      <c r="M167" s="61"/>
      <c r="N167" s="344" t="str">
        <f>M167/L167</f>
        <v>0</v>
      </c>
      <c r="O167" s="61"/>
      <c r="P167" s="61"/>
      <c r="Q167" s="344" t="str">
        <f>P167/O167</f>
        <v>0</v>
      </c>
      <c r="R167" s="61"/>
      <c r="S167" s="61"/>
      <c r="T167" s="344" t="str">
        <f>S167/R167</f>
        <v>0</v>
      </c>
      <c r="U167" s="61"/>
      <c r="V167" s="61"/>
      <c r="W167" s="344" t="str">
        <f>V167/U167</f>
        <v>0</v>
      </c>
      <c r="X167" s="61"/>
      <c r="Y167" s="61"/>
      <c r="Z167" s="344" t="str">
        <f>Y167/X167</f>
        <v>0</v>
      </c>
      <c r="AA167" s="61"/>
      <c r="AB167" s="61"/>
      <c r="AC167" s="344" t="str">
        <f>AB167/AA167</f>
        <v>0</v>
      </c>
      <c r="AD167" s="61"/>
      <c r="AE167" s="61"/>
      <c r="AF167" s="61" t="str">
        <f>AE167/AD167</f>
        <v>0</v>
      </c>
      <c r="AG167" s="61"/>
      <c r="AH167" s="61"/>
      <c r="AI167" s="61" t="str">
        <f>AH167/AG167</f>
        <v>0</v>
      </c>
      <c r="AJ167" s="61"/>
      <c r="AK167" s="61"/>
      <c r="AL167" s="61" t="str">
        <f>AK167/AJ167</f>
        <v>0</v>
      </c>
      <c r="AM167" s="61"/>
      <c r="AN167" s="61"/>
      <c r="AO167" s="61" t="str">
        <f>AN167/AM167</f>
        <v>0</v>
      </c>
      <c r="AP167" s="348">
        <f>F167+I167+L167+O167+R167+U167+X167+AA167+AD167+AG167+AJ167+AM167</f>
        <v>1</v>
      </c>
      <c r="AQ167" s="348">
        <f>SUM(G167,J167,M167,P167,S167,V167,Y167,AB167,AE167,AH167,AK167,AN167)</f>
        <v>0</v>
      </c>
      <c r="AR167" s="349">
        <f>AQ167/AP167</f>
        <v>0</v>
      </c>
    </row>
    <row r="168" spans="1:49" customHeight="1" ht="15">
      <c r="A168" s="479" t="s">
        <v>319</v>
      </c>
      <c r="B168" s="480">
        <v>0.12</v>
      </c>
      <c r="C168" s="480">
        <f>B168/12*$C$14</f>
        <v>0.05</v>
      </c>
      <c r="D168" s="482">
        <f>C168/12*$C$14</f>
        <v>0.020833333333333</v>
      </c>
      <c r="E168" s="509">
        <f>IF(D168&gt;0%,C168/D168,100%)</f>
        <v>2.4</v>
      </c>
      <c r="F168" s="120"/>
      <c r="G168" s="421"/>
      <c r="H168" s="420" t="str">
        <f>G168/F168</f>
        <v>0</v>
      </c>
      <c r="I168" s="343"/>
      <c r="J168" s="61"/>
      <c r="K168" s="344" t="str">
        <f>J168/I168</f>
        <v>0</v>
      </c>
      <c r="L168" s="61"/>
      <c r="M168" s="61"/>
      <c r="N168" s="344" t="str">
        <f>M168/L168</f>
        <v>0</v>
      </c>
      <c r="O168" s="61"/>
      <c r="P168" s="61"/>
      <c r="Q168" s="344" t="str">
        <f>P168/O168</f>
        <v>0</v>
      </c>
      <c r="R168" s="61"/>
      <c r="S168" s="61"/>
      <c r="T168" s="344" t="str">
        <f>S168/R168</f>
        <v>0</v>
      </c>
      <c r="U168" s="61"/>
      <c r="V168" s="61"/>
      <c r="W168" s="344" t="str">
        <f>V168/U168</f>
        <v>0</v>
      </c>
      <c r="X168" s="61"/>
      <c r="Y168" s="61"/>
      <c r="Z168" s="344" t="str">
        <f>Y168/X168</f>
        <v>0</v>
      </c>
      <c r="AA168" s="61"/>
      <c r="AB168" s="61"/>
      <c r="AC168" s="344" t="str">
        <f>AB168/AA168</f>
        <v>0</v>
      </c>
      <c r="AD168" s="61"/>
      <c r="AE168" s="61"/>
      <c r="AF168" s="61" t="str">
        <f>AE168/AD168</f>
        <v>0</v>
      </c>
      <c r="AG168" s="61"/>
      <c r="AH168" s="61"/>
      <c r="AI168" s="61" t="str">
        <f>AH168/AG168</f>
        <v>0</v>
      </c>
      <c r="AJ168" s="61"/>
      <c r="AK168" s="61"/>
      <c r="AL168" s="61" t="str">
        <f>AK168/AJ168</f>
        <v>0</v>
      </c>
      <c r="AM168" s="61"/>
      <c r="AN168" s="61"/>
      <c r="AO168" s="61" t="str">
        <f>AN168/AM168</f>
        <v>0</v>
      </c>
      <c r="AP168" s="348">
        <f>F168+I168+L168+O168+R168+U168+X168+AA168+AD168+AG168+AJ168+AM168</f>
        <v>0</v>
      </c>
      <c r="AQ168" s="348">
        <f>SUM(G168,J168,M168,P168,S168,V168,Y168,AB168,AE168,AH168,AK168,AN168)</f>
        <v>0</v>
      </c>
      <c r="AR168" s="349" t="str">
        <f>AQ168/AP168</f>
        <v>0</v>
      </c>
    </row>
    <row r="169" spans="1:49" customHeight="1" ht="15">
      <c r="A169" s="453" t="s">
        <v>3061</v>
      </c>
      <c r="B169" s="455">
        <v>0.09</v>
      </c>
      <c r="C169" s="455">
        <f>B169/12*$C$14</f>
        <v>0.0375</v>
      </c>
      <c r="D169" s="452">
        <f>C169/12*$C$14</f>
        <v>0.015625</v>
      </c>
      <c r="E169" s="489">
        <f>IF(D169&gt;0%,C169/D169,100%)</f>
        <v>2.4</v>
      </c>
      <c r="F169" s="120"/>
      <c r="G169" s="421"/>
      <c r="H169" s="420" t="str">
        <f>G169/F169</f>
        <v>0</v>
      </c>
      <c r="I169" s="343"/>
      <c r="J169" s="61">
        <v>1</v>
      </c>
      <c r="K169" s="344" t="str">
        <f>J169/I169</f>
        <v>0</v>
      </c>
      <c r="L169" s="61"/>
      <c r="M169" s="61"/>
      <c r="N169" s="344" t="str">
        <f>M169/L169</f>
        <v>0</v>
      </c>
      <c r="O169" s="61"/>
      <c r="P169" s="61"/>
      <c r="Q169" s="344" t="str">
        <f>P169/O169</f>
        <v>0</v>
      </c>
      <c r="R169" s="61"/>
      <c r="S169" s="61"/>
      <c r="T169" s="344" t="str">
        <f>S169/R169</f>
        <v>0</v>
      </c>
      <c r="U169" s="61"/>
      <c r="V169" s="61"/>
      <c r="W169" s="344" t="str">
        <f>V169/U169</f>
        <v>0</v>
      </c>
      <c r="X169" s="61"/>
      <c r="Y169" s="61"/>
      <c r="Z169" s="344" t="str">
        <f>Y169/X169</f>
        <v>0</v>
      </c>
      <c r="AA169" s="61"/>
      <c r="AB169" s="61"/>
      <c r="AC169" s="344" t="str">
        <f>AB169/AA169</f>
        <v>0</v>
      </c>
      <c r="AD169" s="61"/>
      <c r="AE169" s="61"/>
      <c r="AF169" s="61" t="str">
        <f>AE169/AD169</f>
        <v>0</v>
      </c>
      <c r="AG169" s="61"/>
      <c r="AH169" s="61"/>
      <c r="AI169" s="61" t="str">
        <f>AH169/AG169</f>
        <v>0</v>
      </c>
      <c r="AJ169" s="61"/>
      <c r="AK169" s="61"/>
      <c r="AL169" s="61" t="str">
        <f>AK169/AJ169</f>
        <v>0</v>
      </c>
      <c r="AM169" s="61"/>
      <c r="AN169" s="61"/>
      <c r="AO169" s="61" t="str">
        <f>AN169/AM169</f>
        <v>0</v>
      </c>
      <c r="AP169" s="348">
        <f>F169+I169+L169+O169+R169+U169+X169+AA169+AD169+AG169+AJ169+AM169</f>
        <v>0</v>
      </c>
      <c r="AQ169" s="348">
        <f>SUM(G169,J169,M169,P169,S169,V169,Y169,AB169,AE169,AH169,AK169,AN169)</f>
        <v>1</v>
      </c>
      <c r="AR169" s="349" t="str">
        <f>AQ169/AP169</f>
        <v>0</v>
      </c>
    </row>
    <row r="170" spans="1:49" customHeight="1" ht="15">
      <c r="A170" s="453" t="s">
        <v>3062</v>
      </c>
      <c r="B170" s="455">
        <v>0.09</v>
      </c>
      <c r="C170" s="455">
        <f>B170/12*$C$14</f>
        <v>0.0375</v>
      </c>
      <c r="D170" s="452">
        <f>C170/12*$C$14</f>
        <v>0.015625</v>
      </c>
      <c r="E170" s="489">
        <f>IF(D170&gt;0%,C170/D170,100%)</f>
        <v>2.4</v>
      </c>
      <c r="F170" s="120"/>
      <c r="G170" s="421"/>
      <c r="H170" s="420" t="str">
        <f>G170/F170</f>
        <v>0</v>
      </c>
      <c r="I170" s="343"/>
      <c r="J170" s="61"/>
      <c r="K170" s="344" t="str">
        <f>J170/I170</f>
        <v>0</v>
      </c>
      <c r="L170" s="61"/>
      <c r="M170" s="61"/>
      <c r="N170" s="344" t="str">
        <f>M170/L170</f>
        <v>0</v>
      </c>
      <c r="O170" s="61"/>
      <c r="P170" s="61"/>
      <c r="Q170" s="344" t="str">
        <f>P170/O170</f>
        <v>0</v>
      </c>
      <c r="R170" s="61"/>
      <c r="S170" s="61"/>
      <c r="T170" s="344" t="str">
        <f>S170/R170</f>
        <v>0</v>
      </c>
      <c r="U170" s="61"/>
      <c r="V170" s="61"/>
      <c r="W170" s="344" t="str">
        <f>V170/U170</f>
        <v>0</v>
      </c>
      <c r="X170" s="61"/>
      <c r="Y170" s="61"/>
      <c r="Z170" s="344" t="str">
        <f>Y170/X170</f>
        <v>0</v>
      </c>
      <c r="AA170" s="61"/>
      <c r="AB170" s="61"/>
      <c r="AC170" s="344" t="str">
        <f>AB170/AA170</f>
        <v>0</v>
      </c>
      <c r="AD170" s="61"/>
      <c r="AE170" s="61"/>
      <c r="AF170" s="61" t="str">
        <f>AE170/AD170</f>
        <v>0</v>
      </c>
      <c r="AG170" s="61"/>
      <c r="AH170" s="61"/>
      <c r="AI170" s="61" t="str">
        <f>AH170/AG170</f>
        <v>0</v>
      </c>
      <c r="AJ170" s="61"/>
      <c r="AK170" s="61"/>
      <c r="AL170" s="61" t="str">
        <f>AK170/AJ170</f>
        <v>0</v>
      </c>
      <c r="AM170" s="61"/>
      <c r="AN170" s="61"/>
      <c r="AO170" s="61" t="str">
        <f>AN170/AM170</f>
        <v>0</v>
      </c>
      <c r="AP170" s="348">
        <f>F170+I170+L170+O170+R170+U170+X170+AA170+AD170+AG170+AJ170+AM170</f>
        <v>0</v>
      </c>
      <c r="AQ170" s="348">
        <f>SUM(G170,J170,M170,P170,S170,V170,Y170,AB170,AE170,AH170,AK170,AN170)</f>
        <v>0</v>
      </c>
      <c r="AR170" s="349" t="str">
        <f>AQ170/AP170</f>
        <v>0</v>
      </c>
    </row>
    <row r="171" spans="1:49" customHeight="1" ht="15">
      <c r="A171" s="453" t="s">
        <v>3063</v>
      </c>
      <c r="B171" s="455">
        <v>0.0</v>
      </c>
      <c r="C171" s="455">
        <f>B171/12*$C$14</f>
        <v>0</v>
      </c>
      <c r="D171" s="452">
        <f>C171/12*$C$14</f>
        <v>0</v>
      </c>
      <c r="E171" s="489">
        <f>IF(D171&gt;0%,C171/D171,100%)</f>
        <v>1</v>
      </c>
      <c r="F171" s="120"/>
      <c r="G171" s="421"/>
      <c r="H171" s="420" t="str">
        <f>G171/F171</f>
        <v>0</v>
      </c>
      <c r="I171" s="510"/>
      <c r="J171" s="61"/>
      <c r="K171" s="344" t="str">
        <f>J171/I171</f>
        <v>0</v>
      </c>
      <c r="L171" s="61"/>
      <c r="M171" s="61"/>
      <c r="N171" s="344" t="str">
        <f>M171/L171</f>
        <v>0</v>
      </c>
      <c r="O171" s="61"/>
      <c r="P171" s="61"/>
      <c r="Q171" s="344" t="str">
        <f>P171/O171</f>
        <v>0</v>
      </c>
      <c r="R171" s="61"/>
      <c r="S171" s="61"/>
      <c r="T171" s="344" t="str">
        <f>S171/R171</f>
        <v>0</v>
      </c>
      <c r="U171" s="61"/>
      <c r="V171" s="61"/>
      <c r="W171" s="344" t="str">
        <f>V171/U171</f>
        <v>0</v>
      </c>
      <c r="X171" s="61"/>
      <c r="Y171" s="61"/>
      <c r="Z171" s="344" t="str">
        <f>Y171/X171</f>
        <v>0</v>
      </c>
      <c r="AA171" s="61"/>
      <c r="AB171" s="61"/>
      <c r="AC171" s="344" t="str">
        <f>AB171/AA171</f>
        <v>0</v>
      </c>
      <c r="AD171" s="61"/>
      <c r="AE171" s="61"/>
      <c r="AF171" s="61" t="str">
        <f>AE171/AD171</f>
        <v>0</v>
      </c>
      <c r="AG171" s="61"/>
      <c r="AH171" s="61"/>
      <c r="AI171" s="61" t="str">
        <f>AH171/AG171</f>
        <v>0</v>
      </c>
      <c r="AJ171" s="61"/>
      <c r="AK171" s="61"/>
      <c r="AL171" s="61" t="str">
        <f>AK171/AJ171</f>
        <v>0</v>
      </c>
      <c r="AM171" s="61"/>
      <c r="AN171" s="61"/>
      <c r="AO171" s="61" t="str">
        <f>AN171/AM171</f>
        <v>0</v>
      </c>
      <c r="AP171" s="348">
        <f>F171+I171+L171+O171+R171+U171+X171+AA171+AD171+AG171+AJ171+AM171</f>
        <v>0</v>
      </c>
      <c r="AQ171" s="348">
        <f>SUM(G171,J171,M171,P171,S171,V171,Y171,AB171,AE171,AH171,AK171,AN171)</f>
        <v>0</v>
      </c>
      <c r="AR171" s="349" t="str">
        <f>AQ171/AP171</f>
        <v>0</v>
      </c>
    </row>
    <row r="172" spans="1:49" customHeight="1" ht="15">
      <c r="A172" s="361" t="s">
        <v>349</v>
      </c>
      <c r="B172" s="443">
        <v>0.0</v>
      </c>
      <c r="C172" s="443">
        <f>B172/12*$C$14</f>
        <v>0</v>
      </c>
      <c r="D172" s="443">
        <f>C172/12*$C$14</f>
        <v>0</v>
      </c>
      <c r="E172" s="511">
        <f>IF(D172&gt;0%,C172/D172,100%)</f>
        <v>1</v>
      </c>
      <c r="F172" s="120"/>
      <c r="G172" s="421"/>
      <c r="H172" s="420" t="str">
        <f>G172/F172</f>
        <v>0</v>
      </c>
      <c r="I172" s="343"/>
      <c r="J172" s="61"/>
      <c r="K172" s="344" t="str">
        <f>J172/I172</f>
        <v>0</v>
      </c>
      <c r="L172" s="61"/>
      <c r="M172" s="61"/>
      <c r="N172" s="344" t="str">
        <f>M172/L172</f>
        <v>0</v>
      </c>
      <c r="O172" s="61"/>
      <c r="P172" s="61"/>
      <c r="Q172" s="344" t="str">
        <f>P172/O172</f>
        <v>0</v>
      </c>
      <c r="R172" s="61"/>
      <c r="S172" s="61"/>
      <c r="T172" s="344" t="str">
        <f>S172/R172</f>
        <v>0</v>
      </c>
      <c r="U172" s="61"/>
      <c r="V172" s="61"/>
      <c r="W172" s="344" t="str">
        <f>V172/U172</f>
        <v>0</v>
      </c>
      <c r="X172" s="61"/>
      <c r="Y172" s="61"/>
      <c r="Z172" s="344" t="str">
        <f>Y172/X172</f>
        <v>0</v>
      </c>
      <c r="AA172" s="61"/>
      <c r="AB172" s="61"/>
      <c r="AC172" s="344" t="str">
        <f>AB172/AA172</f>
        <v>0</v>
      </c>
      <c r="AD172" s="61"/>
      <c r="AE172" s="61"/>
      <c r="AF172" s="61" t="str">
        <f>AE172/AD172</f>
        <v>0</v>
      </c>
      <c r="AG172" s="61"/>
      <c r="AH172" s="61"/>
      <c r="AI172" s="61" t="str">
        <f>AH172/AG172</f>
        <v>0</v>
      </c>
      <c r="AJ172" s="61"/>
      <c r="AK172" s="61"/>
      <c r="AL172" s="61" t="str">
        <f>AK172/AJ172</f>
        <v>0</v>
      </c>
      <c r="AM172" s="61"/>
      <c r="AN172" s="61"/>
      <c r="AO172" s="61" t="str">
        <f>AN172/AM172</f>
        <v>0</v>
      </c>
      <c r="AP172" s="348">
        <f>F172+I172+L172+O172+R172+U172+X172+AA172+AD172+AG172+AJ172+AM172</f>
        <v>0</v>
      </c>
      <c r="AQ172" s="348">
        <f>SUM(G172,J172,M172,P172,S172,V172,Y172,AB172,AE172,AH172,AK172,AN172)</f>
        <v>0</v>
      </c>
      <c r="AR172" s="349" t="str">
        <f>AQ172/AP172</f>
        <v>0</v>
      </c>
    </row>
    <row r="173" spans="1:49" customHeight="1" ht="15">
      <c r="A173" s="453" t="s">
        <v>3064</v>
      </c>
      <c r="B173" s="452">
        <v>0.03</v>
      </c>
      <c r="C173" s="452">
        <f>B173/12*$C$14</f>
        <v>0.0125</v>
      </c>
      <c r="D173" s="452">
        <f>C173/12*$C$14</f>
        <v>0.0052083333333333</v>
      </c>
      <c r="E173" s="454">
        <f>IF(D173&gt;0%,C173/D173,100%)</f>
        <v>2.4</v>
      </c>
      <c r="F173" s="343"/>
      <c r="G173" s="343"/>
      <c r="H173" s="420" t="str">
        <f>G173/F173</f>
        <v>0</v>
      </c>
      <c r="I173" s="343"/>
      <c r="J173" s="61"/>
      <c r="K173" s="344" t="str">
        <f>J173/I173</f>
        <v>0</v>
      </c>
      <c r="L173" s="61"/>
      <c r="M173" s="61"/>
      <c r="N173" s="344" t="str">
        <f>M173/L173</f>
        <v>0</v>
      </c>
      <c r="O173" s="61">
        <v>1</v>
      </c>
      <c r="P173" s="61"/>
      <c r="Q173" s="344">
        <f>P173/O173</f>
        <v>0</v>
      </c>
      <c r="R173" s="61"/>
      <c r="S173" s="61"/>
      <c r="T173" s="344" t="str">
        <f>S173/R173</f>
        <v>0</v>
      </c>
      <c r="U173" s="61"/>
      <c r="V173" s="61"/>
      <c r="W173" s="344" t="str">
        <f>V173/U173</f>
        <v>0</v>
      </c>
      <c r="X173" s="61"/>
      <c r="Y173" s="61"/>
      <c r="Z173" s="344" t="str">
        <f>Y173/X173</f>
        <v>0</v>
      </c>
      <c r="AA173" s="61"/>
      <c r="AB173" s="61"/>
      <c r="AC173" s="344" t="str">
        <f>AB173/AA173</f>
        <v>0</v>
      </c>
      <c r="AD173" s="61"/>
      <c r="AE173" s="61"/>
      <c r="AF173" s="61" t="str">
        <f>AE173/AD173</f>
        <v>0</v>
      </c>
      <c r="AG173" s="61"/>
      <c r="AH173" s="61"/>
      <c r="AI173" s="61" t="str">
        <f>AH173/AG173</f>
        <v>0</v>
      </c>
      <c r="AJ173" s="61"/>
      <c r="AK173" s="61"/>
      <c r="AL173" s="61" t="str">
        <f>AK173/AJ173</f>
        <v>0</v>
      </c>
      <c r="AM173" s="61"/>
      <c r="AN173" s="61"/>
      <c r="AO173" s="61" t="str">
        <f>AN173/AM173</f>
        <v>0</v>
      </c>
      <c r="AP173" s="348">
        <f>F173+I173+L173+O173+R173+U173+X173+AA173+AD173+AG173+AJ173+AM173</f>
        <v>1</v>
      </c>
      <c r="AQ173" s="348">
        <f>SUM(G173,J173,M173,P173,S173,V173,Y173,AB173,AE173,AH173,AK173,AN173)</f>
        <v>0</v>
      </c>
      <c r="AR173" s="349">
        <f>AQ173/AP173</f>
        <v>0</v>
      </c>
    </row>
    <row r="174" spans="1:49" customHeight="1" ht="15">
      <c r="A174" s="453" t="s">
        <v>3065</v>
      </c>
      <c r="B174" s="504" t="s">
        <v>3070</v>
      </c>
      <c r="C174" s="452" t="str">
        <f>B174/12*$C$14</f>
        <v>0</v>
      </c>
      <c r="D174" s="452" t="str">
        <f>C174/12*$C$14</f>
        <v>0</v>
      </c>
      <c r="E174" s="454">
        <f>IF(D174&gt;0%,C174/D174,100%)</f>
        <v>1</v>
      </c>
      <c r="F174" s="120"/>
      <c r="G174" s="421"/>
      <c r="H174" s="420" t="str">
        <f>G174/F174</f>
        <v>0</v>
      </c>
      <c r="I174" s="343"/>
      <c r="J174" s="61"/>
      <c r="K174" s="344" t="str">
        <f>J174/I174</f>
        <v>0</v>
      </c>
      <c r="L174" s="61"/>
      <c r="M174" s="61"/>
      <c r="N174" s="344" t="str">
        <f>M174/L174</f>
        <v>0</v>
      </c>
      <c r="O174" s="61"/>
      <c r="P174" s="61"/>
      <c r="Q174" s="344" t="str">
        <f>P174/O174</f>
        <v>0</v>
      </c>
      <c r="R174" s="61"/>
      <c r="S174" s="61"/>
      <c r="T174" s="344" t="str">
        <f>S174/R174</f>
        <v>0</v>
      </c>
      <c r="U174" s="61"/>
      <c r="V174" s="61"/>
      <c r="W174" s="344" t="str">
        <f>V174/U174</f>
        <v>0</v>
      </c>
      <c r="X174" s="61"/>
      <c r="Y174" s="61"/>
      <c r="Z174" s="344" t="str">
        <f>Y174/X174</f>
        <v>0</v>
      </c>
      <c r="AA174" s="61"/>
      <c r="AB174" s="61"/>
      <c r="AC174" s="344" t="str">
        <f>AB174/AA174</f>
        <v>0</v>
      </c>
      <c r="AD174" s="61"/>
      <c r="AE174" s="61"/>
      <c r="AF174" s="61" t="str">
        <f>AE174/AD174</f>
        <v>0</v>
      </c>
      <c r="AG174" s="61"/>
      <c r="AH174" s="61"/>
      <c r="AI174" s="61" t="str">
        <f>AH174/AG174</f>
        <v>0</v>
      </c>
      <c r="AJ174" s="61"/>
      <c r="AK174" s="61"/>
      <c r="AL174" s="61" t="str">
        <f>AK174/AJ174</f>
        <v>0</v>
      </c>
      <c r="AM174" s="61"/>
      <c r="AN174" s="61"/>
      <c r="AO174" s="61" t="str">
        <f>AN174/AM174</f>
        <v>0</v>
      </c>
      <c r="AP174" s="348">
        <f>F174+I174+L174+O174+R174+U174+X174+AA174+AD174+AG174+AJ174+AM174</f>
        <v>0</v>
      </c>
      <c r="AQ174" s="348">
        <f>SUM(G174,J174,M174,P174,S174,V174,Y174,AB174,AE174,AH174,AK174,AN174)</f>
        <v>0</v>
      </c>
      <c r="AR174" s="349" t="str">
        <f>AQ174/AP174</f>
        <v>0</v>
      </c>
    </row>
    <row r="175" spans="1:49" customHeight="1" ht="15">
      <c r="A175" s="453" t="s">
        <v>3066</v>
      </c>
      <c r="B175" s="452">
        <v>0.0</v>
      </c>
      <c r="C175" s="452">
        <f>B175/12*$C$14</f>
        <v>0</v>
      </c>
      <c r="D175" s="452">
        <f>C175/12*$C$14</f>
        <v>0</v>
      </c>
      <c r="E175" s="454">
        <f>IF(D175&gt;0%,C175/D175,100%)</f>
        <v>1</v>
      </c>
      <c r="F175" s="120"/>
      <c r="G175" s="421"/>
      <c r="H175" s="420" t="str">
        <f>G175/F175</f>
        <v>0</v>
      </c>
      <c r="I175" s="343"/>
      <c r="J175" s="61"/>
      <c r="K175" s="344" t="str">
        <f>J175/I175</f>
        <v>0</v>
      </c>
      <c r="L175" s="61"/>
      <c r="M175" s="61"/>
      <c r="N175" s="344" t="str">
        <f>M175/L175</f>
        <v>0</v>
      </c>
      <c r="O175" s="61"/>
      <c r="P175" s="61"/>
      <c r="Q175" s="344" t="str">
        <f>P175/O175</f>
        <v>0</v>
      </c>
      <c r="R175" s="61"/>
      <c r="S175" s="61"/>
      <c r="T175" s="344" t="str">
        <f>S175/R175</f>
        <v>0</v>
      </c>
      <c r="U175" s="61"/>
      <c r="V175" s="61"/>
      <c r="W175" s="344" t="str">
        <f>V175/U175</f>
        <v>0</v>
      </c>
      <c r="X175" s="61"/>
      <c r="Y175" s="61"/>
      <c r="Z175" s="344" t="str">
        <f>Y175/X175</f>
        <v>0</v>
      </c>
      <c r="AA175" s="61"/>
      <c r="AB175" s="61"/>
      <c r="AC175" s="344" t="str">
        <f>AB175/AA175</f>
        <v>0</v>
      </c>
      <c r="AD175" s="61"/>
      <c r="AE175" s="61"/>
      <c r="AF175" s="61" t="str">
        <f>AE175/AD175</f>
        <v>0</v>
      </c>
      <c r="AG175" s="61"/>
      <c r="AH175" s="61"/>
      <c r="AI175" s="61" t="str">
        <f>AH175/AG175</f>
        <v>0</v>
      </c>
      <c r="AJ175" s="61"/>
      <c r="AK175" s="61"/>
      <c r="AL175" s="61" t="str">
        <f>AK175/AJ175</f>
        <v>0</v>
      </c>
      <c r="AM175" s="61"/>
      <c r="AN175" s="61"/>
      <c r="AO175" s="61" t="str">
        <f>AN175/AM175</f>
        <v>0</v>
      </c>
      <c r="AP175" s="348">
        <f>F175+I175+L175+O175+R175+U175+X175+AA175+AD175+AG175+AJ175+AM175</f>
        <v>0</v>
      </c>
      <c r="AQ175" s="348">
        <f>SUM(G175,J175,M175,P175,S175,V175,Y175,AB175,AE175,AH175,AK175,AN175)</f>
        <v>0</v>
      </c>
      <c r="AR175" s="349" t="str">
        <f>AQ175/AP175</f>
        <v>0</v>
      </c>
    </row>
    <row r="176" spans="1:49" customHeight="1" ht="15">
      <c r="A176" s="475" t="s">
        <v>250</v>
      </c>
      <c r="B176" s="476">
        <v>0.09</v>
      </c>
      <c r="C176" s="476">
        <f>B176/12*$C$14</f>
        <v>0.0375</v>
      </c>
      <c r="D176" s="484">
        <f>C176/12*$C$14</f>
        <v>0.015625</v>
      </c>
      <c r="E176" s="488">
        <f>IF(D176&gt;0%,C176/D176,100%)</f>
        <v>2.4</v>
      </c>
      <c r="F176" s="120"/>
      <c r="G176" s="421"/>
      <c r="H176" s="420" t="str">
        <f>G176/F176</f>
        <v>0</v>
      </c>
      <c r="I176" s="343"/>
      <c r="J176" s="61"/>
      <c r="K176" s="344" t="str">
        <f>J176/I176</f>
        <v>0</v>
      </c>
      <c r="L176" s="61"/>
      <c r="M176" s="61"/>
      <c r="N176" s="344" t="str">
        <f>M176/L176</f>
        <v>0</v>
      </c>
      <c r="O176" s="61"/>
      <c r="P176" s="61"/>
      <c r="Q176" s="344" t="str">
        <f>P176/O176</f>
        <v>0</v>
      </c>
      <c r="R176" s="61"/>
      <c r="S176" s="61"/>
      <c r="T176" s="344" t="str">
        <f>S176/R176</f>
        <v>0</v>
      </c>
      <c r="U176" s="61"/>
      <c r="V176" s="61"/>
      <c r="W176" s="344" t="str">
        <f>V176/U176</f>
        <v>0</v>
      </c>
      <c r="X176" s="61"/>
      <c r="Y176" s="61"/>
      <c r="Z176" s="344" t="str">
        <f>Y176/X176</f>
        <v>0</v>
      </c>
      <c r="AA176" s="61"/>
      <c r="AB176" s="61"/>
      <c r="AC176" s="344" t="str">
        <f>AB176/AA176</f>
        <v>0</v>
      </c>
      <c r="AD176" s="61"/>
      <c r="AE176" s="61"/>
      <c r="AF176" s="61" t="str">
        <f>AE176/AD176</f>
        <v>0</v>
      </c>
      <c r="AG176" s="61"/>
      <c r="AH176" s="61"/>
      <c r="AI176" s="61" t="str">
        <f>AH176/AG176</f>
        <v>0</v>
      </c>
      <c r="AJ176" s="61"/>
      <c r="AK176" s="61"/>
      <c r="AL176" s="61" t="str">
        <f>AK176/AJ176</f>
        <v>0</v>
      </c>
      <c r="AM176" s="61"/>
      <c r="AN176" s="61"/>
      <c r="AO176" s="61" t="str">
        <f>AN176/AM176</f>
        <v>0</v>
      </c>
      <c r="AP176" s="348">
        <f>F176+I176+L176+O176+R176+U176+X176+AA176+AD176+AG176+AJ176+AM176</f>
        <v>0</v>
      </c>
      <c r="AQ176" s="348">
        <f>SUM(G176,J176,M176,P176,S176,V176,Y176,AB176,AE176,AH176,AK176,AN176)</f>
        <v>0</v>
      </c>
      <c r="AR176" s="349" t="str">
        <f>AQ176/AP176</f>
        <v>0</v>
      </c>
    </row>
    <row r="177" spans="1:49" customHeight="1" ht="15">
      <c r="A177" s="453" t="s">
        <v>3067</v>
      </c>
      <c r="B177" s="455">
        <v>0.15</v>
      </c>
      <c r="C177" s="455">
        <f>B177/12*$C$14</f>
        <v>0.0625</v>
      </c>
      <c r="D177" s="452">
        <f>C177/12*$C$14</f>
        <v>0.026041666666667</v>
      </c>
      <c r="E177" s="489">
        <f>IF(D177&gt;0%,C177/D177,100%)</f>
        <v>2.4</v>
      </c>
      <c r="F177" s="120">
        <v>1</v>
      </c>
      <c r="G177" s="421"/>
      <c r="H177" s="420">
        <f>G177/F177</f>
        <v>0</v>
      </c>
      <c r="I177" s="343"/>
      <c r="J177" s="61">
        <v>1</v>
      </c>
      <c r="K177" s="344" t="str">
        <f>J177/I177</f>
        <v>0</v>
      </c>
      <c r="L177" s="61">
        <v>2</v>
      </c>
      <c r="M177" s="61"/>
      <c r="N177" s="344">
        <f>M177/L177</f>
        <v>0</v>
      </c>
      <c r="O177" s="61"/>
      <c r="P177" s="61"/>
      <c r="Q177" s="344" t="str">
        <f>P177/O177</f>
        <v>0</v>
      </c>
      <c r="R177" s="61"/>
      <c r="S177" s="61"/>
      <c r="T177" s="344" t="str">
        <f>S177/R177</f>
        <v>0</v>
      </c>
      <c r="U177" s="61"/>
      <c r="V177" s="61"/>
      <c r="W177" s="344" t="str">
        <f>V177/U177</f>
        <v>0</v>
      </c>
      <c r="X177" s="61"/>
      <c r="Y177" s="61"/>
      <c r="Z177" s="344" t="str">
        <f>Y177/X177</f>
        <v>0</v>
      </c>
      <c r="AA177" s="61"/>
      <c r="AB177" s="61"/>
      <c r="AC177" s="344" t="str">
        <f>AB177/AA177</f>
        <v>0</v>
      </c>
      <c r="AD177" s="61"/>
      <c r="AE177" s="61"/>
      <c r="AF177" s="61" t="str">
        <f>AE177/AD177</f>
        <v>0</v>
      </c>
      <c r="AG177" s="61"/>
      <c r="AH177" s="61"/>
      <c r="AI177" s="61" t="str">
        <f>AH177/AG177</f>
        <v>0</v>
      </c>
      <c r="AJ177" s="61"/>
      <c r="AK177" s="61"/>
      <c r="AL177" s="61" t="str">
        <f>AK177/AJ177</f>
        <v>0</v>
      </c>
      <c r="AM177" s="61"/>
      <c r="AN177" s="61"/>
      <c r="AO177" s="61" t="str">
        <f>AN177/AM177</f>
        <v>0</v>
      </c>
      <c r="AP177" s="348">
        <f>F177+I177+L177+O177+R177+U177+X177+AA177+AD177+AG177+AJ177+AM177</f>
        <v>3</v>
      </c>
      <c r="AQ177" s="348">
        <f>SUM(G177,J177,M177,P177,S177,V177,Y177,AB177,AE177,AH177,AK177,AN177)</f>
        <v>1</v>
      </c>
      <c r="AR177" s="349">
        <f>AQ177/AP177</f>
        <v>0.33333333333333</v>
      </c>
    </row>
    <row r="178" spans="1:49" customHeight="1" ht="15">
      <c r="A178" s="453" t="s">
        <v>3022</v>
      </c>
      <c r="B178" s="455">
        <v>0.0</v>
      </c>
      <c r="C178" s="455">
        <f>B178/12*$C$14</f>
        <v>0</v>
      </c>
      <c r="D178" s="452">
        <f>C178/12*$C$14</f>
        <v>0</v>
      </c>
      <c r="E178" s="512">
        <f>IF(D178&gt;0%,C178/D178,100%)</f>
        <v>1</v>
      </c>
      <c r="F178" s="120"/>
      <c r="G178" s="421"/>
      <c r="H178" s="420" t="str">
        <f>G178/F178</f>
        <v>0</v>
      </c>
      <c r="I178" s="343"/>
      <c r="J178" s="61"/>
      <c r="K178" s="344" t="str">
        <f>J178/I178</f>
        <v>0</v>
      </c>
      <c r="L178" s="61"/>
      <c r="M178" s="61"/>
      <c r="N178" s="344" t="str">
        <f>M178/L178</f>
        <v>0</v>
      </c>
      <c r="O178" s="61"/>
      <c r="P178" s="61"/>
      <c r="Q178" s="344" t="str">
        <f>P178/O178</f>
        <v>0</v>
      </c>
      <c r="R178" s="61">
        <v>1</v>
      </c>
      <c r="S178" s="61"/>
      <c r="T178" s="344">
        <f>S178/R178</f>
        <v>0</v>
      </c>
      <c r="U178" s="61"/>
      <c r="V178" s="61"/>
      <c r="W178" s="344" t="str">
        <f>V178/U178</f>
        <v>0</v>
      </c>
      <c r="X178" s="61"/>
      <c r="Y178" s="61"/>
      <c r="Z178" s="344" t="str">
        <f>Y178/X178</f>
        <v>0</v>
      </c>
      <c r="AA178" s="61"/>
      <c r="AB178" s="61"/>
      <c r="AC178" s="344" t="str">
        <f>AB178/AA178</f>
        <v>0</v>
      </c>
      <c r="AD178" s="61"/>
      <c r="AE178" s="61"/>
      <c r="AF178" s="61" t="str">
        <f>AE178/AD178</f>
        <v>0</v>
      </c>
      <c r="AG178" s="61"/>
      <c r="AH178" s="61"/>
      <c r="AI178" s="61" t="str">
        <f>AH178/AG178</f>
        <v>0</v>
      </c>
      <c r="AJ178" s="61"/>
      <c r="AK178" s="61"/>
      <c r="AL178" s="61" t="str">
        <f>AK178/AJ178</f>
        <v>0</v>
      </c>
      <c r="AM178" s="61"/>
      <c r="AN178" s="61"/>
      <c r="AO178" s="61" t="str">
        <f>AN178/AM178</f>
        <v>0</v>
      </c>
      <c r="AP178" s="348">
        <f>F178+I178+L178+O178+R178+U178+X178+AA178+AD178+AG178+AJ178+AM178</f>
        <v>1</v>
      </c>
      <c r="AQ178" s="348">
        <f>SUM(G178,J178,M178,P178,S178,V178,Y178,AB178,AE178,AH178,AK178,AN178)</f>
        <v>0</v>
      </c>
      <c r="AR178" s="349">
        <f>AQ178/AP178</f>
        <v>0</v>
      </c>
    </row>
    <row r="179" spans="1:49" customHeight="1" ht="14.25">
      <c r="D179" s="772">
        <f>AR179</f>
        <v>0.074074074074074</v>
      </c>
      <c r="F179" s="513">
        <f>SUM(F100:F178)</f>
        <v>5</v>
      </c>
      <c r="G179" s="61">
        <f>SUM(G100:G178)</f>
        <v>0</v>
      </c>
      <c r="H179" s="61"/>
      <c r="I179" s="513">
        <f>SUM(I100:I178)</f>
        <v>11</v>
      </c>
      <c r="J179" s="354">
        <f>SUM(J100:J178)</f>
        <v>3</v>
      </c>
      <c r="K179" s="61"/>
      <c r="L179" s="61">
        <f>SUM(L100:L178)</f>
        <v>11</v>
      </c>
      <c r="M179" s="61">
        <f>SUM(M100:M178)</f>
        <v>0</v>
      </c>
      <c r="N179" s="61"/>
      <c r="O179" s="61">
        <f>SUM(O100:O178)</f>
        <v>11</v>
      </c>
      <c r="P179" s="61">
        <f>SUM(P100:P178)</f>
        <v>1</v>
      </c>
      <c r="Q179" s="61"/>
      <c r="R179" s="513">
        <f>SUM(R100:R178)</f>
        <v>16</v>
      </c>
      <c r="S179" s="61">
        <f>SUM(S100:S178)</f>
        <v>0</v>
      </c>
      <c r="T179" s="61"/>
      <c r="U179" s="61">
        <f>SUM(U100:U178)</f>
        <v>0</v>
      </c>
      <c r="V179" s="61">
        <f>SUM(V100:V178)</f>
        <v>0</v>
      </c>
      <c r="W179" s="61"/>
      <c r="X179" s="61">
        <f>SUM(X100:X178)</f>
        <v>0</v>
      </c>
      <c r="Y179" s="61">
        <f>SUM(Y100:Y178)</f>
        <v>0</v>
      </c>
      <c r="Z179" s="61"/>
      <c r="AA179" s="61">
        <f>SUM(AA100:AA178)</f>
        <v>0</v>
      </c>
      <c r="AB179" s="61">
        <f>SUM(AB100:AB178)</f>
        <v>0</v>
      </c>
      <c r="AC179" s="61"/>
      <c r="AD179" s="61">
        <f>SUM(AD100:AD178)</f>
        <v>0</v>
      </c>
      <c r="AE179" s="61">
        <f>SUM(AE100:AE178)</f>
        <v>0</v>
      </c>
      <c r="AF179" s="61"/>
      <c r="AG179" s="61">
        <f>SUM(AG100:AG178)</f>
        <v>0</v>
      </c>
      <c r="AH179" s="61">
        <f>SUM(AH100:AH178)</f>
        <v>0</v>
      </c>
      <c r="AI179" s="61"/>
      <c r="AJ179" s="61">
        <f>SUM(AJ100:AJ178)</f>
        <v>0</v>
      </c>
      <c r="AK179" s="61">
        <f>SUM(AK74:AK178)</f>
        <v>0</v>
      </c>
      <c r="AL179" s="61"/>
      <c r="AM179" s="61">
        <f>SUM(AM100:AM178)</f>
        <v>0</v>
      </c>
      <c r="AN179" s="61">
        <f>SUM(AN74:AN178)</f>
        <v>0</v>
      </c>
      <c r="AO179" s="61"/>
      <c r="AP179" s="703">
        <f>SUM(AP100:AP178)</f>
        <v>54</v>
      </c>
      <c r="AQ179" s="703">
        <f>SUM(AQ100:AQ178)</f>
        <v>4</v>
      </c>
      <c r="AR179" s="771">
        <f>AQ179/AP179</f>
        <v>0.074074074074074</v>
      </c>
    </row>
    <row r="180" spans="1:49" customHeight="1" ht="15">
      <c r="I180" s="687">
        <f>J179/I179</f>
        <v>0.27272727272727</v>
      </c>
      <c r="L180" s="687">
        <f>M179/L179</f>
        <v>0</v>
      </c>
      <c r="O180" s="687">
        <f>P179/O179</f>
        <v>0.090909090909091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mergeCells>
    <mergeCell ref="R15:T15"/>
    <mergeCell ref="U15:W15"/>
    <mergeCell ref="X15:Z15"/>
    <mergeCell ref="AA15:AC15"/>
    <mergeCell ref="AG1:AI1"/>
    <mergeCell ref="AJ1:AL1"/>
    <mergeCell ref="AG15:AI15"/>
    <mergeCell ref="AJ15:AL15"/>
    <mergeCell ref="AA1:AC1"/>
    <mergeCell ref="AD1:AF1"/>
    <mergeCell ref="B1:B2"/>
    <mergeCell ref="AP1:AR1"/>
    <mergeCell ref="AM1:AO1"/>
    <mergeCell ref="F1:H1"/>
    <mergeCell ref="I1:K1"/>
    <mergeCell ref="L1:N1"/>
    <mergeCell ref="O1:Q1"/>
    <mergeCell ref="R1:T1"/>
    <mergeCell ref="U1:W1"/>
    <mergeCell ref="X1:Z1"/>
    <mergeCell ref="AJ98:AL98"/>
    <mergeCell ref="AM98:AO98"/>
    <mergeCell ref="AP98:AR98"/>
    <mergeCell ref="AM15:AO15"/>
    <mergeCell ref="AP15:AR15"/>
    <mergeCell ref="AD15:AF15"/>
    <mergeCell ref="R98:T98"/>
    <mergeCell ref="U98:W98"/>
    <mergeCell ref="X98:Z98"/>
    <mergeCell ref="AA98:AC98"/>
    <mergeCell ref="AD98:AF98"/>
    <mergeCell ref="AG98:AI98"/>
    <mergeCell ref="B15:B16"/>
    <mergeCell ref="F15:H15"/>
    <mergeCell ref="I15:K15"/>
    <mergeCell ref="L15:N15"/>
    <mergeCell ref="O15:Q15"/>
    <mergeCell ref="B98:B99"/>
    <mergeCell ref="F98:H98"/>
    <mergeCell ref="I98:K98"/>
    <mergeCell ref="L98:N98"/>
    <mergeCell ref="O98:Q98"/>
    <mergeCell ref="C98:C99"/>
    <mergeCell ref="D98:D99"/>
    <mergeCell ref="E98:E99"/>
    <mergeCell ref="C1:C2"/>
    <mergeCell ref="D1:D2"/>
    <mergeCell ref="E1:E2"/>
    <mergeCell ref="C15:C16"/>
    <mergeCell ref="D15:D16"/>
    <mergeCell ref="E15:E16"/>
  </mergeCells>
  <printOptions gridLines="false" gridLinesSet="true"/>
  <pageMargins left="0.39370078740157" right="0.39370078740157" top="0.39370078740157" bottom="0.39370078740157" header="0.51181102362205" footer="0.51181102362205"/>
  <pageSetup paperSize="9" orientation="landscape" scale="27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9"/>
  <sheetViews>
    <sheetView tabSelected="0" workbookViewId="0" zoomScale="80" zoomScaleNormal="80" showGridLines="true" showRowColHeaders="1">
      <pane xSplit="3" ySplit="2" topLeftCell="D3" activePane="bottomRight" state="frozen"/>
      <selection pane="topRight"/>
      <selection pane="bottomLeft"/>
      <selection pane="bottomRight" activeCell="G19" sqref="G19"/>
    </sheetView>
  </sheetViews>
  <sheetFormatPr customHeight="true" defaultRowHeight="15" defaultColWidth="9.140625" outlineLevelRow="0" outlineLevelCol="0"/>
  <cols>
    <col min="1" max="1" width="15.42578125" customWidth="true" style="66"/>
    <col min="2" max="2" width="15.140625" customWidth="true" style="66"/>
    <col min="3" max="3" width="32.7109375" customWidth="true" style="66"/>
    <col min="4" max="4" width="32.7109375" customWidth="true" style="66"/>
    <col min="5" max="5" width="32.7109375" customWidth="true" style="66"/>
    <col min="6" max="6" width="17.28515625" customWidth="true" style="66"/>
    <col min="7" max="7" width="16.28515625" customWidth="true" style="150"/>
    <col min="8" max="8" width="30.7109375" customWidth="true" style="150"/>
    <col min="9" max="9" width="16.28515625" customWidth="true" style="66"/>
    <col min="10" max="10" width="15.140625" customWidth="true" style="150"/>
    <col min="11" max="11" width="12.7109375" customWidth="true" style="151"/>
    <col min="12" max="12" width="12.7109375" customWidth="true" style="151"/>
    <col min="13" max="13" width="17" customWidth="true" style="150"/>
    <col min="14" max="14" width="21.85546875" customWidth="true" style="66"/>
    <col min="15" max="15" width="18.5703125" customWidth="true" style="66"/>
    <col min="16" max="16" width="16.28515625" customWidth="true" style="150"/>
    <col min="17" max="17" width="19.5703125" customWidth="true" style="66"/>
    <col min="18" max="18" width="19.5703125" customWidth="true" style="66"/>
    <col min="19" max="19" width="19.5703125" customWidth="true" style="66"/>
  </cols>
  <sheetData>
    <row r="1" spans="1:19" customHeight="1" ht="45.6" s="146" customFormat="1">
      <c r="A1" s="168" t="s">
        <v>598</v>
      </c>
      <c r="B1" s="168" t="s">
        <v>598</v>
      </c>
      <c r="C1" s="81"/>
      <c r="D1" s="143"/>
      <c r="E1" s="82"/>
      <c r="F1" s="168" t="s">
        <v>598</v>
      </c>
      <c r="G1" s="168" t="s">
        <v>598</v>
      </c>
      <c r="H1" s="144"/>
      <c r="I1" s="168" t="s">
        <v>598</v>
      </c>
      <c r="J1" s="168" t="s">
        <v>598</v>
      </c>
      <c r="K1" s="145"/>
      <c r="L1" s="145"/>
      <c r="M1" s="144"/>
      <c r="N1" s="82"/>
      <c r="O1" s="82"/>
      <c r="P1" s="144"/>
      <c r="Q1" s="82"/>
      <c r="R1" s="82"/>
      <c r="S1" s="82"/>
    </row>
    <row r="2" spans="1:19" customHeight="1" ht="41.25" s="147" customFormat="1">
      <c r="A2" s="78" t="s">
        <v>120</v>
      </c>
      <c r="B2" s="78" t="s">
        <v>3071</v>
      </c>
      <c r="C2" s="78" t="s">
        <v>18</v>
      </c>
      <c r="D2" s="78" t="s">
        <v>26</v>
      </c>
      <c r="E2" s="78" t="s">
        <v>28</v>
      </c>
      <c r="F2" s="167" t="s">
        <v>122</v>
      </c>
      <c r="G2" s="78" t="s">
        <v>522</v>
      </c>
      <c r="H2" s="78" t="s">
        <v>3072</v>
      </c>
      <c r="I2" s="78" t="s">
        <v>523</v>
      </c>
      <c r="J2" s="78" t="s">
        <v>3073</v>
      </c>
      <c r="K2" s="78" t="s">
        <v>3074</v>
      </c>
      <c r="L2" s="78" t="s">
        <v>3075</v>
      </c>
      <c r="M2" s="78" t="s">
        <v>3076</v>
      </c>
      <c r="N2" s="78" t="s">
        <v>3077</v>
      </c>
      <c r="O2" s="78" t="s">
        <v>3078</v>
      </c>
      <c r="P2" s="167" t="s">
        <v>3079</v>
      </c>
      <c r="Q2" s="78" t="s">
        <v>3080</v>
      </c>
      <c r="R2" s="78" t="s">
        <v>3081</v>
      </c>
      <c r="S2" s="78" t="s">
        <v>3082</v>
      </c>
    </row>
    <row r="3" spans="1:19" customHeight="1" ht="20.45" s="65" customFormat="1">
      <c r="A3" s="197"/>
      <c r="B3" s="65"/>
      <c r="C3" s="197"/>
      <c r="D3" s="197"/>
      <c r="E3" s="197"/>
      <c r="F3" s="128"/>
      <c r="G3" s="121"/>
      <c r="H3" s="198"/>
      <c r="I3" s="200"/>
      <c r="J3" s="148"/>
      <c r="K3" s="201"/>
      <c r="L3" s="201"/>
      <c r="M3" s="149"/>
      <c r="N3" s="149"/>
      <c r="O3" s="149"/>
      <c r="P3" s="149"/>
      <c r="R3" s="199" t="s">
        <v>3083</v>
      </c>
    </row>
    <row r="4" spans="1:19" customHeight="1" ht="20.45" s="65" customFormat="1">
      <c r="A4" s="197"/>
      <c r="B4" s="65"/>
      <c r="C4" s="197"/>
      <c r="D4" s="197"/>
      <c r="E4" s="197"/>
      <c r="F4" s="128"/>
      <c r="G4" s="121"/>
      <c r="H4" s="198"/>
      <c r="I4" s="200"/>
      <c r="J4" s="148"/>
      <c r="K4" s="201"/>
      <c r="L4" s="201"/>
      <c r="M4" s="149"/>
      <c r="N4" s="149"/>
      <c r="O4" s="149"/>
      <c r="P4" s="149"/>
      <c r="R4" s="199" t="s">
        <v>3083</v>
      </c>
    </row>
    <row r="5" spans="1:19" customHeight="1" ht="20.45" s="65" customFormat="1">
      <c r="A5" s="197"/>
      <c r="B5" s="65"/>
      <c r="C5" s="197"/>
      <c r="D5" s="197"/>
      <c r="E5" s="197"/>
      <c r="F5" s="128"/>
      <c r="G5" s="121"/>
      <c r="H5" s="198"/>
      <c r="I5" s="200"/>
      <c r="J5" s="148"/>
      <c r="K5" s="201"/>
      <c r="L5" s="201"/>
      <c r="M5" s="149"/>
      <c r="N5" s="149"/>
      <c r="O5" s="149"/>
      <c r="P5" s="149"/>
      <c r="R5" s="199" t="s">
        <v>3083</v>
      </c>
    </row>
    <row r="6" spans="1:19" customHeight="1" ht="20.45" s="65" customFormat="1">
      <c r="A6" s="197"/>
      <c r="B6" s="65"/>
      <c r="C6" s="197"/>
      <c r="D6" s="197"/>
      <c r="E6" s="197"/>
      <c r="F6" s="128"/>
      <c r="G6" s="121"/>
      <c r="H6" s="198"/>
      <c r="I6" s="200"/>
      <c r="J6" s="148"/>
      <c r="K6" s="201"/>
      <c r="L6" s="201"/>
      <c r="M6" s="149"/>
      <c r="N6" s="149"/>
      <c r="O6" s="149"/>
      <c r="P6" s="149"/>
      <c r="R6" s="199" t="s">
        <v>3083</v>
      </c>
    </row>
    <row r="7" spans="1:19" customHeight="1" ht="20.45" s="65" customFormat="1">
      <c r="A7" s="197"/>
      <c r="B7" s="65"/>
      <c r="C7" s="197"/>
      <c r="D7" s="197"/>
      <c r="E7" s="197"/>
      <c r="F7" s="128"/>
      <c r="G7" s="121"/>
      <c r="H7" s="198"/>
      <c r="I7" s="200"/>
      <c r="J7" s="148"/>
      <c r="K7" s="201"/>
      <c r="L7" s="201"/>
      <c r="M7" s="149"/>
      <c r="N7" s="149"/>
      <c r="O7" s="149"/>
      <c r="P7" s="149"/>
      <c r="R7" s="199" t="s">
        <v>3083</v>
      </c>
    </row>
    <row r="8" spans="1:19" customHeight="1" ht="20.45" s="65" customFormat="1">
      <c r="A8" s="197"/>
      <c r="B8" s="65"/>
      <c r="C8" s="197"/>
      <c r="D8" s="197"/>
      <c r="E8" s="197"/>
      <c r="F8" s="128"/>
      <c r="G8" s="121"/>
      <c r="H8" s="198"/>
      <c r="I8" s="200"/>
      <c r="J8" s="148"/>
      <c r="K8" s="201"/>
      <c r="L8" s="201"/>
      <c r="M8" s="149"/>
      <c r="N8" s="149"/>
      <c r="O8" s="149"/>
      <c r="P8" s="149"/>
      <c r="R8" s="199" t="s">
        <v>3083</v>
      </c>
    </row>
    <row r="9" spans="1:19" customHeight="1" ht="20.45" s="65" customFormat="1">
      <c r="A9" s="197"/>
      <c r="B9" s="65"/>
      <c r="C9" s="197"/>
      <c r="D9" s="197"/>
      <c r="E9" s="197"/>
      <c r="F9" s="128"/>
      <c r="G9" s="121"/>
      <c r="H9" s="198"/>
      <c r="I9" s="200"/>
      <c r="J9" s="148"/>
      <c r="K9" s="201"/>
      <c r="L9" s="201"/>
      <c r="M9" s="149"/>
      <c r="N9" s="149"/>
      <c r="O9" s="149"/>
      <c r="P9" s="149"/>
      <c r="R9" s="199" t="s">
        <v>3083</v>
      </c>
    </row>
    <row r="10" spans="1:19" customHeight="1" ht="20.45" s="65" customFormat="1">
      <c r="A10" s="197"/>
      <c r="B10" s="65"/>
      <c r="C10" s="197"/>
      <c r="D10" s="197"/>
      <c r="E10" s="197"/>
      <c r="F10" s="128"/>
      <c r="G10" s="121"/>
      <c r="H10" s="198"/>
      <c r="I10" s="200"/>
      <c r="J10" s="148"/>
      <c r="K10" s="201"/>
      <c r="L10" s="201"/>
      <c r="M10" s="149"/>
      <c r="N10" s="149"/>
      <c r="O10" s="149"/>
      <c r="P10" s="149"/>
      <c r="R10" s="199" t="s">
        <v>3083</v>
      </c>
    </row>
    <row r="11" spans="1:19" customHeight="1" ht="20.45" s="65" customFormat="1">
      <c r="A11" s="197"/>
      <c r="B11" s="65"/>
      <c r="C11" s="197"/>
      <c r="D11" s="197"/>
      <c r="E11" s="197"/>
      <c r="F11" s="128"/>
      <c r="G11" s="121"/>
      <c r="H11" s="198"/>
      <c r="I11" s="200"/>
      <c r="J11" s="148"/>
      <c r="K11" s="201"/>
      <c r="L11" s="201"/>
      <c r="M11" s="149"/>
      <c r="N11" s="149"/>
      <c r="O11" s="149"/>
      <c r="P11" s="149"/>
      <c r="R11" s="199" t="s">
        <v>3083</v>
      </c>
    </row>
    <row r="12" spans="1:19" customHeight="1" ht="20.45" s="65" customFormat="1">
      <c r="A12" s="197"/>
      <c r="B12" s="65"/>
      <c r="C12" s="197"/>
      <c r="D12" s="197"/>
      <c r="E12" s="197"/>
      <c r="F12" s="128"/>
      <c r="G12" s="121"/>
      <c r="H12" s="198"/>
      <c r="I12" s="200"/>
      <c r="J12" s="148"/>
      <c r="K12" s="201"/>
      <c r="L12" s="201"/>
      <c r="M12" s="149"/>
      <c r="N12" s="149"/>
      <c r="O12" s="149"/>
      <c r="P12" s="149"/>
      <c r="R12" s="199" t="s">
        <v>3083</v>
      </c>
    </row>
    <row r="13" spans="1:19" customHeight="1" ht="20.45" s="65" customFormat="1">
      <c r="A13" s="197"/>
      <c r="B13" s="65"/>
      <c r="C13" s="197"/>
      <c r="D13" s="197"/>
      <c r="E13" s="197"/>
      <c r="F13" s="128"/>
      <c r="G13" s="121"/>
      <c r="H13" s="198"/>
      <c r="I13" s="200"/>
      <c r="J13" s="148"/>
      <c r="K13" s="201"/>
      <c r="L13" s="201"/>
      <c r="M13" s="149"/>
      <c r="N13" s="149"/>
      <c r="O13" s="149"/>
      <c r="P13" s="149"/>
      <c r="R13" s="199" t="s">
        <v>3083</v>
      </c>
    </row>
    <row r="14" spans="1:19" customHeight="1" ht="20.45" s="65" customFormat="1">
      <c r="A14" s="197"/>
      <c r="B14" s="65"/>
      <c r="C14" s="197"/>
      <c r="D14" s="197"/>
      <c r="E14" s="197"/>
      <c r="F14" s="128"/>
      <c r="G14" s="121"/>
      <c r="H14" s="198"/>
      <c r="I14" s="200"/>
      <c r="J14" s="148"/>
      <c r="K14" s="201"/>
      <c r="L14" s="201"/>
      <c r="M14" s="149"/>
      <c r="N14" s="149"/>
      <c r="O14" s="149"/>
      <c r="P14" s="149"/>
      <c r="R14" s="199" t="s">
        <v>3083</v>
      </c>
    </row>
    <row r="15" spans="1:19" customHeight="1" ht="20.45" s="65" customFormat="1">
      <c r="A15" s="197"/>
      <c r="B15" s="65"/>
      <c r="C15" s="197"/>
      <c r="D15" s="197"/>
      <c r="E15" s="197"/>
      <c r="F15" s="128"/>
      <c r="G15" s="121"/>
      <c r="H15" s="198"/>
      <c r="I15" s="200"/>
      <c r="J15" s="148"/>
      <c r="K15" s="201"/>
      <c r="L15" s="201"/>
      <c r="M15" s="149"/>
      <c r="N15" s="149"/>
      <c r="O15" s="149"/>
      <c r="P15" s="149"/>
      <c r="R15" s="199" t="s">
        <v>3083</v>
      </c>
    </row>
    <row r="16" spans="1:19" customHeight="1" ht="20.45" s="65" customFormat="1">
      <c r="A16" s="197"/>
      <c r="B16" s="65"/>
      <c r="C16" s="197"/>
      <c r="D16" s="197"/>
      <c r="E16" s="197"/>
      <c r="F16" s="128"/>
      <c r="G16" s="121"/>
      <c r="H16" s="198"/>
      <c r="I16" s="200"/>
      <c r="J16" s="133"/>
      <c r="K16" s="201"/>
      <c r="L16" s="201"/>
      <c r="M16" s="149"/>
      <c r="N16" s="149"/>
      <c r="O16" s="149"/>
      <c r="P16" s="149"/>
      <c r="R16" s="199" t="s">
        <v>3083</v>
      </c>
    </row>
    <row r="17" spans="1:19" customHeight="1" ht="20.45" s="65" customFormat="1">
      <c r="A17" s="197"/>
      <c r="B17" s="65"/>
      <c r="C17" s="197"/>
      <c r="D17" s="197"/>
      <c r="E17" s="197"/>
      <c r="F17" s="128"/>
      <c r="G17" s="121"/>
      <c r="H17" s="198"/>
      <c r="I17" s="200"/>
      <c r="J17" s="133"/>
      <c r="K17" s="201"/>
      <c r="L17" s="201"/>
      <c r="M17" s="149"/>
      <c r="N17" s="149"/>
      <c r="O17" s="149"/>
      <c r="P17" s="149"/>
      <c r="R17" s="199" t="s">
        <v>3083</v>
      </c>
    </row>
    <row r="18" spans="1:19" customHeight="1" ht="20.45" s="65" customFormat="1">
      <c r="A18" s="197"/>
      <c r="B18" s="65"/>
      <c r="C18" s="197"/>
      <c r="D18" s="197"/>
      <c r="E18" s="197"/>
      <c r="F18" s="128"/>
      <c r="G18" s="121"/>
      <c r="H18" s="198"/>
      <c r="I18" s="200"/>
      <c r="J18" s="133"/>
      <c r="K18" s="201"/>
      <c r="L18" s="201"/>
      <c r="M18" s="149"/>
      <c r="N18" s="149"/>
      <c r="O18" s="149"/>
      <c r="P18" s="149"/>
      <c r="R18" s="199" t="s">
        <v>3083</v>
      </c>
    </row>
    <row r="19" spans="1:19" customHeight="1" ht="20.45" s="65" customFormat="1">
      <c r="A19" s="197"/>
      <c r="B19" s="65"/>
      <c r="C19" s="197"/>
      <c r="D19" s="197"/>
      <c r="E19" s="197"/>
      <c r="F19" s="128"/>
      <c r="G19" s="121"/>
      <c r="H19" s="198"/>
      <c r="I19" s="200"/>
      <c r="J19" s="133"/>
      <c r="K19" s="201"/>
      <c r="L19" s="201"/>
      <c r="M19" s="149"/>
      <c r="N19" s="149"/>
      <c r="O19" s="149"/>
      <c r="P19" s="149"/>
      <c r="R19" s="199" t="s">
        <v>3083</v>
      </c>
    </row>
    <row r="20" spans="1:19" customHeight="1" ht="20.45" s="65" customFormat="1">
      <c r="A20" s="197"/>
      <c r="B20" s="65"/>
      <c r="C20" s="197"/>
      <c r="D20" s="197"/>
      <c r="E20" s="197"/>
      <c r="F20" s="128"/>
      <c r="G20" s="121"/>
      <c r="H20" s="198"/>
      <c r="I20" s="200"/>
      <c r="J20" s="133"/>
      <c r="K20" s="201"/>
      <c r="L20" s="201"/>
      <c r="M20" s="149"/>
      <c r="N20" s="149"/>
      <c r="O20" s="149"/>
      <c r="P20" s="149"/>
      <c r="R20" s="199" t="s">
        <v>3083</v>
      </c>
    </row>
    <row r="21" spans="1:19" customHeight="1" ht="20.45" s="65" customFormat="1">
      <c r="A21" s="197"/>
      <c r="B21" s="65"/>
      <c r="C21" s="197"/>
      <c r="D21" s="197"/>
      <c r="E21" s="197"/>
      <c r="F21" s="128"/>
      <c r="G21" s="121"/>
      <c r="H21" s="198"/>
      <c r="I21" s="200"/>
      <c r="J21" s="133"/>
      <c r="K21" s="201"/>
      <c r="L21" s="201"/>
      <c r="M21" s="149"/>
      <c r="N21" s="149"/>
      <c r="O21" s="149"/>
      <c r="P21" s="149"/>
      <c r="R21" s="199" t="s">
        <v>3083</v>
      </c>
    </row>
    <row r="22" spans="1:19" customHeight="1" ht="20.45" s="65" customFormat="1">
      <c r="A22" s="197"/>
      <c r="B22" s="65"/>
      <c r="C22" s="197"/>
      <c r="D22" s="197"/>
      <c r="E22" s="197"/>
      <c r="F22" s="128"/>
      <c r="G22" s="121"/>
      <c r="H22" s="198"/>
      <c r="I22" s="200"/>
      <c r="J22" s="133"/>
      <c r="K22" s="201"/>
      <c r="L22" s="201"/>
      <c r="M22" s="149"/>
      <c r="N22" s="149"/>
      <c r="O22" s="149"/>
      <c r="P22" s="149"/>
      <c r="R22" s="199" t="s">
        <v>3083</v>
      </c>
    </row>
    <row r="23" spans="1:19" customHeight="1" ht="20.45" s="65" customFormat="1">
      <c r="A23" s="197"/>
      <c r="B23" s="65"/>
      <c r="C23" s="197"/>
      <c r="D23" s="197"/>
      <c r="E23" s="197"/>
      <c r="F23" s="128"/>
      <c r="G23" s="121"/>
      <c r="H23" s="198"/>
      <c r="I23" s="200"/>
      <c r="J23" s="133"/>
      <c r="K23" s="201"/>
      <c r="L23" s="201"/>
      <c r="M23" s="149"/>
      <c r="N23" s="149"/>
      <c r="O23" s="149"/>
      <c r="P23" s="149"/>
      <c r="R23" s="199" t="s">
        <v>3083</v>
      </c>
    </row>
    <row r="24" spans="1:19" customHeight="1" ht="20.45" s="65" customFormat="1">
      <c r="A24" s="197"/>
      <c r="B24" s="65"/>
      <c r="C24" s="197"/>
      <c r="D24" s="197"/>
      <c r="E24" s="197"/>
      <c r="F24" s="128"/>
      <c r="G24" s="121"/>
      <c r="H24" s="198"/>
      <c r="I24" s="200"/>
      <c r="J24" s="133"/>
      <c r="K24" s="201"/>
      <c r="L24" s="201"/>
      <c r="M24" s="149"/>
      <c r="N24" s="149"/>
      <c r="O24" s="149"/>
      <c r="P24" s="149"/>
      <c r="R24" s="199" t="s">
        <v>3083</v>
      </c>
    </row>
    <row r="25" spans="1:19" customHeight="1" ht="20.45" s="65" customFormat="1">
      <c r="A25" s="197"/>
      <c r="B25" s="65"/>
      <c r="C25" s="197"/>
      <c r="D25" s="197"/>
      <c r="E25" s="197"/>
      <c r="F25" s="128"/>
      <c r="G25" s="121"/>
      <c r="H25" s="198"/>
      <c r="I25" s="200"/>
      <c r="J25" s="133"/>
      <c r="K25" s="201"/>
      <c r="L25" s="201"/>
      <c r="M25" s="149"/>
      <c r="N25" s="149"/>
      <c r="O25" s="149"/>
      <c r="P25" s="149"/>
      <c r="R25" s="199" t="s">
        <v>3083</v>
      </c>
    </row>
    <row r="26" spans="1:19" customHeight="1" ht="20.45" s="65" customFormat="1">
      <c r="A26" s="197"/>
      <c r="B26" s="65"/>
      <c r="C26" s="197"/>
      <c r="D26" s="197"/>
      <c r="E26" s="197"/>
      <c r="F26" s="128"/>
      <c r="G26" s="121"/>
      <c r="H26" s="198"/>
      <c r="I26" s="200"/>
      <c r="J26" s="133"/>
      <c r="K26" s="201"/>
      <c r="L26" s="201"/>
      <c r="M26" s="149"/>
      <c r="N26" s="149"/>
      <c r="O26" s="149"/>
      <c r="P26" s="149"/>
      <c r="R26" s="199" t="s">
        <v>3083</v>
      </c>
    </row>
    <row r="27" spans="1:19" customHeight="1" ht="20.45" s="65" customFormat="1">
      <c r="A27" s="197"/>
      <c r="B27" s="65"/>
      <c r="C27" s="197"/>
      <c r="D27" s="197"/>
      <c r="E27" s="197"/>
      <c r="F27" s="128"/>
      <c r="G27" s="121"/>
      <c r="H27" s="198"/>
      <c r="I27" s="200"/>
      <c r="J27" s="133"/>
      <c r="K27" s="201"/>
      <c r="L27" s="201"/>
      <c r="M27" s="149"/>
      <c r="N27" s="149"/>
      <c r="O27" s="149"/>
      <c r="P27" s="149"/>
      <c r="R27" s="199" t="s">
        <v>3083</v>
      </c>
    </row>
    <row r="28" spans="1:19" customHeight="1" ht="20.45" s="65" customFormat="1">
      <c r="A28" s="197"/>
      <c r="B28" s="65"/>
      <c r="C28" s="197"/>
      <c r="D28" s="197"/>
      <c r="E28" s="197"/>
      <c r="F28" s="128"/>
      <c r="G28" s="121"/>
      <c r="H28" s="198"/>
      <c r="I28" s="200"/>
      <c r="J28" s="133"/>
      <c r="K28" s="201"/>
      <c r="L28" s="201"/>
      <c r="M28" s="149"/>
      <c r="N28" s="149"/>
      <c r="O28" s="149"/>
      <c r="P28" s="149"/>
      <c r="R28" s="199" t="s">
        <v>3083</v>
      </c>
    </row>
    <row r="29" spans="1:19" customHeight="1" ht="20.45" s="65" customFormat="1">
      <c r="A29" s="197"/>
      <c r="B29" s="65"/>
      <c r="C29" s="197"/>
      <c r="D29" s="197"/>
      <c r="E29" s="197"/>
      <c r="F29" s="128"/>
      <c r="G29" s="121"/>
      <c r="H29" s="198"/>
      <c r="I29" s="200"/>
      <c r="J29" s="133"/>
      <c r="K29" s="201"/>
      <c r="L29" s="201"/>
      <c r="M29" s="149"/>
      <c r="N29" s="149"/>
      <c r="O29" s="149"/>
      <c r="P29" s="149"/>
      <c r="R29" s="199" t="s">
        <v>3083</v>
      </c>
    </row>
    <row r="30" spans="1:19" customHeight="1" ht="20.45" s="65" customFormat="1">
      <c r="A30" s="197"/>
      <c r="B30" s="65"/>
      <c r="C30" s="197"/>
      <c r="D30" s="197"/>
      <c r="E30" s="197"/>
      <c r="F30" s="128"/>
      <c r="G30" s="121"/>
      <c r="H30" s="198"/>
      <c r="I30" s="200"/>
      <c r="J30" s="133"/>
      <c r="K30" s="201"/>
      <c r="L30" s="201"/>
      <c r="M30" s="149"/>
      <c r="N30" s="149"/>
      <c r="O30" s="149"/>
      <c r="P30" s="149"/>
      <c r="R30" s="199" t="s">
        <v>3083</v>
      </c>
    </row>
    <row r="31" spans="1:19" customHeight="1" ht="20.45" s="65" customFormat="1">
      <c r="A31" s="197"/>
      <c r="B31" s="65"/>
      <c r="C31" s="197"/>
      <c r="D31" s="197"/>
      <c r="E31" s="197"/>
      <c r="F31" s="128"/>
      <c r="G31" s="121"/>
      <c r="H31" s="198"/>
      <c r="I31" s="200"/>
      <c r="J31" s="133"/>
      <c r="K31" s="201"/>
      <c r="L31" s="201"/>
      <c r="M31" s="149"/>
      <c r="N31" s="149"/>
      <c r="O31" s="149"/>
      <c r="P31" s="149"/>
      <c r="R31" s="199" t="s">
        <v>3083</v>
      </c>
    </row>
    <row r="32" spans="1:19" customHeight="1" ht="20.45" s="65" customFormat="1">
      <c r="A32" s="197"/>
      <c r="B32" s="65"/>
      <c r="C32" s="197"/>
      <c r="D32" s="197"/>
      <c r="E32" s="197"/>
      <c r="F32" s="128"/>
      <c r="G32" s="121"/>
      <c r="H32" s="198"/>
      <c r="I32" s="200"/>
      <c r="J32" s="133"/>
      <c r="K32" s="201"/>
      <c r="L32" s="201"/>
      <c r="M32" s="149"/>
      <c r="N32" s="149"/>
      <c r="O32" s="149"/>
      <c r="P32" s="149"/>
      <c r="R32" s="199" t="s">
        <v>3083</v>
      </c>
    </row>
    <row r="33" spans="1:19" customHeight="1" ht="20.45" s="65" customFormat="1">
      <c r="A33" s="197"/>
      <c r="B33" s="65"/>
      <c r="C33" s="197"/>
      <c r="D33" s="197"/>
      <c r="E33" s="197"/>
      <c r="F33" s="128"/>
      <c r="G33" s="121"/>
      <c r="H33" s="198"/>
      <c r="I33" s="200"/>
      <c r="J33" s="133"/>
      <c r="K33" s="201"/>
      <c r="L33" s="201"/>
      <c r="M33" s="149"/>
      <c r="N33" s="149"/>
      <c r="O33" s="149"/>
      <c r="P33" s="149"/>
      <c r="R33" s="199" t="s">
        <v>3083</v>
      </c>
    </row>
    <row r="34" spans="1:19" customHeight="1" ht="20.45" s="65" customFormat="1">
      <c r="A34" s="197"/>
      <c r="B34" s="65"/>
      <c r="C34" s="197"/>
      <c r="D34" s="197"/>
      <c r="E34" s="197"/>
      <c r="F34" s="128"/>
      <c r="G34" s="121"/>
      <c r="H34" s="198"/>
      <c r="I34" s="200"/>
      <c r="J34" s="133"/>
      <c r="K34" s="201"/>
      <c r="L34" s="201"/>
      <c r="M34" s="149"/>
      <c r="N34" s="149"/>
      <c r="O34" s="149"/>
      <c r="P34" s="149"/>
      <c r="R34" s="199" t="s">
        <v>3083</v>
      </c>
    </row>
    <row r="35" spans="1:19" customHeight="1" ht="20.45" s="65" customFormat="1">
      <c r="A35" s="197"/>
      <c r="B35" s="65"/>
      <c r="C35" s="197"/>
      <c r="D35" s="197"/>
      <c r="E35" s="197"/>
      <c r="F35" s="128"/>
      <c r="G35" s="121"/>
      <c r="H35" s="198"/>
      <c r="I35" s="200"/>
      <c r="J35" s="133"/>
      <c r="K35" s="201"/>
      <c r="L35" s="201"/>
      <c r="M35" s="149"/>
      <c r="N35" s="149"/>
      <c r="O35" s="149"/>
      <c r="P35" s="149"/>
      <c r="R35" s="199" t="s">
        <v>3083</v>
      </c>
    </row>
    <row r="36" spans="1:19" customHeight="1" ht="20.45">
      <c r="A36" s="197"/>
      <c r="B36" s="65"/>
      <c r="C36" s="197"/>
      <c r="D36" s="197"/>
      <c r="E36" s="197"/>
      <c r="F36" s="128"/>
      <c r="G36" s="121"/>
      <c r="H36" s="198"/>
      <c r="I36" s="200"/>
      <c r="J36" s="133"/>
      <c r="K36" s="201"/>
      <c r="L36" s="201"/>
      <c r="M36" s="149"/>
      <c r="N36" s="149"/>
      <c r="O36" s="149"/>
      <c r="P36" s="149"/>
      <c r="Q36" s="65"/>
      <c r="R36" s="199" t="s">
        <v>3083</v>
      </c>
      <c r="S36" s="65"/>
    </row>
    <row r="37" spans="1:19" customHeight="1" ht="20.45">
      <c r="A37" s="197"/>
      <c r="B37" s="65"/>
      <c r="C37" s="197"/>
      <c r="D37" s="197"/>
      <c r="E37" s="197"/>
      <c r="F37" s="128"/>
      <c r="G37" s="121"/>
      <c r="H37" s="198"/>
      <c r="I37" s="200"/>
      <c r="J37" s="133"/>
      <c r="K37" s="201"/>
      <c r="L37" s="201"/>
      <c r="M37" s="149"/>
      <c r="N37" s="149"/>
      <c r="O37" s="149"/>
      <c r="P37" s="149"/>
      <c r="Q37" s="65"/>
      <c r="R37" s="199" t="s">
        <v>3083</v>
      </c>
      <c r="S37" s="65"/>
    </row>
    <row r="38" spans="1:19" customHeight="1" ht="20.45">
      <c r="A38" s="197"/>
      <c r="B38" s="65"/>
      <c r="C38" s="197"/>
      <c r="D38" s="197"/>
      <c r="E38" s="197"/>
      <c r="F38" s="128"/>
      <c r="G38" s="121"/>
      <c r="H38" s="198"/>
      <c r="I38" s="200"/>
      <c r="J38" s="133"/>
      <c r="K38" s="201"/>
      <c r="L38" s="201"/>
      <c r="M38" s="149"/>
      <c r="N38" s="149"/>
      <c r="O38" s="149"/>
      <c r="P38" s="149"/>
      <c r="Q38" s="65"/>
      <c r="R38" s="199" t="s">
        <v>3083</v>
      </c>
      <c r="S38" s="65"/>
    </row>
    <row r="39" spans="1:19" customHeight="1" ht="20.45">
      <c r="A39" s="197"/>
      <c r="B39" s="65"/>
      <c r="C39" s="197"/>
      <c r="D39" s="197"/>
      <c r="E39" s="197"/>
      <c r="F39" s="128"/>
      <c r="G39" s="121"/>
      <c r="H39" s="198"/>
      <c r="I39" s="200"/>
      <c r="J39" s="133"/>
      <c r="K39" s="201"/>
      <c r="L39" s="201"/>
      <c r="M39" s="149"/>
      <c r="N39" s="149"/>
      <c r="O39" s="149"/>
      <c r="P39" s="149"/>
      <c r="Q39" s="65"/>
      <c r="R39" s="199" t="s">
        <v>3083</v>
      </c>
      <c r="S39" s="65"/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dataValidations count="6">
    <dataValidation type="list" errorStyle="stop" operator="between" allowBlank="1" showDropDown="0" showInputMessage="0" showErrorMessage="1" sqref="A39">
      <formula1>Город</formula1>
      <formula2>0</formula2>
    </dataValidation>
    <dataValidation type="list" errorStyle="stop" operator="between" allowBlank="1" showDropDown="0" showInputMessage="1" showErrorMessage="1" sqref="B3:B39">
      <formula1>Компания</formula1>
    </dataValidation>
    <dataValidation type="none" errorStyle="stop" operator="between" allowBlank="1" showDropDown="0" showInputMessage="0" showErrorMessage="1" sqref="C39"/>
    <dataValidation type="list" errorStyle="stop" operator="between" allowBlank="1" showDropDown="0" showInputMessage="1" showErrorMessage="1" sqref="G3:G39">
      <formula1>Вид_обучения</formula1>
    </dataValidation>
    <dataValidation type="list" errorStyle="stop" operator="between" allowBlank="1" showDropDown="0" showInputMessage="1" showErrorMessage="1" sqref="I3:I39">
      <formula1>Направление_обучения</formula1>
    </dataValidation>
    <dataValidation type="list" errorStyle="stop" operator="between" allowBlank="1" showDropDown="0" showInputMessage="1" showErrorMessage="1" sqref="J3:J39">
      <formula1>Месяц</formula1>
    </dataValidation>
  </dataValidations>
  <printOptions gridLines="false" gridLinesSet="true"/>
  <pageMargins left="0.7" right="0.7" top="0.75" bottom="0.75" header="0.51180555555556" footer="0.51180555555556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43"/>
  <sheetViews>
    <sheetView tabSelected="0" workbookViewId="0" zoomScale="75" zoomScaleNormal="75" showGridLines="true" showRowColHeaders="1">
      <pane xSplit="3" ySplit="2" topLeftCell="D3" activePane="bottomRight" state="frozen"/>
      <selection pane="topRight"/>
      <selection pane="bottomLeft"/>
      <selection pane="bottomRight" activeCell="F15" sqref="F15"/>
    </sheetView>
  </sheetViews>
  <sheetFormatPr customHeight="true" defaultRowHeight="27.6" defaultColWidth="8.85546875" outlineLevelRow="0" outlineLevelCol="0"/>
  <cols>
    <col min="1" max="1" width="16.7109375" customWidth="true" style="35"/>
    <col min="2" max="2" width="17.7109375" customWidth="true" style="161"/>
    <col min="3" max="3" width="50.5703125" customWidth="true" style="35"/>
    <col min="4" max="4" width="28.42578125" hidden="true" customWidth="true" style="159"/>
    <col min="5" max="5" width="31.5703125" hidden="true" customWidth="true" style="159"/>
    <col min="6" max="6" width="26.28515625" customWidth="true" style="35"/>
    <col min="7" max="7" width="19.28515625" customWidth="true" style="161"/>
    <col min="8" max="8" width="19.28515625" customWidth="true" style="161"/>
    <col min="9" max="9" width="20.85546875" customWidth="true" style="161"/>
    <col min="10" max="10" width="20.85546875" customWidth="true" style="161"/>
    <col min="11" max="11" width="21.85546875" customWidth="true" style="161"/>
    <col min="12" max="12" width="19.5703125" customWidth="true" style="35"/>
  </cols>
  <sheetData>
    <row r="1" spans="1:12" customHeight="1" ht="36.6" s="163" customFormat="1">
      <c r="A1" s="168" t="s">
        <v>598</v>
      </c>
      <c r="B1" s="168" t="s">
        <v>598</v>
      </c>
      <c r="C1" s="162"/>
      <c r="D1" s="162"/>
      <c r="E1" s="162"/>
      <c r="F1" s="168" t="s">
        <v>598</v>
      </c>
      <c r="G1" s="168" t="s">
        <v>598</v>
      </c>
      <c r="H1" s="168" t="s">
        <v>598</v>
      </c>
      <c r="I1" s="158"/>
      <c r="J1" s="158"/>
      <c r="K1" s="164" t="s">
        <v>597</v>
      </c>
    </row>
    <row r="2" spans="1:12" customHeight="1" ht="46.9" s="160" customFormat="1">
      <c r="A2" s="78" t="s">
        <v>120</v>
      </c>
      <c r="B2" s="78" t="s">
        <v>3084</v>
      </c>
      <c r="C2" s="78" t="s">
        <v>18</v>
      </c>
      <c r="D2" s="78" t="s">
        <v>26</v>
      </c>
      <c r="E2" s="78" t="s">
        <v>28</v>
      </c>
      <c r="F2" s="78" t="s">
        <v>3085</v>
      </c>
      <c r="G2" s="78" t="s">
        <v>3086</v>
      </c>
      <c r="H2" s="78" t="s">
        <v>3087</v>
      </c>
      <c r="I2" s="78" t="s">
        <v>3088</v>
      </c>
      <c r="J2" s="78" t="s">
        <v>3089</v>
      </c>
      <c r="K2" s="78" t="s">
        <v>3090</v>
      </c>
      <c r="L2" s="78" t="s">
        <v>3082</v>
      </c>
    </row>
    <row r="3" spans="1:12" customHeight="1" ht="27.6" s="171" customFormat="1">
      <c r="A3" s="127"/>
      <c r="B3" s="129"/>
      <c r="C3" s="172"/>
      <c r="D3" s="131"/>
      <c r="E3" s="131"/>
      <c r="F3" s="126"/>
      <c r="G3" s="125"/>
      <c r="H3" s="125"/>
      <c r="I3" s="172"/>
      <c r="J3" s="172"/>
      <c r="K3" s="127">
        <f>J3-I3+1</f>
        <v>1</v>
      </c>
      <c r="L3" s="127"/>
    </row>
    <row r="4" spans="1:12" customHeight="1" ht="27.6" s="171" customFormat="1">
      <c r="A4" s="127"/>
      <c r="B4" s="129"/>
      <c r="C4" s="172"/>
      <c r="D4" s="173"/>
      <c r="E4" s="173"/>
      <c r="F4" s="126"/>
      <c r="G4" s="125"/>
      <c r="H4" s="125"/>
      <c r="I4" s="172"/>
      <c r="J4" s="172"/>
      <c r="K4" s="127">
        <f>J4-I4+1</f>
        <v>1</v>
      </c>
      <c r="L4" s="127"/>
    </row>
    <row r="5" spans="1:12" customHeight="1" ht="27.6" s="171" customFormat="1">
      <c r="A5" s="127"/>
      <c r="B5" s="129"/>
      <c r="C5" s="172"/>
      <c r="D5" s="173"/>
      <c r="E5" s="173"/>
      <c r="F5" s="126"/>
      <c r="G5" s="125"/>
      <c r="H5" s="125"/>
      <c r="I5" s="172"/>
      <c r="J5" s="172"/>
      <c r="K5" s="127">
        <f>J5-I5+1</f>
        <v>1</v>
      </c>
      <c r="L5" s="127"/>
    </row>
    <row r="6" spans="1:12" customHeight="1" ht="27.6" s="171" customFormat="1">
      <c r="A6" s="127"/>
      <c r="B6" s="129"/>
      <c r="C6" s="172"/>
      <c r="D6" s="173"/>
      <c r="E6" s="173"/>
      <c r="F6" s="126"/>
      <c r="G6" s="125"/>
      <c r="H6" s="125"/>
      <c r="I6" s="172"/>
      <c r="J6" s="172"/>
      <c r="K6" s="127">
        <f>J6-I6+1</f>
        <v>1</v>
      </c>
      <c r="L6" s="127"/>
    </row>
    <row r="7" spans="1:12" customHeight="1" ht="27.6" s="171" customFormat="1">
      <c r="A7" s="127"/>
      <c r="B7" s="129"/>
      <c r="C7" s="172"/>
      <c r="D7" s="173"/>
      <c r="E7" s="173"/>
      <c r="F7" s="126"/>
      <c r="G7" s="125"/>
      <c r="H7" s="125"/>
      <c r="I7" s="172"/>
      <c r="J7" s="172"/>
      <c r="K7" s="127">
        <f>J7-I7+1</f>
        <v>1</v>
      </c>
      <c r="L7" s="127"/>
    </row>
    <row r="8" spans="1:12" customHeight="1" ht="27.6" s="171" customFormat="1">
      <c r="A8" s="127"/>
      <c r="B8" s="129"/>
      <c r="C8" s="172"/>
      <c r="D8" s="173"/>
      <c r="E8" s="173"/>
      <c r="F8" s="126"/>
      <c r="G8" s="125"/>
      <c r="H8" s="125"/>
      <c r="I8" s="172"/>
      <c r="J8" s="172"/>
      <c r="K8" s="127">
        <f>J8-I8+1</f>
        <v>1</v>
      </c>
      <c r="L8" s="127"/>
    </row>
    <row r="9" spans="1:12" customHeight="1" ht="27.6" s="171" customFormat="1">
      <c r="A9" s="127"/>
      <c r="B9" s="129"/>
      <c r="C9" s="172"/>
      <c r="D9" s="173"/>
      <c r="E9" s="173"/>
      <c r="F9" s="126"/>
      <c r="G9" s="125"/>
      <c r="H9" s="125"/>
      <c r="I9" s="172"/>
      <c r="J9" s="172"/>
      <c r="K9" s="127">
        <f>J9-I9+1</f>
        <v>1</v>
      </c>
      <c r="L9" s="127"/>
    </row>
    <row r="10" spans="1:12" customHeight="1" ht="27.6" s="171" customFormat="1">
      <c r="A10" s="127"/>
      <c r="B10" s="129"/>
      <c r="C10" s="172"/>
      <c r="D10" s="173"/>
      <c r="E10" s="173"/>
      <c r="F10" s="126"/>
      <c r="G10" s="125"/>
      <c r="H10" s="125"/>
      <c r="I10" s="172"/>
      <c r="J10" s="172"/>
      <c r="K10" s="127">
        <f>J10-I10+1</f>
        <v>1</v>
      </c>
      <c r="L10" s="127"/>
    </row>
    <row r="11" spans="1:12" customHeight="1" ht="27.6" s="171" customFormat="1">
      <c r="A11" s="127"/>
      <c r="B11" s="129"/>
      <c r="C11" s="172"/>
      <c r="D11" s="173"/>
      <c r="E11" s="173"/>
      <c r="F11" s="126"/>
      <c r="G11" s="125"/>
      <c r="H11" s="125"/>
      <c r="I11" s="172"/>
      <c r="J11" s="172"/>
      <c r="K11" s="127">
        <f>J11-I11+1</f>
        <v>1</v>
      </c>
      <c r="L11" s="127"/>
    </row>
    <row r="12" spans="1:12" customHeight="1" ht="27.6" s="171" customFormat="1">
      <c r="A12" s="127"/>
      <c r="B12" s="129"/>
      <c r="C12" s="172"/>
      <c r="D12" s="173"/>
      <c r="E12" s="173"/>
      <c r="F12" s="126"/>
      <c r="G12" s="125"/>
      <c r="H12" s="125"/>
      <c r="I12" s="172"/>
      <c r="J12" s="172"/>
      <c r="K12" s="127">
        <f>J12-I12+1</f>
        <v>1</v>
      </c>
      <c r="L12" s="127"/>
    </row>
    <row r="13" spans="1:12" customHeight="1" ht="27.6" s="171" customFormat="1">
      <c r="A13" s="127"/>
      <c r="B13" s="129"/>
      <c r="C13" s="172"/>
      <c r="D13" s="173"/>
      <c r="E13" s="173"/>
      <c r="F13" s="126"/>
      <c r="G13" s="125"/>
      <c r="H13" s="125"/>
      <c r="I13" s="172"/>
      <c r="J13" s="172"/>
      <c r="K13" s="127">
        <f>J13-I13+1</f>
        <v>1</v>
      </c>
      <c r="L13" s="127"/>
    </row>
    <row r="14" spans="1:12" customHeight="1" ht="27.6" s="171" customFormat="1">
      <c r="A14" s="127"/>
      <c r="B14" s="129"/>
      <c r="C14" s="172"/>
      <c r="D14" s="173"/>
      <c r="E14" s="173"/>
      <c r="F14" s="126"/>
      <c r="G14" s="125"/>
      <c r="H14" s="125"/>
      <c r="I14" s="172"/>
      <c r="J14" s="172"/>
      <c r="K14" s="127">
        <f>J14-I14+1</f>
        <v>1</v>
      </c>
      <c r="L14" s="127"/>
    </row>
    <row r="15" spans="1:12" customHeight="1" ht="27.6" s="171" customFormat="1">
      <c r="A15" s="127"/>
      <c r="B15" s="129"/>
      <c r="C15" s="172"/>
      <c r="D15" s="173"/>
      <c r="E15" s="173"/>
      <c r="F15" s="126"/>
      <c r="G15" s="125"/>
      <c r="H15" s="125"/>
      <c r="I15" s="172"/>
      <c r="J15" s="172"/>
      <c r="K15" s="127">
        <f>J15-I15+1</f>
        <v>1</v>
      </c>
      <c r="L15" s="127"/>
    </row>
    <row r="16" spans="1:12" customHeight="1" ht="27.6" s="171" customFormat="1">
      <c r="A16" s="127"/>
      <c r="B16" s="129"/>
      <c r="C16" s="172"/>
      <c r="D16" s="173"/>
      <c r="E16" s="173"/>
      <c r="F16" s="126"/>
      <c r="G16" s="125"/>
      <c r="H16" s="125"/>
      <c r="I16" s="172"/>
      <c r="J16" s="172"/>
      <c r="K16" s="127">
        <f>J16-I16+1</f>
        <v>1</v>
      </c>
      <c r="L16" s="127"/>
    </row>
    <row r="17" spans="1:12" customHeight="1" ht="27.6" s="171" customFormat="1">
      <c r="A17" s="127"/>
      <c r="B17" s="129"/>
      <c r="C17" s="172"/>
      <c r="D17" s="131"/>
      <c r="E17" s="131"/>
      <c r="F17" s="126"/>
      <c r="G17" s="125"/>
      <c r="H17" s="125"/>
      <c r="I17" s="172"/>
      <c r="J17" s="172"/>
      <c r="K17" s="127">
        <f>J17-I17+1</f>
        <v>1</v>
      </c>
      <c r="L17" s="127"/>
    </row>
    <row r="18" spans="1:12" customHeight="1" ht="27.6" s="171" customFormat="1">
      <c r="A18" s="127"/>
      <c r="B18" s="129"/>
      <c r="C18" s="172"/>
      <c r="D18" s="173"/>
      <c r="E18" s="173"/>
      <c r="F18" s="126"/>
      <c r="G18" s="125"/>
      <c r="H18" s="125"/>
      <c r="I18" s="172"/>
      <c r="J18" s="172"/>
      <c r="K18" s="127">
        <f>J18-I18+1</f>
        <v>1</v>
      </c>
      <c r="L18" s="127"/>
    </row>
    <row r="19" spans="1:12" customHeight="1" ht="27.6" s="171" customFormat="1">
      <c r="A19" s="127"/>
      <c r="B19" s="129"/>
      <c r="C19" s="172"/>
      <c r="D19" s="173"/>
      <c r="E19" s="173"/>
      <c r="F19" s="126"/>
      <c r="G19" s="125"/>
      <c r="H19" s="125"/>
      <c r="I19" s="172"/>
      <c r="J19" s="172"/>
      <c r="K19" s="127">
        <f>J19-I19+1</f>
        <v>1</v>
      </c>
      <c r="L19" s="127"/>
    </row>
    <row r="20" spans="1:12" customHeight="1" ht="27.6" s="171" customFormat="1">
      <c r="A20" s="127"/>
      <c r="B20" s="129"/>
      <c r="C20" s="172"/>
      <c r="D20" s="173"/>
      <c r="E20" s="173"/>
      <c r="F20" s="126"/>
      <c r="G20" s="125"/>
      <c r="H20" s="125"/>
      <c r="I20" s="172"/>
      <c r="J20" s="172"/>
      <c r="K20" s="127">
        <f>J20-I20+1</f>
        <v>1</v>
      </c>
      <c r="L20" s="127"/>
    </row>
    <row r="21" spans="1:12" customHeight="1" ht="27.6" s="171" customFormat="1">
      <c r="A21" s="127"/>
      <c r="B21" s="129"/>
      <c r="C21" s="172"/>
      <c r="D21" s="173"/>
      <c r="E21" s="173"/>
      <c r="F21" s="126"/>
      <c r="G21" s="125"/>
      <c r="H21" s="125"/>
      <c r="I21" s="172"/>
      <c r="J21" s="172"/>
      <c r="K21" s="127">
        <f>J21-I21+1</f>
        <v>1</v>
      </c>
      <c r="L21" s="127"/>
    </row>
    <row r="22" spans="1:12" customHeight="1" ht="27.6" s="171" customFormat="1">
      <c r="A22" s="127"/>
      <c r="B22" s="129"/>
      <c r="C22" s="172"/>
      <c r="D22" s="173"/>
      <c r="E22" s="173"/>
      <c r="F22" s="126"/>
      <c r="G22" s="125"/>
      <c r="H22" s="125"/>
      <c r="I22" s="172"/>
      <c r="J22" s="172"/>
      <c r="K22" s="127">
        <f>J22-I22+1</f>
        <v>1</v>
      </c>
      <c r="L22" s="127"/>
    </row>
    <row r="23" spans="1:12" customHeight="1" ht="27.6" s="171" customFormat="1">
      <c r="A23" s="127"/>
      <c r="B23" s="129"/>
      <c r="C23" s="172"/>
      <c r="D23" s="173"/>
      <c r="E23" s="173"/>
      <c r="F23" s="126"/>
      <c r="G23" s="125"/>
      <c r="H23" s="125"/>
      <c r="I23" s="172"/>
      <c r="J23" s="172"/>
      <c r="K23" s="127">
        <f>J23-I23+1</f>
        <v>1</v>
      </c>
      <c r="L23" s="127"/>
    </row>
    <row r="24" spans="1:12" customHeight="1" ht="27.6" s="171" customFormat="1">
      <c r="A24" s="127"/>
      <c r="B24" s="129"/>
      <c r="C24" s="172"/>
      <c r="D24" s="131"/>
      <c r="E24" s="131"/>
      <c r="F24" s="126"/>
      <c r="G24" s="125"/>
      <c r="H24" s="125"/>
      <c r="I24" s="172"/>
      <c r="J24" s="172"/>
      <c r="K24" s="127">
        <f>J24-I24+1</f>
        <v>1</v>
      </c>
      <c r="L24" s="127"/>
    </row>
    <row r="25" spans="1:12" customHeight="1" ht="27.6" s="171" customFormat="1">
      <c r="A25" s="127"/>
      <c r="B25" s="129"/>
      <c r="C25" s="172"/>
      <c r="D25" s="173"/>
      <c r="E25" s="173"/>
      <c r="F25" s="126"/>
      <c r="G25" s="125"/>
      <c r="H25" s="125"/>
      <c r="I25" s="172"/>
      <c r="J25" s="172"/>
      <c r="K25" s="127">
        <f>J25-I25+1</f>
        <v>1</v>
      </c>
      <c r="L25" s="127"/>
    </row>
    <row r="26" spans="1:12" customHeight="1" ht="27.6" s="171" customFormat="1">
      <c r="A26" s="127"/>
      <c r="B26" s="129"/>
      <c r="C26" s="172"/>
      <c r="D26" s="173"/>
      <c r="E26" s="173"/>
      <c r="F26" s="126"/>
      <c r="G26" s="125"/>
      <c r="H26" s="125"/>
      <c r="I26" s="172"/>
      <c r="J26" s="172"/>
      <c r="K26" s="127">
        <f>J26-I26+1</f>
        <v>1</v>
      </c>
      <c r="L26" s="127"/>
    </row>
    <row r="27" spans="1:12" customHeight="1" ht="27.6" s="171" customFormat="1">
      <c r="A27" s="127"/>
      <c r="B27" s="129"/>
      <c r="C27" s="172"/>
      <c r="D27" s="173"/>
      <c r="E27" s="173"/>
      <c r="F27" s="126"/>
      <c r="G27" s="125"/>
      <c r="H27" s="125"/>
      <c r="I27" s="172"/>
      <c r="J27" s="172"/>
      <c r="K27" s="127">
        <f>J27-I27+1</f>
        <v>1</v>
      </c>
      <c r="L27" s="127"/>
    </row>
    <row r="28" spans="1:12" customHeight="1" ht="27.6" s="171" customFormat="1">
      <c r="A28" s="127"/>
      <c r="B28" s="129"/>
      <c r="C28" s="172"/>
      <c r="D28" s="173"/>
      <c r="E28" s="173"/>
      <c r="F28" s="126"/>
      <c r="G28" s="125"/>
      <c r="H28" s="125"/>
      <c r="I28" s="202"/>
      <c r="J28" s="202"/>
      <c r="K28" s="127">
        <v>11</v>
      </c>
      <c r="L28" s="127"/>
    </row>
    <row r="29" spans="1:12" customHeight="1" ht="27.6" s="171" customFormat="1">
      <c r="A29" s="127"/>
      <c r="B29" s="129"/>
      <c r="C29" s="172"/>
      <c r="D29" s="173"/>
      <c r="E29" s="173"/>
      <c r="F29" s="126"/>
      <c r="G29" s="125"/>
      <c r="H29" s="125"/>
      <c r="I29" s="202"/>
      <c r="J29" s="202"/>
      <c r="K29" s="127">
        <v>4</v>
      </c>
      <c r="L29" s="127"/>
    </row>
    <row r="30" spans="1:12" customHeight="1" ht="27.6" s="171" customFormat="1">
      <c r="A30" s="127"/>
      <c r="B30" s="129"/>
      <c r="C30" s="172"/>
      <c r="D30" s="173"/>
      <c r="E30" s="173"/>
      <c r="F30" s="126"/>
      <c r="G30" s="125"/>
      <c r="H30" s="125"/>
      <c r="I30" s="202"/>
      <c r="J30" s="202"/>
      <c r="K30" s="127">
        <v>19</v>
      </c>
      <c r="L30" s="127"/>
    </row>
    <row r="31" spans="1:12" customHeight="1" ht="27.6" s="171" customFormat="1">
      <c r="A31" s="127"/>
      <c r="B31" s="129"/>
      <c r="C31" s="172"/>
      <c r="D31" s="173"/>
      <c r="E31" s="173"/>
      <c r="F31" s="126"/>
      <c r="G31" s="125"/>
      <c r="H31" s="125"/>
      <c r="I31" s="202"/>
      <c r="J31" s="202"/>
      <c r="K31" s="127">
        <v>4</v>
      </c>
      <c r="L31" s="127"/>
    </row>
    <row r="32" spans="1:12" customHeight="1" ht="27.6" s="171" customFormat="1">
      <c r="A32" s="127"/>
      <c r="B32" s="129"/>
      <c r="C32" s="172"/>
      <c r="D32" s="173"/>
      <c r="E32" s="173"/>
      <c r="F32" s="126"/>
      <c r="G32" s="125"/>
      <c r="H32" s="125"/>
      <c r="I32" s="202"/>
      <c r="J32" s="202"/>
      <c r="K32" s="127">
        <v>12</v>
      </c>
      <c r="L32" s="127"/>
    </row>
    <row r="33" spans="1:12" customHeight="1" ht="27.6" s="171" customFormat="1">
      <c r="A33" s="127"/>
      <c r="B33" s="129"/>
      <c r="C33" s="172"/>
      <c r="D33" s="173"/>
      <c r="E33" s="173"/>
      <c r="F33" s="126"/>
      <c r="G33" s="125"/>
      <c r="H33" s="125"/>
      <c r="I33" s="202"/>
      <c r="J33" s="202"/>
      <c r="K33" s="127">
        <v>30</v>
      </c>
      <c r="L33" s="127"/>
    </row>
    <row r="34" spans="1:12" customHeight="1" ht="27.6" s="171" customFormat="1">
      <c r="A34" s="127"/>
      <c r="B34" s="129"/>
      <c r="C34" s="172"/>
      <c r="D34" s="173"/>
      <c r="E34" s="194"/>
      <c r="F34" s="126"/>
      <c r="G34" s="125"/>
      <c r="H34" s="125"/>
      <c r="I34" s="202"/>
      <c r="J34" s="202"/>
      <c r="K34" s="127">
        <v>8</v>
      </c>
      <c r="L34" s="127"/>
    </row>
    <row r="35" spans="1:12" customHeight="1" ht="27.6" s="171" customFormat="1">
      <c r="A35" s="127"/>
      <c r="B35" s="129"/>
      <c r="C35" s="172"/>
      <c r="D35" s="173"/>
      <c r="E35" s="173"/>
      <c r="F35" s="126"/>
      <c r="G35" s="125"/>
      <c r="H35" s="125"/>
      <c r="I35" s="202"/>
      <c r="J35" s="202"/>
      <c r="K35" s="127">
        <v>12</v>
      </c>
      <c r="L35" s="127"/>
    </row>
    <row r="36" spans="1:12" customHeight="1" ht="27.6" s="171" customFormat="1">
      <c r="A36" s="127"/>
      <c r="B36" s="129"/>
      <c r="C36" s="172"/>
      <c r="D36" s="173"/>
      <c r="E36" s="173"/>
      <c r="F36" s="126"/>
      <c r="G36" s="125"/>
      <c r="H36" s="125"/>
      <c r="I36" s="202"/>
      <c r="J36" s="202"/>
      <c r="K36" s="127">
        <v>9</v>
      </c>
      <c r="L36" s="127"/>
    </row>
    <row r="37" spans="1:12" customHeight="1" ht="27.6" s="171" customFormat="1">
      <c r="A37" s="127"/>
      <c r="B37" s="129"/>
      <c r="C37" s="172"/>
      <c r="D37" s="173"/>
      <c r="E37" s="173"/>
      <c r="F37" s="126"/>
      <c r="G37" s="125"/>
      <c r="H37" s="125"/>
      <c r="I37" s="202"/>
      <c r="J37" s="202"/>
      <c r="K37" s="127">
        <v>6</v>
      </c>
      <c r="L37" s="127"/>
    </row>
    <row r="38" spans="1:12" customHeight="1" ht="27.6" s="171" customFormat="1">
      <c r="A38" s="127"/>
      <c r="B38" s="129"/>
      <c r="C38" s="172"/>
      <c r="D38" s="173"/>
      <c r="E38" s="173"/>
      <c r="F38" s="126"/>
      <c r="G38" s="125"/>
      <c r="H38" s="125"/>
      <c r="I38" s="202"/>
      <c r="J38" s="202"/>
      <c r="K38" s="127">
        <v>30</v>
      </c>
      <c r="L38" s="127"/>
    </row>
    <row r="39" spans="1:12" customHeight="1" ht="27.6" s="171" customFormat="1">
      <c r="A39" s="127"/>
      <c r="B39" s="129"/>
      <c r="C39" s="172"/>
      <c r="D39" s="173"/>
      <c r="E39" s="173"/>
      <c r="F39" s="126"/>
      <c r="G39" s="125"/>
      <c r="H39" s="125"/>
      <c r="I39" s="202"/>
      <c r="J39" s="202"/>
      <c r="K39" s="127">
        <v>15</v>
      </c>
      <c r="L39" s="127"/>
    </row>
    <row r="40" spans="1:12" customHeight="1" ht="27.6" s="171" customFormat="1">
      <c r="A40" s="127"/>
      <c r="B40" s="129"/>
      <c r="C40" s="172"/>
      <c r="D40" s="173"/>
      <c r="E40" s="173"/>
      <c r="F40" s="126"/>
      <c r="G40" s="125"/>
      <c r="H40" s="125"/>
      <c r="I40" s="202"/>
      <c r="J40" s="202"/>
      <c r="K40" s="127">
        <v>9</v>
      </c>
      <c r="L40" s="127"/>
    </row>
    <row r="41" spans="1:12" customHeight="1" ht="27.6" s="171" customFormat="1">
      <c r="A41" s="127"/>
      <c r="B41" s="129"/>
      <c r="C41" s="172"/>
      <c r="D41" s="173"/>
      <c r="E41" s="173"/>
      <c r="F41" s="126"/>
      <c r="G41" s="125"/>
      <c r="H41" s="125"/>
      <c r="I41" s="202"/>
      <c r="J41" s="202"/>
      <c r="K41" s="127">
        <v>3</v>
      </c>
      <c r="L41" s="127"/>
    </row>
    <row r="42" spans="1:12" customHeight="1" ht="27.6" s="171" customFormat="1">
      <c r="A42" s="127"/>
      <c r="B42" s="129"/>
      <c r="C42" s="172"/>
      <c r="D42" s="173"/>
      <c r="E42" s="173"/>
      <c r="F42" s="126"/>
      <c r="G42" s="125"/>
      <c r="H42" s="125"/>
      <c r="I42" s="202"/>
      <c r="J42" s="202"/>
      <c r="K42" s="127">
        <v>3</v>
      </c>
      <c r="L42" s="127"/>
    </row>
    <row r="43" spans="1:12" customHeight="1" ht="27.6" s="171" customFormat="1">
      <c r="A43" s="127"/>
      <c r="B43" s="129"/>
      <c r="C43" s="172"/>
      <c r="D43" s="173"/>
      <c r="E43" s="173"/>
      <c r="F43" s="126"/>
      <c r="G43" s="125"/>
      <c r="H43" s="125"/>
      <c r="I43" s="202"/>
      <c r="J43" s="202"/>
      <c r="K43" s="127">
        <v>8</v>
      </c>
      <c r="L43" s="127"/>
    </row>
    <row r="44" spans="1:12" customHeight="1" ht="27.6" s="171" customFormat="1">
      <c r="A44" s="127"/>
      <c r="B44" s="129"/>
      <c r="C44" s="172"/>
      <c r="D44" s="173"/>
      <c r="E44" s="173"/>
      <c r="F44" s="126"/>
      <c r="G44" s="125"/>
      <c r="H44" s="125"/>
      <c r="I44" s="202"/>
      <c r="J44" s="202"/>
      <c r="K44" s="127">
        <v>14</v>
      </c>
      <c r="L44" s="127"/>
    </row>
    <row r="45" spans="1:12" customHeight="1" ht="27.6" s="171" customFormat="1">
      <c r="A45" s="127"/>
      <c r="B45" s="129"/>
      <c r="C45" s="172"/>
      <c r="D45" s="173"/>
      <c r="E45" s="173"/>
      <c r="F45" s="126"/>
      <c r="G45" s="125"/>
      <c r="H45" s="125"/>
      <c r="I45" s="202"/>
      <c r="J45" s="202"/>
      <c r="K45" s="127">
        <f>J45-I45+1</f>
        <v>1</v>
      </c>
      <c r="L45" s="127"/>
    </row>
    <row r="46" spans="1:12" customHeight="1" ht="27.6" s="171" customFormat="1">
      <c r="A46" s="127"/>
      <c r="B46" s="129"/>
      <c r="C46" s="172"/>
      <c r="D46" s="173"/>
      <c r="E46" s="173"/>
      <c r="F46" s="126"/>
      <c r="G46" s="125"/>
      <c r="H46" s="125"/>
      <c r="I46" s="202"/>
      <c r="J46" s="202"/>
      <c r="K46" s="127">
        <f>J46-I46+1</f>
        <v>1</v>
      </c>
      <c r="L46" s="127"/>
    </row>
    <row r="47" spans="1:12" customHeight="1" ht="27.6" s="171" customFormat="1">
      <c r="A47" s="127"/>
      <c r="B47" s="129"/>
      <c r="C47" s="172"/>
      <c r="D47" s="173"/>
      <c r="E47" s="173"/>
      <c r="F47" s="126"/>
      <c r="G47" s="125"/>
      <c r="H47" s="125"/>
      <c r="I47" s="202"/>
      <c r="J47" s="202"/>
      <c r="K47" s="127">
        <f>J47-I47+1</f>
        <v>1</v>
      </c>
      <c r="L47" s="127"/>
    </row>
    <row r="48" spans="1:12" customHeight="1" ht="27.6" s="171" customFormat="1">
      <c r="A48" s="127"/>
      <c r="B48" s="129"/>
      <c r="C48" s="172"/>
      <c r="D48" s="173"/>
      <c r="E48" s="173"/>
      <c r="F48" s="126"/>
      <c r="G48" s="125"/>
      <c r="H48" s="125"/>
      <c r="I48" s="202"/>
      <c r="J48" s="202"/>
      <c r="K48" s="127">
        <f>J48-I48+1</f>
        <v>1</v>
      </c>
      <c r="L48" s="127"/>
    </row>
    <row r="49" spans="1:12" customHeight="1" ht="27.6" s="171" customFormat="1">
      <c r="A49" s="127"/>
      <c r="B49" s="129"/>
      <c r="C49" s="172"/>
      <c r="D49" s="173"/>
      <c r="E49" s="173"/>
      <c r="F49" s="126"/>
      <c r="G49" s="125"/>
      <c r="H49" s="125"/>
      <c r="I49" s="202"/>
      <c r="J49" s="202"/>
      <c r="K49" s="127">
        <f>J49-I49+1</f>
        <v>1</v>
      </c>
      <c r="L49" s="127"/>
    </row>
    <row r="50" spans="1:12" customHeight="1" ht="27.6" s="171" customFormat="1">
      <c r="A50" s="127"/>
      <c r="B50" s="129"/>
      <c r="C50" s="172"/>
      <c r="D50" s="173"/>
      <c r="E50" s="173"/>
      <c r="F50" s="126"/>
      <c r="G50" s="125"/>
      <c r="H50" s="125"/>
      <c r="I50" s="202"/>
      <c r="J50" s="202"/>
      <c r="K50" s="127">
        <f>J50-I50+1</f>
        <v>1</v>
      </c>
      <c r="L50" s="127"/>
    </row>
    <row r="51" spans="1:12" customHeight="1" ht="27.6" s="171" customFormat="1">
      <c r="A51" s="127"/>
      <c r="B51" s="129"/>
      <c r="C51" s="172"/>
      <c r="D51" s="173"/>
      <c r="E51" s="173"/>
      <c r="F51" s="126"/>
      <c r="G51" s="125"/>
      <c r="H51" s="125"/>
      <c r="I51" s="202"/>
      <c r="J51" s="202"/>
      <c r="K51" s="127">
        <f>J51-I51+1</f>
        <v>1</v>
      </c>
      <c r="L51" s="127"/>
    </row>
    <row r="52" spans="1:12" customHeight="1" ht="27.6" s="171" customFormat="1">
      <c r="A52" s="127"/>
      <c r="B52" s="129"/>
      <c r="C52" s="172"/>
      <c r="D52" s="173"/>
      <c r="E52" s="173"/>
      <c r="F52" s="126"/>
      <c r="G52" s="125"/>
      <c r="H52" s="125"/>
      <c r="I52" s="202"/>
      <c r="J52" s="202"/>
      <c r="K52" s="127">
        <f>J52-I52+1</f>
        <v>1</v>
      </c>
      <c r="L52" s="127"/>
    </row>
    <row r="53" spans="1:12" customHeight="1" ht="27.6" s="171" customFormat="1">
      <c r="A53" s="127"/>
      <c r="B53" s="129"/>
      <c r="C53" s="172"/>
      <c r="D53" s="173"/>
      <c r="E53" s="173"/>
      <c r="F53" s="126"/>
      <c r="G53" s="125"/>
      <c r="H53" s="125"/>
      <c r="I53" s="202"/>
      <c r="J53" s="202"/>
      <c r="K53" s="127">
        <f>J53-I53+1</f>
        <v>1</v>
      </c>
      <c r="L53" s="127"/>
    </row>
    <row r="54" spans="1:12" customHeight="1" ht="27.6" s="171" customFormat="1">
      <c r="A54" s="127"/>
      <c r="B54" s="129"/>
      <c r="C54" s="172"/>
      <c r="D54" s="173"/>
      <c r="E54" s="173"/>
      <c r="F54" s="126"/>
      <c r="G54" s="125"/>
      <c r="H54" s="125"/>
      <c r="I54" s="202"/>
      <c r="J54" s="202"/>
      <c r="K54" s="127">
        <f>J54-I54+1</f>
        <v>1</v>
      </c>
      <c r="L54" s="127"/>
    </row>
    <row r="55" spans="1:12" customHeight="1" ht="27.6" s="171" customFormat="1">
      <c r="A55" s="127"/>
      <c r="B55" s="129"/>
      <c r="C55" s="172"/>
      <c r="D55" s="173"/>
      <c r="E55" s="173"/>
      <c r="F55" s="126"/>
      <c r="G55" s="125"/>
      <c r="H55" s="125"/>
      <c r="I55" s="202"/>
      <c r="J55" s="202"/>
      <c r="K55" s="127">
        <f>J55-I55+1</f>
        <v>1</v>
      </c>
      <c r="L55" s="127"/>
    </row>
    <row r="56" spans="1:12" customHeight="1" ht="27.6" s="171" customFormat="1">
      <c r="A56" s="127"/>
      <c r="B56" s="129"/>
      <c r="C56" s="172"/>
      <c r="D56" s="173"/>
      <c r="E56" s="173"/>
      <c r="F56" s="126"/>
      <c r="G56" s="125"/>
      <c r="H56" s="125"/>
      <c r="I56" s="202"/>
      <c r="J56" s="202"/>
      <c r="K56" s="127">
        <f>J56-I56+1</f>
        <v>1</v>
      </c>
      <c r="L56" s="127"/>
    </row>
    <row r="57" spans="1:12" customHeight="1" ht="27.6" s="171" customFormat="1">
      <c r="A57" s="127"/>
      <c r="B57" s="129"/>
      <c r="C57" s="172"/>
      <c r="D57" s="173"/>
      <c r="E57" s="173"/>
      <c r="F57" s="126"/>
      <c r="G57" s="125"/>
      <c r="H57" s="125"/>
      <c r="I57" s="202"/>
      <c r="J57" s="202"/>
      <c r="K57" s="127">
        <f>J57-I57+1</f>
        <v>1</v>
      </c>
      <c r="L57" s="127"/>
    </row>
    <row r="58" spans="1:12" customHeight="1" ht="27.6" s="171" customFormat="1">
      <c r="A58" s="127"/>
      <c r="B58" s="129"/>
      <c r="C58" s="172"/>
      <c r="D58" s="173"/>
      <c r="E58" s="173"/>
      <c r="F58" s="126"/>
      <c r="G58" s="125"/>
      <c r="H58" s="125"/>
      <c r="I58" s="202"/>
      <c r="J58" s="202"/>
      <c r="K58" s="127">
        <f>J58-I58+1</f>
        <v>1</v>
      </c>
      <c r="L58" s="127"/>
    </row>
    <row r="59" spans="1:12" customHeight="1" ht="27.6" s="171" customFormat="1">
      <c r="A59" s="127"/>
      <c r="B59" s="129"/>
      <c r="C59" s="172"/>
      <c r="D59" s="173"/>
      <c r="E59" s="173"/>
      <c r="F59" s="126"/>
      <c r="G59" s="125"/>
      <c r="H59" s="125"/>
      <c r="I59" s="202"/>
      <c r="J59" s="202"/>
      <c r="K59" s="127">
        <f>J59-I59+1</f>
        <v>1</v>
      </c>
      <c r="L59" s="127"/>
    </row>
    <row r="60" spans="1:12" customHeight="1" ht="27.6" s="171" customFormat="1">
      <c r="A60" s="127"/>
      <c r="B60" s="129"/>
      <c r="C60" s="172"/>
      <c r="D60" s="173"/>
      <c r="E60" s="173"/>
      <c r="F60" s="126"/>
      <c r="G60" s="125"/>
      <c r="H60" s="125"/>
      <c r="I60" s="202"/>
      <c r="J60" s="202"/>
      <c r="K60" s="127">
        <f>J60-I60+1</f>
        <v>1</v>
      </c>
      <c r="L60" s="127"/>
    </row>
    <row r="61" spans="1:12" customHeight="1" ht="27.6" s="171" customFormat="1">
      <c r="A61" s="127"/>
      <c r="B61" s="129"/>
      <c r="C61" s="172"/>
      <c r="D61" s="173"/>
      <c r="E61" s="173"/>
      <c r="F61" s="126"/>
      <c r="G61" s="125"/>
      <c r="H61" s="125"/>
      <c r="I61" s="202"/>
      <c r="J61" s="202"/>
      <c r="K61" s="127">
        <f>J61-I61+1</f>
        <v>1</v>
      </c>
      <c r="L61" s="127"/>
    </row>
    <row r="62" spans="1:12" customHeight="1" ht="27.6" s="171" customFormat="1">
      <c r="A62" s="127"/>
      <c r="B62" s="129"/>
      <c r="C62" s="172"/>
      <c r="D62" s="173"/>
      <c r="E62" s="173"/>
      <c r="F62" s="126"/>
      <c r="G62" s="125"/>
      <c r="H62" s="125"/>
      <c r="I62" s="202"/>
      <c r="J62" s="202"/>
      <c r="K62" s="127">
        <f>J62-I62+1</f>
        <v>1</v>
      </c>
      <c r="L62" s="127"/>
    </row>
    <row r="63" spans="1:12" customHeight="1" ht="27.6" s="171" customFormat="1">
      <c r="A63" s="127"/>
      <c r="B63" s="129"/>
      <c r="C63" s="172"/>
      <c r="D63" s="173"/>
      <c r="E63" s="173"/>
      <c r="F63" s="126"/>
      <c r="G63" s="125"/>
      <c r="H63" s="125"/>
      <c r="I63" s="202"/>
      <c r="J63" s="202"/>
      <c r="K63" s="127">
        <f>J63-I63+1</f>
        <v>1</v>
      </c>
      <c r="L63" s="127"/>
    </row>
    <row r="64" spans="1:12" customHeight="1" ht="27.6" s="171" customFormat="1">
      <c r="A64" s="127"/>
      <c r="B64" s="129"/>
      <c r="C64" s="172"/>
      <c r="D64" s="173"/>
      <c r="E64" s="173"/>
      <c r="F64" s="126"/>
      <c r="G64" s="125"/>
      <c r="H64" s="125"/>
      <c r="I64" s="202"/>
      <c r="J64" s="202"/>
      <c r="K64" s="127">
        <f>J64-I64+1</f>
        <v>1</v>
      </c>
      <c r="L64" s="127"/>
    </row>
    <row r="65" spans="1:12" customHeight="1" ht="27.6" s="171" customFormat="1">
      <c r="A65" s="127"/>
      <c r="B65" s="129"/>
      <c r="C65" s="172"/>
      <c r="D65" s="173"/>
      <c r="E65" s="173"/>
      <c r="F65" s="126"/>
      <c r="G65" s="125"/>
      <c r="H65" s="125"/>
      <c r="I65" s="202"/>
      <c r="J65" s="202"/>
      <c r="K65" s="127">
        <f>J65-I65+1</f>
        <v>1</v>
      </c>
      <c r="L65" s="127"/>
    </row>
    <row r="66" spans="1:12" customHeight="1" ht="27.6" s="171" customFormat="1">
      <c r="A66" s="127"/>
      <c r="B66" s="129"/>
      <c r="C66" s="172"/>
      <c r="D66" s="173"/>
      <c r="E66" s="173"/>
      <c r="F66" s="126"/>
      <c r="G66" s="125"/>
      <c r="H66" s="125"/>
      <c r="I66" s="202"/>
      <c r="J66" s="202"/>
      <c r="K66" s="127">
        <f>J66-I66+1</f>
        <v>1</v>
      </c>
      <c r="L66" s="127"/>
    </row>
    <row r="67" spans="1:12" customHeight="1" ht="27.6" s="171" customFormat="1">
      <c r="A67" s="127"/>
      <c r="B67" s="129"/>
      <c r="C67" s="172"/>
      <c r="D67" s="173"/>
      <c r="E67" s="173"/>
      <c r="F67" s="126"/>
      <c r="G67" s="125"/>
      <c r="H67" s="125"/>
      <c r="I67" s="202"/>
      <c r="J67" s="202"/>
      <c r="K67" s="127">
        <f>J67-I67+1</f>
        <v>1</v>
      </c>
      <c r="L67" s="127"/>
    </row>
    <row r="68" spans="1:12" customHeight="1" ht="27.6" s="171" customFormat="1">
      <c r="A68" s="127"/>
      <c r="B68" s="129"/>
      <c r="C68" s="172"/>
      <c r="D68" s="173"/>
      <c r="E68" s="173"/>
      <c r="F68" s="126"/>
      <c r="G68" s="125"/>
      <c r="H68" s="125"/>
      <c r="I68" s="202"/>
      <c r="J68" s="202"/>
      <c r="K68" s="127">
        <f>J68-I68+1</f>
        <v>1</v>
      </c>
      <c r="L68" s="127"/>
    </row>
    <row r="69" spans="1:12" customHeight="1" ht="27.6" s="171" customFormat="1">
      <c r="A69" s="127"/>
      <c r="B69" s="129"/>
      <c r="C69" s="172"/>
      <c r="D69" s="173"/>
      <c r="E69" s="173"/>
      <c r="F69" s="126"/>
      <c r="G69" s="125"/>
      <c r="H69" s="125"/>
      <c r="I69" s="202"/>
      <c r="J69" s="202"/>
      <c r="K69" s="127">
        <f>J69-I69+1</f>
        <v>1</v>
      </c>
      <c r="L69" s="127"/>
    </row>
    <row r="70" spans="1:12" customHeight="1" ht="27.6" s="171" customFormat="1">
      <c r="A70" s="127"/>
      <c r="B70" s="129"/>
      <c r="C70" s="172"/>
      <c r="D70" s="173"/>
      <c r="E70" s="173"/>
      <c r="F70" s="126"/>
      <c r="G70" s="125"/>
      <c r="H70" s="125"/>
      <c r="I70" s="202"/>
      <c r="J70" s="202"/>
      <c r="K70" s="127">
        <f>J70-I70+1</f>
        <v>1</v>
      </c>
      <c r="L70" s="127"/>
    </row>
    <row r="71" spans="1:12" customHeight="1" ht="27.6" s="171" customFormat="1">
      <c r="A71" s="127"/>
      <c r="B71" s="129"/>
      <c r="C71" s="172"/>
      <c r="D71" s="173"/>
      <c r="E71" s="173"/>
      <c r="F71" s="126"/>
      <c r="G71" s="125"/>
      <c r="H71" s="125"/>
      <c r="I71" s="202"/>
      <c r="J71" s="202"/>
      <c r="K71" s="127">
        <f>J71-I71+1</f>
        <v>1</v>
      </c>
      <c r="L71" s="127"/>
    </row>
    <row r="72" spans="1:12" customHeight="1" ht="27.6" s="171" customFormat="1">
      <c r="A72" s="127"/>
      <c r="B72" s="129"/>
      <c r="C72" s="172"/>
      <c r="D72" s="173"/>
      <c r="E72" s="173"/>
      <c r="F72" s="126"/>
      <c r="G72" s="125"/>
      <c r="H72" s="125"/>
      <c r="I72" s="202"/>
      <c r="J72" s="202"/>
      <c r="K72" s="127">
        <f>J72-I72+1</f>
        <v>1</v>
      </c>
      <c r="L72" s="127"/>
    </row>
    <row r="73" spans="1:12" customHeight="1" ht="27.6" s="171" customFormat="1">
      <c r="A73" s="127"/>
      <c r="B73" s="129"/>
      <c r="C73" s="172"/>
      <c r="D73" s="173"/>
      <c r="E73" s="173"/>
      <c r="F73" s="126"/>
      <c r="G73" s="125"/>
      <c r="H73" s="125"/>
      <c r="I73" s="202"/>
      <c r="J73" s="202"/>
      <c r="K73" s="127">
        <f>J73-I73+1</f>
        <v>1</v>
      </c>
      <c r="L73" s="127"/>
    </row>
    <row r="74" spans="1:12" customHeight="1" ht="27.6" s="171" customFormat="1">
      <c r="A74" s="127"/>
      <c r="B74" s="129"/>
      <c r="C74" s="172"/>
      <c r="D74" s="173"/>
      <c r="E74" s="173"/>
      <c r="F74" s="126"/>
      <c r="G74" s="125"/>
      <c r="H74" s="125"/>
      <c r="I74" s="202"/>
      <c r="J74" s="202"/>
      <c r="K74" s="127">
        <f>J74-I74+1</f>
        <v>1</v>
      </c>
      <c r="L74" s="127"/>
    </row>
    <row r="75" spans="1:12" customHeight="1" ht="27.6" s="171" customFormat="1">
      <c r="A75" s="127"/>
      <c r="B75" s="129"/>
      <c r="C75" s="172"/>
      <c r="D75" s="173"/>
      <c r="E75" s="173"/>
      <c r="F75" s="126"/>
      <c r="G75" s="125"/>
      <c r="H75" s="125"/>
      <c r="I75" s="202"/>
      <c r="J75" s="202"/>
      <c r="K75" s="127">
        <f>J75-I75+1</f>
        <v>1</v>
      </c>
      <c r="L75" s="127"/>
    </row>
    <row r="76" spans="1:12" customHeight="1" ht="27.6" s="171" customFormat="1">
      <c r="A76" s="127"/>
      <c r="B76" s="129"/>
      <c r="C76" s="172"/>
      <c r="D76" s="173"/>
      <c r="E76" s="173"/>
      <c r="F76" s="126"/>
      <c r="G76" s="125"/>
      <c r="H76" s="125"/>
      <c r="I76" s="202"/>
      <c r="J76" s="202"/>
      <c r="K76" s="127">
        <f>J76-I76+1</f>
        <v>1</v>
      </c>
      <c r="L76" s="127"/>
    </row>
    <row r="77" spans="1:12" customHeight="1" ht="27.6" s="171" customFormat="1">
      <c r="A77" s="127"/>
      <c r="B77" s="129"/>
      <c r="C77" s="172"/>
      <c r="D77" s="173"/>
      <c r="E77" s="173"/>
      <c r="F77" s="126"/>
      <c r="G77" s="125"/>
      <c r="H77" s="125"/>
      <c r="I77" s="202"/>
      <c r="J77" s="202"/>
      <c r="K77" s="127">
        <f>J77-I77+1</f>
        <v>1</v>
      </c>
      <c r="L77" s="127"/>
    </row>
    <row r="78" spans="1:12" customHeight="1" ht="27.6" s="171" customFormat="1">
      <c r="A78" s="127"/>
      <c r="B78" s="129"/>
      <c r="C78" s="172"/>
      <c r="D78" s="173"/>
      <c r="E78" s="173"/>
      <c r="F78" s="126"/>
      <c r="G78" s="125"/>
      <c r="H78" s="125"/>
      <c r="I78" s="202"/>
      <c r="J78" s="202"/>
      <c r="K78" s="127">
        <f>J78-I78+1</f>
        <v>1</v>
      </c>
      <c r="L78" s="127"/>
    </row>
    <row r="79" spans="1:12" customHeight="1" ht="27.6" s="171" customFormat="1">
      <c r="A79" s="127"/>
      <c r="B79" s="129"/>
      <c r="C79" s="172"/>
      <c r="D79" s="173"/>
      <c r="E79" s="173"/>
      <c r="F79" s="126"/>
      <c r="G79" s="125"/>
      <c r="H79" s="125"/>
      <c r="I79" s="202"/>
      <c r="J79" s="202"/>
      <c r="K79" s="127">
        <f>J79-I79+1</f>
        <v>1</v>
      </c>
      <c r="L79" s="127"/>
    </row>
    <row r="80" spans="1:12" customHeight="1" ht="27.6" s="171" customFormat="1">
      <c r="A80" s="127"/>
      <c r="B80" s="129"/>
      <c r="C80" s="172"/>
      <c r="D80" s="173"/>
      <c r="E80" s="173"/>
      <c r="F80" s="126"/>
      <c r="G80" s="125"/>
      <c r="H80" s="125"/>
      <c r="I80" s="202"/>
      <c r="J80" s="202"/>
      <c r="K80" s="127">
        <f>J80-I80+1</f>
        <v>1</v>
      </c>
      <c r="L80" s="127"/>
    </row>
    <row r="81" spans="1:12" customHeight="1" ht="27.6" s="171" customFormat="1">
      <c r="A81" s="127"/>
      <c r="B81" s="129"/>
      <c r="C81" s="172"/>
      <c r="D81" s="173"/>
      <c r="E81" s="173"/>
      <c r="F81" s="126"/>
      <c r="G81" s="125"/>
      <c r="H81" s="125"/>
      <c r="I81" s="202"/>
      <c r="J81" s="202"/>
      <c r="K81" s="127">
        <f>J81-I81+1</f>
        <v>1</v>
      </c>
      <c r="L81" s="127"/>
    </row>
    <row r="82" spans="1:12" customHeight="1" ht="27.6" s="171" customFormat="1">
      <c r="A82" s="127"/>
      <c r="B82" s="129"/>
      <c r="C82" s="172"/>
      <c r="D82" s="173"/>
      <c r="E82" s="173"/>
      <c r="F82" s="126"/>
      <c r="G82" s="125"/>
      <c r="H82" s="125"/>
      <c r="I82" s="202"/>
      <c r="J82" s="202"/>
      <c r="K82" s="127">
        <f>J82-I82+1</f>
        <v>1</v>
      </c>
      <c r="L82" s="127"/>
    </row>
    <row r="83" spans="1:12" customHeight="1" ht="27.6" s="171" customFormat="1">
      <c r="A83" s="127"/>
      <c r="B83" s="129"/>
      <c r="C83" s="172"/>
      <c r="D83" s="173"/>
      <c r="E83" s="173"/>
      <c r="F83" s="126"/>
      <c r="G83" s="125"/>
      <c r="H83" s="125"/>
      <c r="I83" s="202"/>
      <c r="J83" s="202"/>
      <c r="K83" s="127">
        <f>J83-I83+1</f>
        <v>1</v>
      </c>
      <c r="L83" s="127"/>
    </row>
    <row r="84" spans="1:12" customHeight="1" ht="27.6" s="171" customFormat="1">
      <c r="A84" s="127"/>
      <c r="B84" s="129"/>
      <c r="C84" s="172"/>
      <c r="D84" s="173"/>
      <c r="E84" s="173"/>
      <c r="F84" s="126"/>
      <c r="G84" s="125"/>
      <c r="H84" s="125"/>
      <c r="I84" s="202"/>
      <c r="J84" s="202"/>
      <c r="K84" s="127">
        <f>J84-I84+1</f>
        <v>1</v>
      </c>
      <c r="L84" s="127"/>
    </row>
    <row r="85" spans="1:12" customHeight="1" ht="27.6" s="171" customFormat="1">
      <c r="A85" s="127"/>
      <c r="B85" s="129"/>
      <c r="C85" s="172"/>
      <c r="D85" s="173"/>
      <c r="E85" s="173"/>
      <c r="F85" s="126"/>
      <c r="G85" s="125"/>
      <c r="H85" s="125"/>
      <c r="I85" s="202"/>
      <c r="J85" s="202"/>
      <c r="K85" s="127">
        <f>J85-I85+1</f>
        <v>1</v>
      </c>
      <c r="L85" s="127"/>
    </row>
    <row r="86" spans="1:12" customHeight="1" ht="27.6" s="171" customFormat="1">
      <c r="A86" s="127"/>
      <c r="B86" s="129"/>
      <c r="C86" s="172"/>
      <c r="D86" s="173"/>
      <c r="E86" s="173"/>
      <c r="F86" s="126"/>
      <c r="G86" s="125"/>
      <c r="H86" s="125"/>
      <c r="I86" s="202"/>
      <c r="J86" s="202"/>
      <c r="K86" s="127">
        <f>J86-I86+1</f>
        <v>1</v>
      </c>
      <c r="L86" s="127"/>
    </row>
    <row r="87" spans="1:12" customHeight="1" ht="27.6" s="171" customFormat="1">
      <c r="A87" s="127"/>
      <c r="B87" s="129"/>
      <c r="C87" s="172"/>
      <c r="D87" s="173"/>
      <c r="E87" s="173"/>
      <c r="F87" s="126"/>
      <c r="G87" s="125"/>
      <c r="H87" s="125"/>
      <c r="I87" s="202"/>
      <c r="J87" s="202"/>
      <c r="K87" s="127">
        <f>J87-I87+1</f>
        <v>1</v>
      </c>
      <c r="L87" s="127"/>
    </row>
    <row r="88" spans="1:12" customHeight="1" ht="27.6" s="171" customFormat="1">
      <c r="A88" s="127"/>
      <c r="B88" s="129"/>
      <c r="C88" s="172"/>
      <c r="D88" s="173"/>
      <c r="E88" s="173"/>
      <c r="F88" s="126"/>
      <c r="G88" s="125"/>
      <c r="H88" s="125"/>
      <c r="I88" s="202"/>
      <c r="J88" s="202"/>
      <c r="K88" s="127">
        <f>J88-I88+1</f>
        <v>1</v>
      </c>
      <c r="L88" s="127"/>
    </row>
    <row r="89" spans="1:12" customHeight="1" ht="27.6" s="171" customFormat="1">
      <c r="A89" s="127"/>
      <c r="B89" s="129"/>
      <c r="C89" s="172"/>
      <c r="D89" s="173"/>
      <c r="E89" s="173"/>
      <c r="F89" s="126"/>
      <c r="G89" s="125"/>
      <c r="H89" s="125"/>
      <c r="I89" s="202"/>
      <c r="J89" s="202"/>
      <c r="K89" s="127">
        <f>J89-I89+1</f>
        <v>1</v>
      </c>
      <c r="L89" s="127"/>
    </row>
    <row r="90" spans="1:12" customHeight="1" ht="27.6" s="171" customFormat="1">
      <c r="A90" s="127"/>
      <c r="B90" s="129"/>
      <c r="C90" s="172"/>
      <c r="D90" s="173"/>
      <c r="E90" s="173"/>
      <c r="F90" s="126"/>
      <c r="G90" s="125"/>
      <c r="H90" s="125"/>
      <c r="I90" s="202"/>
      <c r="J90" s="202"/>
      <c r="K90" s="127">
        <f>J90-I90+1</f>
        <v>1</v>
      </c>
      <c r="L90" s="127"/>
    </row>
    <row r="91" spans="1:12" customHeight="1" ht="27.6" s="171" customFormat="1">
      <c r="A91" s="127"/>
      <c r="B91" s="129"/>
      <c r="C91" s="172"/>
      <c r="D91" s="173"/>
      <c r="E91" s="173"/>
      <c r="F91" s="126"/>
      <c r="G91" s="125"/>
      <c r="H91" s="125"/>
      <c r="I91" s="202"/>
      <c r="J91" s="202"/>
      <c r="K91" s="127">
        <f>J91-I91+1</f>
        <v>1</v>
      </c>
      <c r="L91" s="127"/>
    </row>
    <row r="92" spans="1:12" customHeight="1" ht="27.6" s="171" customFormat="1">
      <c r="A92" s="127"/>
      <c r="B92" s="129"/>
      <c r="C92" s="172"/>
      <c r="D92" s="173"/>
      <c r="E92" s="173"/>
      <c r="F92" s="126"/>
      <c r="G92" s="125"/>
      <c r="H92" s="125"/>
      <c r="I92" s="202"/>
      <c r="J92" s="202"/>
      <c r="K92" s="127">
        <f>J92-I92+1</f>
        <v>1</v>
      </c>
      <c r="L92" s="127"/>
    </row>
    <row r="93" spans="1:12" customHeight="1" ht="27.6" s="171" customFormat="1">
      <c r="A93" s="127"/>
      <c r="B93" s="129"/>
      <c r="C93" s="172"/>
      <c r="D93" s="173"/>
      <c r="E93" s="173"/>
      <c r="F93" s="126"/>
      <c r="G93" s="125"/>
      <c r="H93" s="125"/>
      <c r="I93" s="202"/>
      <c r="J93" s="202"/>
      <c r="K93" s="127">
        <f>J93-I93+1</f>
        <v>1</v>
      </c>
      <c r="L93" s="127"/>
    </row>
    <row r="94" spans="1:12" customHeight="1" ht="27.6" s="171" customFormat="1">
      <c r="A94" s="127"/>
      <c r="B94" s="129"/>
      <c r="C94" s="172"/>
      <c r="D94" s="173"/>
      <c r="E94" s="173"/>
      <c r="F94" s="126"/>
      <c r="G94" s="125"/>
      <c r="H94" s="125"/>
      <c r="I94" s="202"/>
      <c r="J94" s="202"/>
      <c r="K94" s="127">
        <f>J94-I94+1</f>
        <v>1</v>
      </c>
      <c r="L94" s="127"/>
    </row>
    <row r="95" spans="1:12" customHeight="1" ht="27.6" s="171" customFormat="1">
      <c r="A95" s="127"/>
      <c r="B95" s="129"/>
      <c r="C95" s="172"/>
      <c r="D95" s="173"/>
      <c r="E95" s="173"/>
      <c r="F95" s="126"/>
      <c r="G95" s="125"/>
      <c r="H95" s="125"/>
      <c r="I95" s="202"/>
      <c r="J95" s="202"/>
      <c r="K95" s="127">
        <f>J95-I95+1</f>
        <v>1</v>
      </c>
      <c r="L95" s="127"/>
    </row>
    <row r="96" spans="1:12" customHeight="1" ht="27.6" s="171" customFormat="1">
      <c r="A96" s="127"/>
      <c r="B96" s="129"/>
      <c r="C96" s="172"/>
      <c r="D96" s="173"/>
      <c r="E96" s="173"/>
      <c r="F96" s="126"/>
      <c r="G96" s="125"/>
      <c r="H96" s="125"/>
      <c r="I96" s="202"/>
      <c r="J96" s="202"/>
      <c r="K96" s="127">
        <f>J96-I96+1</f>
        <v>1</v>
      </c>
      <c r="L96" s="127"/>
    </row>
    <row r="97" spans="1:12" customHeight="1" ht="27.6" s="171" customFormat="1">
      <c r="A97" s="127"/>
      <c r="B97" s="129"/>
      <c r="C97" s="172"/>
      <c r="D97" s="173"/>
      <c r="E97" s="173"/>
      <c r="F97" s="126"/>
      <c r="G97" s="125"/>
      <c r="H97" s="125"/>
      <c r="I97" s="202"/>
      <c r="J97" s="202"/>
      <c r="K97" s="127">
        <f>J97-I97+1</f>
        <v>1</v>
      </c>
      <c r="L97" s="127"/>
    </row>
    <row r="98" spans="1:12" customHeight="1" ht="27.6" s="171" customFormat="1">
      <c r="A98" s="127"/>
      <c r="B98" s="129"/>
      <c r="C98" s="172"/>
      <c r="D98" s="173"/>
      <c r="E98" s="173"/>
      <c r="F98" s="126"/>
      <c r="G98" s="125"/>
      <c r="H98" s="125"/>
      <c r="I98" s="202"/>
      <c r="J98" s="202"/>
      <c r="K98" s="127">
        <f>J98-I98+1</f>
        <v>1</v>
      </c>
      <c r="L98" s="127"/>
    </row>
    <row r="99" spans="1:12" customHeight="1" ht="27.6" s="171" customFormat="1">
      <c r="A99" s="127"/>
      <c r="B99" s="129"/>
      <c r="C99" s="172"/>
      <c r="D99" s="173"/>
      <c r="E99" s="173"/>
      <c r="F99" s="126"/>
      <c r="G99" s="125"/>
      <c r="H99" s="125"/>
      <c r="I99" s="202"/>
      <c r="J99" s="202"/>
      <c r="K99" s="127">
        <f>J99-I99+1</f>
        <v>1</v>
      </c>
      <c r="L99" s="127"/>
    </row>
    <row r="100" spans="1:12" customHeight="1" ht="27.6" s="171" customFormat="1">
      <c r="A100" s="127"/>
      <c r="B100" s="129"/>
      <c r="C100" s="172"/>
      <c r="D100" s="173"/>
      <c r="E100" s="173"/>
      <c r="F100" s="126"/>
      <c r="G100" s="125"/>
      <c r="H100" s="125"/>
      <c r="I100" s="202"/>
      <c r="J100" s="202"/>
      <c r="K100" s="127">
        <f>J100-I100+1</f>
        <v>1</v>
      </c>
      <c r="L100" s="127"/>
    </row>
    <row r="101" spans="1:12" customHeight="1" ht="27.6" s="171" customFormat="1">
      <c r="A101" s="127"/>
      <c r="B101" s="129"/>
      <c r="C101" s="172"/>
      <c r="D101" s="173"/>
      <c r="E101" s="173"/>
      <c r="F101" s="126"/>
      <c r="G101" s="125"/>
      <c r="H101" s="125"/>
      <c r="I101" s="202"/>
      <c r="J101" s="202"/>
      <c r="K101" s="127">
        <f>J101-I101+1</f>
        <v>1</v>
      </c>
      <c r="L101" s="127"/>
    </row>
    <row r="102" spans="1:12" customHeight="1" ht="27.6" s="171" customFormat="1">
      <c r="A102" s="127"/>
      <c r="B102" s="129"/>
      <c r="C102" s="172"/>
      <c r="D102" s="173"/>
      <c r="E102" s="173"/>
      <c r="F102" s="126"/>
      <c r="G102" s="125"/>
      <c r="H102" s="125"/>
      <c r="I102" s="202"/>
      <c r="J102" s="202"/>
      <c r="K102" s="127">
        <f>J102-I102+1</f>
        <v>1</v>
      </c>
      <c r="L102" s="127"/>
    </row>
    <row r="103" spans="1:12" customHeight="1" ht="27.6" s="171" customFormat="1">
      <c r="A103" s="127"/>
      <c r="B103" s="129"/>
      <c r="C103" s="172"/>
      <c r="D103" s="173"/>
      <c r="E103" s="173"/>
      <c r="F103" s="126"/>
      <c r="G103" s="125"/>
      <c r="H103" s="125"/>
      <c r="I103" s="202"/>
      <c r="J103" s="202"/>
      <c r="K103" s="127">
        <f>J103-I103+1</f>
        <v>1</v>
      </c>
      <c r="L103" s="127"/>
    </row>
    <row r="104" spans="1:12" customHeight="1" ht="27.6" s="171" customFormat="1">
      <c r="A104" s="127"/>
      <c r="B104" s="129"/>
      <c r="C104" s="172"/>
      <c r="D104" s="173"/>
      <c r="E104" s="173"/>
      <c r="F104" s="126"/>
      <c r="G104" s="125"/>
      <c r="H104" s="125"/>
      <c r="I104" s="202"/>
      <c r="J104" s="202"/>
      <c r="K104" s="127">
        <f>J104-I104+1</f>
        <v>1</v>
      </c>
      <c r="L104" s="127"/>
    </row>
    <row r="105" spans="1:12" customHeight="1" ht="27.6" s="171" customFormat="1">
      <c r="A105" s="127"/>
      <c r="B105" s="129"/>
      <c r="C105" s="172"/>
      <c r="D105" s="173"/>
      <c r="E105" s="173"/>
      <c r="F105" s="126"/>
      <c r="G105" s="125"/>
      <c r="H105" s="125"/>
      <c r="I105" s="202"/>
      <c r="J105" s="202"/>
      <c r="K105" s="127">
        <f>J105-I105+1</f>
        <v>1</v>
      </c>
      <c r="L105" s="127"/>
    </row>
    <row r="106" spans="1:12" customHeight="1" ht="27.6" s="171" customFormat="1">
      <c r="A106" s="127"/>
      <c r="B106" s="129"/>
      <c r="C106" s="172"/>
      <c r="D106" s="173"/>
      <c r="E106" s="173"/>
      <c r="F106" s="126"/>
      <c r="G106" s="125"/>
      <c r="H106" s="125"/>
      <c r="I106" s="202"/>
      <c r="J106" s="202"/>
      <c r="K106" s="127">
        <f>J106-I106+1</f>
        <v>1</v>
      </c>
      <c r="L106" s="127"/>
    </row>
    <row r="107" spans="1:12" customHeight="1" ht="27.6" s="171" customFormat="1">
      <c r="A107" s="127"/>
      <c r="B107" s="129"/>
      <c r="C107" s="172"/>
      <c r="D107" s="173"/>
      <c r="E107" s="173"/>
      <c r="F107" s="126"/>
      <c r="G107" s="125"/>
      <c r="H107" s="125"/>
      <c r="I107" s="202"/>
      <c r="J107" s="202"/>
      <c r="K107" s="127">
        <f>J107-I107+1</f>
        <v>1</v>
      </c>
      <c r="L107" s="127"/>
    </row>
    <row r="108" spans="1:12" customHeight="1" ht="27.6" s="171" customFormat="1">
      <c r="A108" s="127"/>
      <c r="B108" s="129"/>
      <c r="C108" s="172"/>
      <c r="D108" s="173"/>
      <c r="E108" s="173"/>
      <c r="F108" s="126"/>
      <c r="G108" s="125"/>
      <c r="H108" s="125"/>
      <c r="I108" s="202"/>
      <c r="J108" s="202"/>
      <c r="K108" s="127">
        <f>J108-I108+1</f>
        <v>1</v>
      </c>
      <c r="L108" s="127"/>
    </row>
    <row r="109" spans="1:12" customHeight="1" ht="27.6" s="171" customFormat="1">
      <c r="A109" s="127"/>
      <c r="B109" s="129"/>
      <c r="C109" s="172"/>
      <c r="D109" s="173"/>
      <c r="E109" s="173"/>
      <c r="F109" s="126"/>
      <c r="G109" s="125"/>
      <c r="H109" s="125"/>
      <c r="I109" s="202"/>
      <c r="J109" s="202"/>
      <c r="K109" s="127">
        <f>J109-I109+1</f>
        <v>1</v>
      </c>
      <c r="L109" s="127"/>
    </row>
    <row r="110" spans="1:12" customHeight="1" ht="27.6" s="171" customFormat="1">
      <c r="A110" s="127"/>
      <c r="B110" s="129"/>
      <c r="C110" s="172"/>
      <c r="D110" s="173"/>
      <c r="E110" s="173"/>
      <c r="F110" s="126"/>
      <c r="G110" s="125"/>
      <c r="H110" s="125"/>
      <c r="I110" s="202"/>
      <c r="J110" s="202"/>
      <c r="K110" s="127">
        <f>J110-I110+1</f>
        <v>1</v>
      </c>
      <c r="L110" s="127"/>
    </row>
    <row r="111" spans="1:12" customHeight="1" ht="27.6" s="171" customFormat="1">
      <c r="A111" s="127"/>
      <c r="B111" s="129"/>
      <c r="C111" s="172"/>
      <c r="D111" s="173"/>
      <c r="E111" s="173"/>
      <c r="F111" s="126"/>
      <c r="G111" s="125"/>
      <c r="H111" s="125"/>
      <c r="I111" s="202"/>
      <c r="J111" s="202"/>
      <c r="K111" s="127">
        <f>J111-I111+1</f>
        <v>1</v>
      </c>
      <c r="L111" s="127"/>
    </row>
    <row r="112" spans="1:12" customHeight="1" ht="27.6" s="171" customFormat="1">
      <c r="A112" s="127"/>
      <c r="B112" s="129"/>
      <c r="C112" s="172"/>
      <c r="D112" s="173"/>
      <c r="E112" s="173"/>
      <c r="F112" s="126"/>
      <c r="G112" s="125"/>
      <c r="H112" s="125"/>
      <c r="I112" s="202"/>
      <c r="J112" s="202"/>
      <c r="K112" s="127">
        <f>J112-I112+1</f>
        <v>1</v>
      </c>
      <c r="L112" s="127"/>
    </row>
    <row r="113" spans="1:12" customHeight="1" ht="27.6" s="171" customFormat="1">
      <c r="A113" s="127"/>
      <c r="B113" s="129"/>
      <c r="C113" s="172"/>
      <c r="D113" s="173"/>
      <c r="E113" s="173"/>
      <c r="F113" s="126"/>
      <c r="G113" s="125"/>
      <c r="H113" s="125"/>
      <c r="I113" s="202"/>
      <c r="J113" s="202"/>
      <c r="K113" s="127">
        <f>J113-I113+1</f>
        <v>1</v>
      </c>
      <c r="L113" s="127"/>
    </row>
    <row r="114" spans="1:12" customHeight="1" ht="27.6" s="171" customFormat="1">
      <c r="A114" s="127"/>
      <c r="B114" s="129"/>
      <c r="C114" s="172"/>
      <c r="D114" s="173"/>
      <c r="E114" s="173"/>
      <c r="F114" s="126"/>
      <c r="G114" s="125"/>
      <c r="H114" s="125"/>
      <c r="I114" s="202"/>
      <c r="J114" s="202"/>
      <c r="K114" s="127">
        <f>J114-I114+1</f>
        <v>1</v>
      </c>
      <c r="L114" s="127"/>
    </row>
    <row r="115" spans="1:12" customHeight="1" ht="27.6" s="171" customFormat="1">
      <c r="A115" s="127"/>
      <c r="B115" s="129"/>
      <c r="C115" s="172"/>
      <c r="D115" s="173"/>
      <c r="E115" s="173"/>
      <c r="F115" s="126"/>
      <c r="G115" s="125"/>
      <c r="H115" s="125"/>
      <c r="I115" s="202"/>
      <c r="J115" s="202"/>
      <c r="K115" s="127">
        <f>J115-I115+1</f>
        <v>1</v>
      </c>
      <c r="L115" s="127"/>
    </row>
    <row r="116" spans="1:12" customHeight="1" ht="27.6" s="171" customFormat="1">
      <c r="A116" s="127"/>
      <c r="B116" s="129"/>
      <c r="C116" s="172"/>
      <c r="D116" s="173"/>
      <c r="E116" s="173"/>
      <c r="F116" s="126"/>
      <c r="G116" s="125"/>
      <c r="H116" s="125"/>
      <c r="I116" s="202"/>
      <c r="J116" s="202"/>
      <c r="K116" s="127">
        <f>J116-I116+1</f>
        <v>1</v>
      </c>
      <c r="L116" s="127"/>
    </row>
    <row r="117" spans="1:12" customHeight="1" ht="27.6" s="171" customFormat="1">
      <c r="A117" s="127"/>
      <c r="B117" s="129"/>
      <c r="C117" s="172"/>
      <c r="D117" s="173"/>
      <c r="E117" s="173"/>
      <c r="F117" s="126"/>
      <c r="G117" s="125"/>
      <c r="H117" s="125"/>
      <c r="I117" s="202"/>
      <c r="J117" s="202"/>
      <c r="K117" s="127">
        <f>J117-I117+1</f>
        <v>1</v>
      </c>
      <c r="L117" s="127"/>
    </row>
    <row r="118" spans="1:12" customHeight="1" ht="27.6" s="171" customFormat="1">
      <c r="A118" s="127"/>
      <c r="B118" s="129"/>
      <c r="C118" s="172"/>
      <c r="D118" s="173"/>
      <c r="E118" s="173"/>
      <c r="F118" s="126"/>
      <c r="G118" s="125"/>
      <c r="H118" s="125"/>
      <c r="I118" s="202"/>
      <c r="J118" s="202"/>
      <c r="K118" s="127">
        <f>J118-I118+1</f>
        <v>1</v>
      </c>
      <c r="L118" s="127"/>
    </row>
    <row r="119" spans="1:12" customHeight="1" ht="27.6" s="171" customFormat="1">
      <c r="A119" s="127"/>
      <c r="B119" s="129"/>
      <c r="C119" s="172"/>
      <c r="D119" s="173"/>
      <c r="E119" s="173"/>
      <c r="F119" s="126"/>
      <c r="G119" s="125"/>
      <c r="H119" s="125"/>
      <c r="I119" s="202"/>
      <c r="J119" s="202"/>
      <c r="K119" s="127">
        <f>J119-I119+1</f>
        <v>1</v>
      </c>
      <c r="L119" s="127"/>
    </row>
    <row r="120" spans="1:12" customHeight="1" ht="27.6" s="171" customFormat="1">
      <c r="A120" s="127"/>
      <c r="B120" s="129"/>
      <c r="C120" s="172"/>
      <c r="D120" s="173"/>
      <c r="E120" s="173"/>
      <c r="F120" s="126"/>
      <c r="G120" s="125"/>
      <c r="H120" s="125"/>
      <c r="I120" s="202"/>
      <c r="J120" s="202"/>
      <c r="K120" s="127">
        <f>J120-I120+1</f>
        <v>1</v>
      </c>
      <c r="L120" s="127"/>
    </row>
    <row r="121" spans="1:12" customHeight="1" ht="27.6" s="171" customFormat="1">
      <c r="A121" s="127"/>
      <c r="B121" s="129"/>
      <c r="C121" s="172"/>
      <c r="D121" s="173"/>
      <c r="E121" s="173"/>
      <c r="F121" s="126"/>
      <c r="G121" s="125"/>
      <c r="H121" s="125"/>
      <c r="I121" s="202"/>
      <c r="J121" s="202"/>
      <c r="K121" s="127">
        <f>J121-I121+1</f>
        <v>1</v>
      </c>
      <c r="L121" s="127"/>
    </row>
    <row r="122" spans="1:12" customHeight="1" ht="27.6" s="171" customFormat="1">
      <c r="A122" s="127"/>
      <c r="B122" s="129"/>
      <c r="C122" s="172"/>
      <c r="D122" s="173"/>
      <c r="E122" s="173"/>
      <c r="F122" s="126"/>
      <c r="G122" s="125"/>
      <c r="H122" s="125"/>
      <c r="I122" s="202"/>
      <c r="J122" s="202"/>
      <c r="K122" s="127">
        <f>J122-I122+1</f>
        <v>1</v>
      </c>
      <c r="L122" s="127"/>
    </row>
    <row r="123" spans="1:12" customHeight="1" ht="27.6" s="171" customFormat="1">
      <c r="A123" s="127"/>
      <c r="B123" s="129"/>
      <c r="C123" s="172"/>
      <c r="D123" s="173"/>
      <c r="E123" s="173"/>
      <c r="F123" s="126"/>
      <c r="G123" s="125"/>
      <c r="H123" s="125"/>
      <c r="I123" s="202"/>
      <c r="J123" s="202"/>
      <c r="K123" s="127">
        <f>J123-I123+1</f>
        <v>1</v>
      </c>
      <c r="L123" s="127"/>
    </row>
    <row r="124" spans="1:12" customHeight="1" ht="27.6" s="171" customFormat="1">
      <c r="A124" s="127"/>
      <c r="B124" s="129"/>
      <c r="C124" s="172"/>
      <c r="D124" s="173"/>
      <c r="E124" s="173"/>
      <c r="F124" s="126"/>
      <c r="G124" s="125"/>
      <c r="H124" s="125"/>
      <c r="I124" s="202"/>
      <c r="J124" s="202"/>
      <c r="K124" s="127">
        <f>J124-I124+1</f>
        <v>1</v>
      </c>
      <c r="L124" s="127"/>
    </row>
    <row r="125" spans="1:12" customHeight="1" ht="27.6" s="171" customFormat="1">
      <c r="A125" s="127"/>
      <c r="B125" s="129"/>
      <c r="C125" s="172"/>
      <c r="D125" s="173"/>
      <c r="E125" s="173"/>
      <c r="F125" s="126"/>
      <c r="G125" s="125"/>
      <c r="H125" s="125"/>
      <c r="I125" s="202"/>
      <c r="J125" s="202"/>
      <c r="K125" s="127">
        <f>J125-I125+1</f>
        <v>1</v>
      </c>
      <c r="L125" s="127"/>
    </row>
    <row r="126" spans="1:12" customHeight="1" ht="27.6" s="171" customFormat="1">
      <c r="A126" s="127"/>
      <c r="B126" s="129"/>
      <c r="C126" s="172"/>
      <c r="D126" s="173"/>
      <c r="E126" s="173"/>
      <c r="F126" s="126"/>
      <c r="G126" s="125"/>
      <c r="H126" s="125"/>
      <c r="I126" s="202"/>
      <c r="J126" s="202"/>
      <c r="K126" s="127">
        <f>J126-I126+1</f>
        <v>1</v>
      </c>
      <c r="L126" s="127"/>
    </row>
    <row r="127" spans="1:12" customHeight="1" ht="27.6" s="171" customFormat="1">
      <c r="A127" s="127"/>
      <c r="B127" s="129"/>
      <c r="C127" s="172"/>
      <c r="D127" s="173"/>
      <c r="E127" s="173"/>
      <c r="F127" s="126"/>
      <c r="G127" s="125"/>
      <c r="H127" s="125"/>
      <c r="I127" s="202"/>
      <c r="J127" s="202"/>
      <c r="K127" s="127">
        <f>J127-I127+1</f>
        <v>1</v>
      </c>
      <c r="L127" s="127"/>
    </row>
    <row r="128" spans="1:12" customHeight="1" ht="27.6" s="171" customFormat="1">
      <c r="A128" s="127"/>
      <c r="B128" s="129"/>
      <c r="C128" s="172"/>
      <c r="D128" s="173"/>
      <c r="E128" s="173"/>
      <c r="F128" s="126"/>
      <c r="G128" s="125"/>
      <c r="H128" s="125"/>
      <c r="I128" s="202"/>
      <c r="J128" s="202"/>
      <c r="K128" s="127">
        <f>J128-I128+1</f>
        <v>1</v>
      </c>
      <c r="L128" s="127"/>
    </row>
    <row r="129" spans="1:12" customHeight="1" ht="27.6" s="171" customFormat="1">
      <c r="A129" s="127"/>
      <c r="B129" s="129"/>
      <c r="C129" s="172"/>
      <c r="D129" s="173"/>
      <c r="E129" s="173"/>
      <c r="F129" s="126"/>
      <c r="G129" s="125"/>
      <c r="H129" s="125"/>
      <c r="I129" s="202"/>
      <c r="J129" s="202"/>
      <c r="K129" s="127">
        <f>J129-I129+1</f>
        <v>1</v>
      </c>
      <c r="L129" s="127"/>
    </row>
    <row r="130" spans="1:12" customHeight="1" ht="27.6" s="171" customFormat="1">
      <c r="A130" s="127"/>
      <c r="B130" s="129"/>
      <c r="C130" s="172"/>
      <c r="D130" s="173"/>
      <c r="E130" s="173"/>
      <c r="F130" s="126"/>
      <c r="G130" s="125"/>
      <c r="H130" s="125"/>
      <c r="I130" s="202"/>
      <c r="J130" s="202"/>
      <c r="K130" s="127">
        <f>J130-I130+1</f>
        <v>1</v>
      </c>
      <c r="L130" s="127"/>
    </row>
    <row r="131" spans="1:12" customHeight="1" ht="27.6" s="171" customFormat="1">
      <c r="A131" s="127"/>
      <c r="B131" s="129"/>
      <c r="C131" s="172"/>
      <c r="D131" s="173"/>
      <c r="E131" s="173"/>
      <c r="F131" s="126"/>
      <c r="G131" s="125"/>
      <c r="H131" s="125"/>
      <c r="I131" s="202"/>
      <c r="J131" s="202"/>
      <c r="K131" s="127">
        <f>J131-I131+1</f>
        <v>1</v>
      </c>
      <c r="L131" s="127"/>
    </row>
    <row r="132" spans="1:12" customHeight="1" ht="27.6" s="171" customFormat="1">
      <c r="A132" s="127"/>
      <c r="B132" s="129"/>
      <c r="C132" s="172"/>
      <c r="D132" s="173"/>
      <c r="E132" s="173"/>
      <c r="F132" s="126"/>
      <c r="G132" s="125"/>
      <c r="H132" s="125"/>
      <c r="I132" s="202"/>
      <c r="J132" s="202"/>
      <c r="K132" s="127">
        <f>J132-I132+1</f>
        <v>1</v>
      </c>
      <c r="L132" s="127"/>
    </row>
    <row r="133" spans="1:12" customHeight="1" ht="27.6" s="171" customFormat="1">
      <c r="A133" s="127"/>
      <c r="B133" s="129"/>
      <c r="C133" s="172"/>
      <c r="D133" s="173"/>
      <c r="E133" s="173"/>
      <c r="F133" s="126"/>
      <c r="G133" s="125"/>
      <c r="H133" s="125"/>
      <c r="I133" s="202"/>
      <c r="J133" s="202"/>
      <c r="K133" s="127">
        <f>J133-I133+1</f>
        <v>1</v>
      </c>
      <c r="L133" s="127"/>
    </row>
    <row r="134" spans="1:12" customHeight="1" ht="27.6" s="171" customFormat="1">
      <c r="A134" s="127"/>
      <c r="B134" s="129"/>
      <c r="C134" s="172"/>
      <c r="D134" s="173"/>
      <c r="E134" s="173"/>
      <c r="F134" s="126"/>
      <c r="G134" s="125"/>
      <c r="H134" s="125"/>
      <c r="I134" s="202"/>
      <c r="J134" s="202"/>
      <c r="K134" s="127">
        <f>J134-I134+1</f>
        <v>1</v>
      </c>
      <c r="L134" s="127"/>
    </row>
    <row r="135" spans="1:12" customHeight="1" ht="27.6" s="171" customFormat="1">
      <c r="A135" s="127"/>
      <c r="B135" s="129"/>
      <c r="C135" s="172"/>
      <c r="D135" s="173"/>
      <c r="E135" s="173"/>
      <c r="F135" s="126"/>
      <c r="G135" s="125"/>
      <c r="H135" s="125"/>
      <c r="I135" s="202"/>
      <c r="J135" s="202"/>
      <c r="K135" s="127">
        <f>J135-I135+1</f>
        <v>1</v>
      </c>
      <c r="L135" s="127"/>
    </row>
    <row r="136" spans="1:12" customHeight="1" ht="27.6" s="171" customFormat="1">
      <c r="A136" s="127"/>
      <c r="B136" s="129"/>
      <c r="C136" s="172"/>
      <c r="D136" s="173"/>
      <c r="E136" s="173"/>
      <c r="F136" s="126"/>
      <c r="G136" s="125"/>
      <c r="H136" s="125"/>
      <c r="I136" s="202"/>
      <c r="J136" s="202"/>
      <c r="K136" s="127">
        <f>J136-I136+1</f>
        <v>1</v>
      </c>
      <c r="L136" s="127"/>
    </row>
    <row r="137" spans="1:12" customHeight="1" ht="27.6" s="171" customFormat="1">
      <c r="A137" s="127"/>
      <c r="B137" s="129"/>
      <c r="C137" s="172"/>
      <c r="D137" s="173"/>
      <c r="E137" s="173"/>
      <c r="F137" s="126"/>
      <c r="G137" s="125"/>
      <c r="H137" s="125"/>
      <c r="I137" s="202"/>
      <c r="J137" s="202"/>
      <c r="K137" s="127">
        <f>J137-I137+1</f>
        <v>1</v>
      </c>
      <c r="L137" s="127"/>
    </row>
    <row r="138" spans="1:12" customHeight="1" ht="27.6" s="171" customFormat="1">
      <c r="A138" s="127"/>
      <c r="B138" s="129"/>
      <c r="C138" s="172"/>
      <c r="D138" s="173"/>
      <c r="E138" s="173"/>
      <c r="F138" s="126"/>
      <c r="G138" s="125"/>
      <c r="H138" s="125"/>
      <c r="I138" s="202"/>
      <c r="J138" s="202"/>
      <c r="K138" s="127">
        <f>J138-I138+1</f>
        <v>1</v>
      </c>
      <c r="L138" s="127"/>
    </row>
    <row r="139" spans="1:12" customHeight="1" ht="27.6" s="171" customFormat="1">
      <c r="A139" s="127"/>
      <c r="B139" s="129"/>
      <c r="C139" s="172"/>
      <c r="D139" s="173"/>
      <c r="E139" s="173"/>
      <c r="F139" s="126"/>
      <c r="G139" s="125"/>
      <c r="H139" s="125"/>
      <c r="I139" s="202"/>
      <c r="J139" s="202"/>
      <c r="K139" s="127">
        <f>J139-I139+1</f>
        <v>1</v>
      </c>
      <c r="L139" s="127"/>
    </row>
    <row r="140" spans="1:12" customHeight="1" ht="27.6" s="171" customFormat="1">
      <c r="A140" s="127"/>
      <c r="B140" s="129"/>
      <c r="C140" s="172"/>
      <c r="D140" s="173"/>
      <c r="E140" s="173"/>
      <c r="F140" s="126"/>
      <c r="G140" s="125"/>
      <c r="H140" s="125"/>
      <c r="I140" s="202"/>
      <c r="J140" s="202"/>
      <c r="K140" s="127">
        <f>J140-I140+1</f>
        <v>1</v>
      </c>
      <c r="L140" s="127"/>
    </row>
    <row r="141" spans="1:12" customHeight="1" ht="27.6" s="171" customFormat="1">
      <c r="A141" s="127"/>
      <c r="B141" s="129"/>
      <c r="C141" s="172"/>
      <c r="D141" s="173"/>
      <c r="E141" s="173"/>
      <c r="F141" s="126"/>
      <c r="G141" s="125"/>
      <c r="H141" s="125"/>
      <c r="I141" s="202"/>
      <c r="J141" s="202"/>
      <c r="K141" s="127">
        <f>J141-I141+1</f>
        <v>1</v>
      </c>
      <c r="L141" s="127"/>
    </row>
    <row r="142" spans="1:12" customHeight="1" ht="27.6" s="171" customFormat="1">
      <c r="A142" s="127"/>
      <c r="B142" s="129"/>
      <c r="C142" s="172"/>
      <c r="D142" s="173"/>
      <c r="E142" s="173"/>
      <c r="F142" s="126"/>
      <c r="G142" s="125"/>
      <c r="H142" s="125"/>
      <c r="I142" s="202"/>
      <c r="J142" s="202"/>
      <c r="K142" s="127">
        <f>J142-I142+1</f>
        <v>1</v>
      </c>
      <c r="L142" s="127"/>
    </row>
    <row r="143" spans="1:12" customHeight="1" ht="27.6" s="171" customFormat="1">
      <c r="A143" s="127"/>
      <c r="B143" s="129"/>
      <c r="C143" s="172"/>
      <c r="D143" s="173"/>
      <c r="E143" s="173"/>
      <c r="F143" s="126"/>
      <c r="G143" s="125"/>
      <c r="H143" s="125"/>
      <c r="I143" s="202"/>
      <c r="J143" s="202"/>
      <c r="K143" s="127">
        <f>J143-I143+1</f>
        <v>1</v>
      </c>
      <c r="L143" s="127"/>
    </row>
    <row r="144" spans="1:12" customHeight="1" ht="27.6" s="171" customFormat="1">
      <c r="A144" s="127"/>
      <c r="B144" s="129"/>
      <c r="C144" s="172"/>
      <c r="D144" s="173"/>
      <c r="E144" s="173"/>
      <c r="F144" s="126"/>
      <c r="G144" s="125"/>
      <c r="H144" s="125"/>
      <c r="I144" s="202"/>
      <c r="J144" s="202"/>
      <c r="K144" s="127">
        <f>J144-I144+1</f>
        <v>1</v>
      </c>
      <c r="L144" s="127"/>
    </row>
    <row r="145" spans="1:12" customHeight="1" ht="27.6" s="171" customFormat="1">
      <c r="A145" s="127"/>
      <c r="B145" s="129"/>
      <c r="C145" s="172"/>
      <c r="D145" s="173"/>
      <c r="E145" s="173"/>
      <c r="F145" s="126"/>
      <c r="G145" s="125"/>
      <c r="H145" s="125"/>
      <c r="I145" s="202"/>
      <c r="J145" s="202"/>
      <c r="K145" s="127">
        <f>J145-I145+1</f>
        <v>1</v>
      </c>
      <c r="L145" s="127"/>
    </row>
    <row r="146" spans="1:12" customHeight="1" ht="27.6" s="171" customFormat="1">
      <c r="A146" s="127"/>
      <c r="B146" s="129"/>
      <c r="C146" s="172"/>
      <c r="D146" s="173"/>
      <c r="E146" s="173"/>
      <c r="F146" s="126"/>
      <c r="G146" s="125"/>
      <c r="H146" s="125"/>
      <c r="I146" s="202"/>
      <c r="J146" s="202"/>
      <c r="K146" s="127">
        <f>J146-I146+1</f>
        <v>1</v>
      </c>
      <c r="L146" s="127"/>
    </row>
    <row r="147" spans="1:12" customHeight="1" ht="27.6" s="171" customFormat="1">
      <c r="A147" s="127"/>
      <c r="B147" s="129"/>
      <c r="C147" s="172"/>
      <c r="D147" s="173"/>
      <c r="E147" s="173"/>
      <c r="F147" s="126"/>
      <c r="G147" s="125"/>
      <c r="H147" s="125"/>
      <c r="I147" s="202"/>
      <c r="J147" s="202"/>
      <c r="K147" s="127">
        <f>J147-I147+1</f>
        <v>1</v>
      </c>
      <c r="L147" s="127"/>
    </row>
    <row r="148" spans="1:12" customHeight="1" ht="27.6" s="171" customFormat="1">
      <c r="A148" s="127"/>
      <c r="B148" s="129"/>
      <c r="C148" s="172"/>
      <c r="D148" s="173"/>
      <c r="E148" s="173"/>
      <c r="F148" s="126"/>
      <c r="G148" s="125"/>
      <c r="H148" s="125"/>
      <c r="I148" s="202"/>
      <c r="J148" s="202"/>
      <c r="K148" s="127">
        <f>J148-I148+1</f>
        <v>1</v>
      </c>
      <c r="L148" s="127"/>
    </row>
    <row r="149" spans="1:12" customHeight="1" ht="27.6" s="171" customFormat="1">
      <c r="A149" s="127"/>
      <c r="B149" s="129"/>
      <c r="C149" s="172"/>
      <c r="D149" s="173"/>
      <c r="E149" s="173"/>
      <c r="F149" s="126"/>
      <c r="G149" s="125"/>
      <c r="H149" s="125"/>
      <c r="I149" s="202"/>
      <c r="J149" s="202"/>
      <c r="K149" s="127">
        <f>J149-I149+1</f>
        <v>1</v>
      </c>
      <c r="L149" s="127"/>
    </row>
    <row r="150" spans="1:12" customHeight="1" ht="27.6" s="171" customFormat="1">
      <c r="A150" s="127"/>
      <c r="B150" s="129"/>
      <c r="C150" s="172"/>
      <c r="D150" s="173"/>
      <c r="E150" s="173"/>
      <c r="F150" s="126"/>
      <c r="G150" s="125"/>
      <c r="H150" s="125"/>
      <c r="I150" s="202"/>
      <c r="J150" s="202"/>
      <c r="K150" s="127">
        <f>J150-I150+1</f>
        <v>1</v>
      </c>
      <c r="L150" s="127"/>
    </row>
    <row r="151" spans="1:12" customHeight="1" ht="27.6" s="171" customFormat="1">
      <c r="A151" s="127"/>
      <c r="B151" s="129"/>
      <c r="C151" s="172"/>
      <c r="D151" s="173"/>
      <c r="E151" s="173"/>
      <c r="F151" s="126"/>
      <c r="G151" s="125"/>
      <c r="H151" s="125"/>
      <c r="I151" s="202"/>
      <c r="J151" s="202"/>
      <c r="K151" s="127">
        <f>J151-I151+1</f>
        <v>1</v>
      </c>
      <c r="L151" s="127"/>
    </row>
    <row r="152" spans="1:12" customHeight="1" ht="27.6" s="171" customFormat="1">
      <c r="A152" s="127"/>
      <c r="B152" s="129"/>
      <c r="C152" s="172"/>
      <c r="D152" s="173"/>
      <c r="E152" s="173"/>
      <c r="F152" s="126"/>
      <c r="G152" s="125"/>
      <c r="H152" s="125"/>
      <c r="I152" s="202"/>
      <c r="J152" s="202"/>
      <c r="K152" s="127">
        <f>J152-I152+1</f>
        <v>1</v>
      </c>
      <c r="L152" s="127"/>
    </row>
    <row r="153" spans="1:12" customHeight="1" ht="27.6" s="171" customFormat="1">
      <c r="A153" s="127"/>
      <c r="B153" s="129"/>
      <c r="C153" s="172"/>
      <c r="D153" s="173"/>
      <c r="E153" s="173"/>
      <c r="F153" s="126"/>
      <c r="G153" s="125"/>
      <c r="H153" s="125"/>
      <c r="I153" s="202"/>
      <c r="J153" s="202"/>
      <c r="K153" s="127">
        <f>J153-I153+1</f>
        <v>1</v>
      </c>
      <c r="L153" s="127"/>
    </row>
    <row r="154" spans="1:12" customHeight="1" ht="27.6" s="171" customFormat="1">
      <c r="A154" s="127"/>
      <c r="B154" s="129"/>
      <c r="C154" s="172"/>
      <c r="D154" s="173"/>
      <c r="E154" s="173"/>
      <c r="F154" s="126"/>
      <c r="G154" s="125"/>
      <c r="H154" s="125"/>
      <c r="I154" s="202"/>
      <c r="J154" s="202"/>
      <c r="K154" s="127">
        <f>J154-I154+1</f>
        <v>1</v>
      </c>
      <c r="L154" s="127"/>
    </row>
    <row r="155" spans="1:12" customHeight="1" ht="27.6" s="171" customFormat="1">
      <c r="A155" s="127"/>
      <c r="B155" s="129"/>
      <c r="C155" s="172"/>
      <c r="D155" s="173"/>
      <c r="E155" s="173"/>
      <c r="F155" s="126"/>
      <c r="G155" s="125"/>
      <c r="H155" s="125"/>
      <c r="I155" s="202"/>
      <c r="J155" s="202"/>
      <c r="K155" s="127">
        <f>J155-I155+1</f>
        <v>1</v>
      </c>
      <c r="L155" s="127"/>
    </row>
    <row r="156" spans="1:12" customHeight="1" ht="27.6" s="171" customFormat="1">
      <c r="A156" s="127"/>
      <c r="B156" s="129"/>
      <c r="C156" s="172"/>
      <c r="D156" s="173"/>
      <c r="E156" s="173"/>
      <c r="F156" s="126"/>
      <c r="G156" s="125"/>
      <c r="H156" s="125"/>
      <c r="I156" s="202"/>
      <c r="J156" s="202"/>
      <c r="K156" s="127">
        <f>J156-I156+1</f>
        <v>1</v>
      </c>
      <c r="L156" s="127"/>
    </row>
    <row r="157" spans="1:12" customHeight="1" ht="27.6" s="171" customFormat="1">
      <c r="A157" s="127"/>
      <c r="B157" s="129"/>
      <c r="C157" s="172"/>
      <c r="D157" s="173"/>
      <c r="E157" s="173"/>
      <c r="F157" s="126"/>
      <c r="G157" s="125"/>
      <c r="H157" s="125"/>
      <c r="I157" s="202"/>
      <c r="J157" s="202"/>
      <c r="K157" s="127">
        <f>J157-I157+1</f>
        <v>1</v>
      </c>
      <c r="L157" s="127"/>
    </row>
    <row r="158" spans="1:12" customHeight="1" ht="27.6" s="171" customFormat="1">
      <c r="A158" s="127"/>
      <c r="B158" s="129"/>
      <c r="C158" s="172"/>
      <c r="D158" s="173"/>
      <c r="E158" s="173"/>
      <c r="F158" s="126"/>
      <c r="G158" s="125"/>
      <c r="H158" s="125"/>
      <c r="I158" s="202"/>
      <c r="J158" s="202"/>
      <c r="K158" s="127">
        <f>J158-I158+1</f>
        <v>1</v>
      </c>
      <c r="L158" s="127"/>
    </row>
    <row r="159" spans="1:12" customHeight="1" ht="27.6" s="171" customFormat="1">
      <c r="A159" s="127"/>
      <c r="B159" s="129"/>
      <c r="C159" s="172"/>
      <c r="D159" s="173"/>
      <c r="E159" s="173"/>
      <c r="F159" s="126"/>
      <c r="G159" s="125"/>
      <c r="H159" s="125"/>
      <c r="I159" s="202"/>
      <c r="J159" s="202"/>
      <c r="K159" s="127">
        <f>J159-I159+1</f>
        <v>1</v>
      </c>
      <c r="L159" s="127"/>
    </row>
    <row r="160" spans="1:12" customHeight="1" ht="27.6" s="171" customFormat="1">
      <c r="A160" s="127"/>
      <c r="B160" s="129"/>
      <c r="C160" s="172"/>
      <c r="D160" s="173"/>
      <c r="E160" s="173"/>
      <c r="F160" s="126"/>
      <c r="G160" s="125"/>
      <c r="H160" s="125"/>
      <c r="I160" s="202"/>
      <c r="J160" s="202"/>
      <c r="K160" s="127">
        <f>J160-I160+1</f>
        <v>1</v>
      </c>
      <c r="L160" s="127"/>
    </row>
    <row r="161" spans="1:12" customHeight="1" ht="27.6" s="171" customFormat="1">
      <c r="A161" s="127"/>
      <c r="B161" s="129"/>
      <c r="C161" s="172"/>
      <c r="D161" s="173"/>
      <c r="E161" s="173"/>
      <c r="F161" s="126"/>
      <c r="G161" s="125"/>
      <c r="H161" s="125"/>
      <c r="I161" s="202"/>
      <c r="J161" s="202"/>
      <c r="K161" s="127">
        <f>J161-I161+1</f>
        <v>1</v>
      </c>
      <c r="L161" s="127"/>
    </row>
    <row r="162" spans="1:12" customHeight="1" ht="27.6" s="171" customFormat="1">
      <c r="A162" s="127"/>
      <c r="B162" s="129"/>
      <c r="C162" s="172"/>
      <c r="D162" s="173"/>
      <c r="E162" s="173"/>
      <c r="F162" s="126"/>
      <c r="G162" s="125"/>
      <c r="H162" s="125"/>
      <c r="I162" s="202"/>
      <c r="J162" s="202"/>
      <c r="K162" s="127">
        <f>J162-I162+1</f>
        <v>1</v>
      </c>
      <c r="L162" s="127"/>
    </row>
    <row r="163" spans="1:12" customHeight="1" ht="27.6" s="171" customFormat="1">
      <c r="A163" s="127"/>
      <c r="B163" s="129"/>
      <c r="C163" s="172"/>
      <c r="D163" s="173"/>
      <c r="E163" s="173"/>
      <c r="F163" s="126"/>
      <c r="G163" s="125"/>
      <c r="H163" s="125"/>
      <c r="I163" s="202"/>
      <c r="J163" s="202"/>
      <c r="K163" s="127">
        <f>J163-I163+1</f>
        <v>1</v>
      </c>
      <c r="L163" s="127"/>
    </row>
    <row r="164" spans="1:12" customHeight="1" ht="27.6" s="171" customFormat="1">
      <c r="A164" s="127"/>
      <c r="B164" s="129"/>
      <c r="C164" s="172"/>
      <c r="D164" s="173"/>
      <c r="E164" s="173"/>
      <c r="F164" s="126"/>
      <c r="G164" s="125"/>
      <c r="H164" s="125"/>
      <c r="I164" s="202"/>
      <c r="J164" s="202"/>
      <c r="K164" s="127">
        <f>J164-I164+1</f>
        <v>1</v>
      </c>
      <c r="L164" s="127"/>
    </row>
    <row r="165" spans="1:12" customHeight="1" ht="27.6" s="171" customFormat="1">
      <c r="A165" s="127"/>
      <c r="B165" s="129"/>
      <c r="C165" s="172"/>
      <c r="D165" s="173"/>
      <c r="E165" s="173"/>
      <c r="F165" s="126"/>
      <c r="G165" s="125"/>
      <c r="H165" s="125"/>
      <c r="I165" s="202"/>
      <c r="J165" s="202"/>
      <c r="K165" s="127">
        <f>J165-I165+1</f>
        <v>1</v>
      </c>
      <c r="L165" s="127"/>
    </row>
    <row r="166" spans="1:12" customHeight="1" ht="27.6" s="171" customFormat="1">
      <c r="A166" s="127"/>
      <c r="B166" s="129"/>
      <c r="C166" s="172"/>
      <c r="D166" s="173"/>
      <c r="E166" s="173"/>
      <c r="F166" s="126"/>
      <c r="G166" s="125"/>
      <c r="H166" s="125"/>
      <c r="I166" s="202"/>
      <c r="J166" s="202"/>
      <c r="K166" s="127">
        <f>J166-I166+1</f>
        <v>1</v>
      </c>
      <c r="L166" s="127"/>
    </row>
    <row r="167" spans="1:12" customHeight="1" ht="27.6" s="171" customFormat="1">
      <c r="A167" s="127"/>
      <c r="B167" s="129"/>
      <c r="C167" s="172"/>
      <c r="D167" s="173"/>
      <c r="E167" s="173"/>
      <c r="F167" s="126"/>
      <c r="G167" s="125"/>
      <c r="H167" s="125"/>
      <c r="I167" s="202"/>
      <c r="J167" s="202"/>
      <c r="K167" s="127">
        <f>J167-I167+1</f>
        <v>1</v>
      </c>
      <c r="L167" s="127"/>
    </row>
    <row r="168" spans="1:12" customHeight="1" ht="27.6" s="171" customFormat="1">
      <c r="A168" s="127"/>
      <c r="B168" s="129"/>
      <c r="C168" s="172"/>
      <c r="D168" s="173"/>
      <c r="E168" s="173"/>
      <c r="F168" s="126"/>
      <c r="G168" s="125"/>
      <c r="H168" s="125"/>
      <c r="I168" s="202"/>
      <c r="J168" s="202"/>
      <c r="K168" s="127">
        <f>J168-I168+1</f>
        <v>1</v>
      </c>
      <c r="L168" s="127"/>
    </row>
    <row r="169" spans="1:12" customHeight="1" ht="27.6" s="171" customFormat="1">
      <c r="A169" s="127"/>
      <c r="B169" s="129"/>
      <c r="C169" s="172"/>
      <c r="D169" s="173"/>
      <c r="E169" s="173"/>
      <c r="F169" s="126"/>
      <c r="G169" s="125"/>
      <c r="H169" s="125"/>
      <c r="I169" s="202"/>
      <c r="J169" s="202"/>
      <c r="K169" s="127">
        <f>J169-I169+1</f>
        <v>1</v>
      </c>
      <c r="L169" s="127"/>
    </row>
    <row r="170" spans="1:12" customHeight="1" ht="27.6" s="171" customFormat="1">
      <c r="A170" s="127"/>
      <c r="B170" s="129"/>
      <c r="C170" s="172"/>
      <c r="D170" s="173"/>
      <c r="E170" s="173"/>
      <c r="F170" s="126"/>
      <c r="G170" s="125"/>
      <c r="H170" s="125"/>
      <c r="I170" s="202"/>
      <c r="J170" s="202"/>
      <c r="K170" s="127">
        <f>J170-I170+1</f>
        <v>1</v>
      </c>
      <c r="L170" s="127"/>
    </row>
    <row r="171" spans="1:12" customHeight="1" ht="27.6" s="171" customFormat="1">
      <c r="A171" s="127"/>
      <c r="B171" s="129"/>
      <c r="C171" s="172"/>
      <c r="D171" s="173"/>
      <c r="E171" s="173"/>
      <c r="F171" s="126"/>
      <c r="G171" s="125"/>
      <c r="H171" s="125"/>
      <c r="I171" s="202"/>
      <c r="J171" s="202"/>
      <c r="K171" s="127">
        <f>J171-I171+1</f>
        <v>1</v>
      </c>
      <c r="L171" s="127"/>
    </row>
    <row r="172" spans="1:12" customHeight="1" ht="27.6" s="171" customFormat="1">
      <c r="A172" s="127"/>
      <c r="B172" s="129"/>
      <c r="C172" s="172"/>
      <c r="D172" s="173"/>
      <c r="E172" s="173"/>
      <c r="F172" s="126"/>
      <c r="G172" s="125"/>
      <c r="H172" s="125"/>
      <c r="I172" s="202"/>
      <c r="J172" s="202"/>
      <c r="K172" s="127">
        <f>J172-I172+1</f>
        <v>1</v>
      </c>
      <c r="L172" s="127"/>
    </row>
    <row r="173" spans="1:12" customHeight="1" ht="27.6" s="171" customFormat="1">
      <c r="A173" s="127"/>
      <c r="B173" s="129"/>
      <c r="C173" s="172"/>
      <c r="D173" s="173"/>
      <c r="E173" s="173"/>
      <c r="F173" s="126"/>
      <c r="G173" s="125"/>
      <c r="H173" s="125"/>
      <c r="I173" s="202"/>
      <c r="J173" s="202"/>
      <c r="K173" s="127">
        <f>J173-I173+1</f>
        <v>1</v>
      </c>
      <c r="L173" s="127"/>
    </row>
    <row r="174" spans="1:12" customHeight="1" ht="27.6" s="171" customFormat="1">
      <c r="A174" s="127"/>
      <c r="B174" s="129"/>
      <c r="C174" s="172"/>
      <c r="D174" s="173"/>
      <c r="E174" s="173"/>
      <c r="F174" s="126"/>
      <c r="G174" s="125"/>
      <c r="H174" s="125"/>
      <c r="I174" s="202"/>
      <c r="J174" s="202"/>
      <c r="K174" s="127">
        <f>J174-I174+1</f>
        <v>1</v>
      </c>
      <c r="L174" s="127"/>
    </row>
    <row r="175" spans="1:12" customHeight="1" ht="27.6" s="171" customFormat="1">
      <c r="A175" s="127"/>
      <c r="B175" s="129"/>
      <c r="C175" s="172"/>
      <c r="D175" s="173"/>
      <c r="E175" s="173"/>
      <c r="F175" s="126"/>
      <c r="G175" s="125"/>
      <c r="H175" s="125"/>
      <c r="I175" s="202"/>
      <c r="J175" s="202"/>
      <c r="K175" s="127">
        <f>J175-I175+1</f>
        <v>1</v>
      </c>
      <c r="L175" s="127"/>
    </row>
    <row r="176" spans="1:12" customHeight="1" ht="27.6" s="171" customFormat="1">
      <c r="A176" s="127"/>
      <c r="B176" s="129"/>
      <c r="C176" s="172"/>
      <c r="D176" s="173"/>
      <c r="E176" s="173"/>
      <c r="F176" s="126"/>
      <c r="G176" s="125"/>
      <c r="H176" s="125"/>
      <c r="I176" s="202"/>
      <c r="J176" s="202"/>
      <c r="K176" s="127">
        <f>J176-I176+1</f>
        <v>1</v>
      </c>
      <c r="L176" s="127"/>
    </row>
    <row r="177" spans="1:12" customHeight="1" ht="27.6" s="171" customFormat="1">
      <c r="A177" s="127"/>
      <c r="B177" s="129"/>
      <c r="C177" s="172"/>
      <c r="D177" s="173"/>
      <c r="E177" s="173"/>
      <c r="F177" s="126"/>
      <c r="G177" s="125"/>
      <c r="H177" s="125"/>
      <c r="I177" s="202"/>
      <c r="J177" s="202"/>
      <c r="K177" s="127">
        <f>J177-I177+1</f>
        <v>1</v>
      </c>
      <c r="L177" s="127"/>
    </row>
    <row r="178" spans="1:12" customHeight="1" ht="27.6" s="171" customFormat="1">
      <c r="A178" s="127"/>
      <c r="B178" s="129"/>
      <c r="C178" s="172"/>
      <c r="D178" s="173"/>
      <c r="E178" s="173"/>
      <c r="F178" s="126"/>
      <c r="G178" s="125"/>
      <c r="H178" s="125"/>
      <c r="I178" s="202"/>
      <c r="J178" s="202"/>
      <c r="K178" s="127">
        <f>J178-I178+1</f>
        <v>1</v>
      </c>
      <c r="L178" s="127"/>
    </row>
    <row r="179" spans="1:12" customHeight="1" ht="27.6" s="171" customFormat="1">
      <c r="A179" s="127"/>
      <c r="B179" s="129"/>
      <c r="C179" s="172"/>
      <c r="D179" s="173"/>
      <c r="E179" s="173"/>
      <c r="F179" s="126"/>
      <c r="G179" s="125"/>
      <c r="H179" s="125"/>
      <c r="I179" s="202"/>
      <c r="J179" s="202"/>
      <c r="K179" s="127">
        <f>J179-I179+1</f>
        <v>1</v>
      </c>
      <c r="L179" s="127"/>
    </row>
    <row r="180" spans="1:12" customHeight="1" ht="27.6" s="171" customFormat="1">
      <c r="A180" s="127"/>
      <c r="B180" s="129"/>
      <c r="C180" s="172"/>
      <c r="D180" s="173"/>
      <c r="E180" s="173"/>
      <c r="F180" s="126"/>
      <c r="G180" s="125"/>
      <c r="H180" s="125"/>
      <c r="I180" s="202"/>
      <c r="J180" s="202"/>
      <c r="K180" s="127">
        <f>J180-I180+1</f>
        <v>1</v>
      </c>
      <c r="L180" s="127"/>
    </row>
    <row r="181" spans="1:12" customHeight="1" ht="27.6" s="171" customFormat="1">
      <c r="A181" s="127"/>
      <c r="B181" s="129"/>
      <c r="C181" s="172"/>
      <c r="D181" s="173"/>
      <c r="E181" s="173"/>
      <c r="F181" s="126"/>
      <c r="G181" s="125"/>
      <c r="H181" s="125"/>
      <c r="I181" s="202"/>
      <c r="J181" s="202"/>
      <c r="K181" s="127">
        <f>J181-I181+1</f>
        <v>1</v>
      </c>
      <c r="L181" s="127"/>
    </row>
    <row r="182" spans="1:12" customHeight="1" ht="27.6" s="171" customFormat="1">
      <c r="A182" s="127"/>
      <c r="B182" s="129"/>
      <c r="C182" s="172"/>
      <c r="D182" s="173"/>
      <c r="E182" s="173"/>
      <c r="F182" s="126"/>
      <c r="G182" s="125"/>
      <c r="H182" s="125"/>
      <c r="I182" s="202"/>
      <c r="J182" s="202"/>
      <c r="K182" s="127">
        <f>J182-I182+1</f>
        <v>1</v>
      </c>
      <c r="L182" s="127"/>
    </row>
    <row r="183" spans="1:12" customHeight="1" ht="27.6" s="171" customFormat="1">
      <c r="A183" s="127"/>
      <c r="B183" s="129"/>
      <c r="C183" s="172"/>
      <c r="D183" s="173"/>
      <c r="E183" s="173"/>
      <c r="F183" s="126"/>
      <c r="G183" s="125"/>
      <c r="H183" s="125"/>
      <c r="I183" s="202"/>
      <c r="J183" s="202"/>
      <c r="K183" s="127">
        <f>J183-I183+1</f>
        <v>1</v>
      </c>
      <c r="L183" s="127"/>
    </row>
    <row r="184" spans="1:12" customHeight="1" ht="27.6" s="171" customFormat="1">
      <c r="A184" s="127"/>
      <c r="B184" s="129"/>
      <c r="C184" s="172"/>
      <c r="D184" s="173"/>
      <c r="E184" s="173"/>
      <c r="F184" s="126"/>
      <c r="G184" s="125"/>
      <c r="H184" s="125"/>
      <c r="I184" s="202"/>
      <c r="J184" s="202"/>
      <c r="K184" s="127">
        <f>J184-I184+1</f>
        <v>1</v>
      </c>
      <c r="L184" s="127"/>
    </row>
    <row r="185" spans="1:12" customHeight="1" ht="27.6" s="171" customFormat="1">
      <c r="A185" s="127"/>
      <c r="B185" s="129"/>
      <c r="C185" s="172"/>
      <c r="D185" s="173"/>
      <c r="E185" s="173"/>
      <c r="F185" s="126"/>
      <c r="G185" s="125"/>
      <c r="H185" s="125"/>
      <c r="I185" s="202"/>
      <c r="J185" s="202"/>
      <c r="K185" s="127">
        <f>J185-I185+1</f>
        <v>1</v>
      </c>
      <c r="L185" s="127"/>
    </row>
    <row r="186" spans="1:12" customHeight="1" ht="27.6" s="171" customFormat="1">
      <c r="A186" s="127"/>
      <c r="B186" s="129"/>
      <c r="C186" s="172"/>
      <c r="D186" s="173"/>
      <c r="E186" s="173"/>
      <c r="F186" s="126"/>
      <c r="G186" s="125"/>
      <c r="H186" s="125"/>
      <c r="I186" s="202"/>
      <c r="J186" s="202"/>
      <c r="K186" s="127">
        <f>J186-I186+1</f>
        <v>1</v>
      </c>
      <c r="L186" s="127"/>
    </row>
    <row r="187" spans="1:12" customHeight="1" ht="27.6" s="171" customFormat="1">
      <c r="A187" s="127"/>
      <c r="B187" s="129"/>
      <c r="C187" s="172"/>
      <c r="D187" s="173"/>
      <c r="E187" s="173"/>
      <c r="F187" s="126"/>
      <c r="G187" s="125"/>
      <c r="H187" s="125"/>
      <c r="I187" s="202"/>
      <c r="J187" s="202"/>
      <c r="K187" s="127">
        <f>J187-I187+1</f>
        <v>1</v>
      </c>
      <c r="L187" s="127"/>
    </row>
    <row r="188" spans="1:12" customHeight="1" ht="27.6" s="171" customFormat="1">
      <c r="A188" s="127"/>
      <c r="B188" s="129"/>
      <c r="C188" s="172"/>
      <c r="D188" s="173"/>
      <c r="E188" s="173"/>
      <c r="F188" s="126"/>
      <c r="G188" s="125"/>
      <c r="H188" s="125"/>
      <c r="I188" s="202"/>
      <c r="J188" s="202"/>
      <c r="K188" s="127">
        <f>J188-I188+1</f>
        <v>1</v>
      </c>
      <c r="L188" s="127"/>
    </row>
    <row r="189" spans="1:12" customHeight="1" ht="27.6" s="171" customFormat="1">
      <c r="A189" s="127"/>
      <c r="B189" s="129"/>
      <c r="C189" s="172"/>
      <c r="D189" s="173"/>
      <c r="E189" s="173"/>
      <c r="F189" s="126"/>
      <c r="G189" s="125"/>
      <c r="H189" s="125"/>
      <c r="I189" s="202"/>
      <c r="J189" s="202"/>
      <c r="K189" s="127">
        <f>J189-I189+1</f>
        <v>1</v>
      </c>
      <c r="L189" s="127"/>
    </row>
    <row r="190" spans="1:12" customHeight="1" ht="27.6" s="171" customFormat="1">
      <c r="A190" s="127"/>
      <c r="B190" s="129"/>
      <c r="C190" s="172"/>
      <c r="D190" s="173"/>
      <c r="E190" s="173"/>
      <c r="F190" s="126"/>
      <c r="G190" s="125"/>
      <c r="H190" s="125"/>
      <c r="I190" s="202"/>
      <c r="J190" s="202"/>
      <c r="K190" s="127">
        <f>J190-I190+1</f>
        <v>1</v>
      </c>
      <c r="L190" s="127"/>
    </row>
    <row r="191" spans="1:12" customHeight="1" ht="27.6" s="171" customFormat="1">
      <c r="A191" s="127"/>
      <c r="B191" s="129"/>
      <c r="C191" s="172"/>
      <c r="D191" s="173"/>
      <c r="E191" s="173"/>
      <c r="F191" s="126"/>
      <c r="G191" s="125"/>
      <c r="H191" s="125"/>
      <c r="I191" s="202"/>
      <c r="J191" s="202"/>
      <c r="K191" s="127">
        <f>J191-I191+1</f>
        <v>1</v>
      </c>
      <c r="L191" s="127"/>
    </row>
    <row r="192" spans="1:12" customHeight="1" ht="27.6" s="171" customFormat="1">
      <c r="A192" s="127"/>
      <c r="B192" s="129"/>
      <c r="C192" s="172"/>
      <c r="D192" s="173"/>
      <c r="E192" s="173"/>
      <c r="F192" s="126"/>
      <c r="G192" s="125"/>
      <c r="H192" s="125"/>
      <c r="I192" s="202"/>
      <c r="J192" s="202"/>
      <c r="K192" s="127">
        <f>J192-I192+1</f>
        <v>1</v>
      </c>
      <c r="L192" s="127"/>
    </row>
    <row r="193" spans="1:12" customHeight="1" ht="27.6" s="171" customFormat="1">
      <c r="A193" s="127"/>
      <c r="B193" s="129"/>
      <c r="C193" s="172"/>
      <c r="D193" s="173"/>
      <c r="E193" s="173"/>
      <c r="F193" s="126"/>
      <c r="G193" s="125"/>
      <c r="H193" s="125"/>
      <c r="I193" s="202"/>
      <c r="J193" s="202"/>
      <c r="K193" s="127">
        <f>J193-I193+1</f>
        <v>1</v>
      </c>
      <c r="L193" s="127"/>
    </row>
    <row r="194" spans="1:12" customHeight="1" ht="27.6" s="171" customFormat="1">
      <c r="A194" s="127"/>
      <c r="B194" s="129"/>
      <c r="C194" s="172"/>
      <c r="D194" s="173"/>
      <c r="E194" s="173"/>
      <c r="F194" s="126"/>
      <c r="G194" s="125"/>
      <c r="H194" s="125"/>
      <c r="I194" s="202"/>
      <c r="J194" s="202"/>
      <c r="K194" s="127">
        <f>J194-I194+1</f>
        <v>1</v>
      </c>
      <c r="L194" s="127"/>
    </row>
    <row r="195" spans="1:12" customHeight="1" ht="27.6" s="171" customFormat="1">
      <c r="A195" s="127"/>
      <c r="B195" s="129"/>
      <c r="C195" s="172"/>
      <c r="D195" s="173"/>
      <c r="E195" s="173"/>
      <c r="F195" s="126"/>
      <c r="G195" s="125"/>
      <c r="H195" s="125"/>
      <c r="I195" s="202"/>
      <c r="J195" s="202"/>
      <c r="K195" s="127">
        <f>J195-I195+1</f>
        <v>1</v>
      </c>
      <c r="L195" s="127"/>
    </row>
    <row r="196" spans="1:12" customHeight="1" ht="27.6" s="171" customFormat="1">
      <c r="A196" s="127"/>
      <c r="B196" s="129"/>
      <c r="C196" s="172"/>
      <c r="D196" s="173"/>
      <c r="E196" s="173"/>
      <c r="F196" s="126"/>
      <c r="G196" s="125"/>
      <c r="H196" s="125"/>
      <c r="I196" s="202"/>
      <c r="J196" s="202"/>
      <c r="K196" s="127">
        <f>J196-I196+1</f>
        <v>1</v>
      </c>
      <c r="L196" s="127"/>
    </row>
    <row r="197" spans="1:12" customHeight="1" ht="27.6" s="171" customFormat="1">
      <c r="A197" s="127"/>
      <c r="B197" s="129"/>
      <c r="C197" s="172"/>
      <c r="D197" s="173"/>
      <c r="E197" s="173"/>
      <c r="F197" s="126"/>
      <c r="G197" s="125"/>
      <c r="H197" s="125"/>
      <c r="I197" s="202"/>
      <c r="J197" s="202"/>
      <c r="K197" s="127">
        <f>J197-I197+1</f>
        <v>1</v>
      </c>
      <c r="L197" s="127"/>
    </row>
    <row r="198" spans="1:12" customHeight="1" ht="27.6" s="171" customFormat="1">
      <c r="A198" s="127"/>
      <c r="B198" s="129"/>
      <c r="C198" s="172"/>
      <c r="D198" s="173"/>
      <c r="E198" s="173"/>
      <c r="F198" s="126"/>
      <c r="G198" s="125"/>
      <c r="H198" s="125"/>
      <c r="I198" s="202"/>
      <c r="J198" s="202"/>
      <c r="K198" s="127">
        <f>J198-I198+1</f>
        <v>1</v>
      </c>
      <c r="L198" s="127"/>
    </row>
    <row r="199" spans="1:12" customHeight="1" ht="27.6" s="171" customFormat="1">
      <c r="A199" s="127"/>
      <c r="B199" s="129"/>
      <c r="C199" s="172"/>
      <c r="D199" s="173"/>
      <c r="E199" s="173"/>
      <c r="F199" s="126"/>
      <c r="G199" s="125"/>
      <c r="H199" s="125"/>
      <c r="I199" s="202"/>
      <c r="J199" s="202"/>
      <c r="K199" s="127">
        <f>J199-I199+1</f>
        <v>1</v>
      </c>
      <c r="L199" s="127"/>
    </row>
    <row r="200" spans="1:12" customHeight="1" ht="27.6" s="171" customFormat="1">
      <c r="A200" s="127"/>
      <c r="B200" s="129"/>
      <c r="C200" s="172"/>
      <c r="D200" s="173"/>
      <c r="E200" s="173"/>
      <c r="F200" s="126"/>
      <c r="G200" s="125"/>
      <c r="H200" s="125"/>
      <c r="I200" s="202"/>
      <c r="J200" s="202"/>
      <c r="K200" s="127">
        <f>J200-I200+1</f>
        <v>1</v>
      </c>
      <c r="L200" s="127"/>
    </row>
    <row r="201" spans="1:12" customHeight="1" ht="27.6" s="171" customFormat="1">
      <c r="A201" s="127"/>
      <c r="B201" s="129"/>
      <c r="C201" s="172"/>
      <c r="D201" s="173"/>
      <c r="E201" s="173"/>
      <c r="F201" s="126"/>
      <c r="G201" s="125"/>
      <c r="H201" s="125"/>
      <c r="I201" s="202"/>
      <c r="J201" s="202"/>
      <c r="K201" s="127">
        <f>J201-I201+1</f>
        <v>1</v>
      </c>
      <c r="L201" s="127"/>
    </row>
    <row r="202" spans="1:12" customHeight="1" ht="27.6" s="171" customFormat="1">
      <c r="A202" s="127"/>
      <c r="B202" s="129"/>
      <c r="C202" s="172"/>
      <c r="D202" s="173"/>
      <c r="E202" s="173"/>
      <c r="F202" s="126"/>
      <c r="G202" s="125"/>
      <c r="H202" s="125"/>
      <c r="I202" s="202"/>
      <c r="J202" s="202"/>
      <c r="K202" s="127">
        <f>J202-I202+1</f>
        <v>1</v>
      </c>
      <c r="L202" s="127"/>
    </row>
    <row r="203" spans="1:12" customHeight="1" ht="27.6" s="171" customFormat="1">
      <c r="A203" s="127"/>
      <c r="B203" s="129"/>
      <c r="C203" s="172"/>
      <c r="D203" s="173"/>
      <c r="E203" s="173"/>
      <c r="F203" s="126"/>
      <c r="G203" s="125"/>
      <c r="H203" s="125"/>
      <c r="I203" s="202"/>
      <c r="J203" s="202"/>
      <c r="K203" s="127">
        <f>J203-I203+1</f>
        <v>1</v>
      </c>
      <c r="L203" s="127"/>
    </row>
    <row r="204" spans="1:12" customHeight="1" ht="27.6" s="171" customFormat="1">
      <c r="A204" s="127"/>
      <c r="B204" s="129"/>
      <c r="C204" s="172"/>
      <c r="D204" s="173"/>
      <c r="E204" s="173"/>
      <c r="F204" s="126"/>
      <c r="G204" s="125"/>
      <c r="H204" s="125"/>
      <c r="I204" s="202"/>
      <c r="J204" s="202"/>
      <c r="K204" s="127">
        <f>J204-I204+1</f>
        <v>1</v>
      </c>
      <c r="L204" s="127"/>
    </row>
    <row r="205" spans="1:12" customHeight="1" ht="27.6" s="171" customFormat="1">
      <c r="A205" s="127"/>
      <c r="B205" s="129"/>
      <c r="C205" s="172"/>
      <c r="D205" s="173"/>
      <c r="E205" s="173"/>
      <c r="F205" s="126"/>
      <c r="G205" s="125"/>
      <c r="H205" s="125"/>
      <c r="I205" s="202"/>
      <c r="J205" s="202"/>
      <c r="K205" s="127">
        <f>J205-I205+1</f>
        <v>1</v>
      </c>
      <c r="L205" s="127"/>
    </row>
    <row r="206" spans="1:12" customHeight="1" ht="27.6" s="171" customFormat="1">
      <c r="A206" s="127"/>
      <c r="B206" s="129"/>
      <c r="C206" s="172"/>
      <c r="D206" s="173"/>
      <c r="E206" s="173"/>
      <c r="F206" s="126"/>
      <c r="G206" s="125"/>
      <c r="H206" s="125"/>
      <c r="I206" s="202"/>
      <c r="J206" s="202"/>
      <c r="K206" s="127">
        <f>J206-I206+1</f>
        <v>1</v>
      </c>
      <c r="L206" s="127"/>
    </row>
    <row r="207" spans="1:12" customHeight="1" ht="27.6" s="171" customFormat="1">
      <c r="A207" s="127"/>
      <c r="B207" s="129"/>
      <c r="C207" s="172"/>
      <c r="D207" s="173"/>
      <c r="E207" s="173"/>
      <c r="F207" s="126"/>
      <c r="G207" s="125"/>
      <c r="H207" s="125"/>
      <c r="I207" s="202"/>
      <c r="J207" s="202"/>
      <c r="K207" s="127">
        <f>J207-I207+1</f>
        <v>1</v>
      </c>
      <c r="L207" s="127"/>
    </row>
    <row r="208" spans="1:12" customHeight="1" ht="27.6" s="171" customFormat="1">
      <c r="A208" s="127"/>
      <c r="B208" s="129"/>
      <c r="C208" s="172"/>
      <c r="D208" s="173"/>
      <c r="E208" s="173"/>
      <c r="F208" s="126"/>
      <c r="G208" s="125"/>
      <c r="H208" s="125"/>
      <c r="I208" s="202"/>
      <c r="J208" s="202"/>
      <c r="K208" s="127">
        <f>J208-I208+1</f>
        <v>1</v>
      </c>
      <c r="L208" s="127"/>
    </row>
    <row r="209" spans="1:12" customHeight="1" ht="27.6" s="171" customFormat="1">
      <c r="A209" s="127"/>
      <c r="B209" s="129"/>
      <c r="C209" s="172"/>
      <c r="D209" s="173"/>
      <c r="E209" s="173"/>
      <c r="F209" s="126"/>
      <c r="G209" s="125"/>
      <c r="H209" s="125"/>
      <c r="I209" s="202"/>
      <c r="J209" s="202"/>
      <c r="K209" s="127">
        <f>J209-I209+1</f>
        <v>1</v>
      </c>
      <c r="L209" s="127"/>
    </row>
    <row r="210" spans="1:12" customHeight="1" ht="27.6" s="171" customFormat="1">
      <c r="A210" s="127"/>
      <c r="B210" s="129"/>
      <c r="C210" s="172"/>
      <c r="D210" s="173"/>
      <c r="E210" s="173"/>
      <c r="F210" s="126"/>
      <c r="G210" s="125"/>
      <c r="H210" s="125"/>
      <c r="I210" s="202"/>
      <c r="J210" s="202"/>
      <c r="K210" s="127">
        <f>J210-I210+1</f>
        <v>1</v>
      </c>
      <c r="L210" s="127"/>
    </row>
    <row r="211" spans="1:12" customHeight="1" ht="27.6" s="171" customFormat="1">
      <c r="A211" s="127"/>
      <c r="B211" s="129"/>
      <c r="C211" s="172"/>
      <c r="D211" s="173"/>
      <c r="E211" s="173"/>
      <c r="F211" s="126"/>
      <c r="G211" s="125"/>
      <c r="H211" s="125"/>
      <c r="I211" s="202"/>
      <c r="J211" s="202"/>
      <c r="K211" s="127">
        <f>J211-I211+1</f>
        <v>1</v>
      </c>
      <c r="L211" s="127"/>
    </row>
    <row r="212" spans="1:12" customHeight="1" ht="27.6" s="171" customFormat="1">
      <c r="A212" s="127"/>
      <c r="B212" s="129"/>
      <c r="C212" s="172"/>
      <c r="D212" s="173"/>
      <c r="E212" s="173"/>
      <c r="F212" s="126"/>
      <c r="G212" s="125"/>
      <c r="H212" s="125"/>
      <c r="I212" s="202"/>
      <c r="J212" s="202"/>
      <c r="K212" s="127">
        <f>J212-I212+1</f>
        <v>1</v>
      </c>
      <c r="L212" s="127"/>
    </row>
    <row r="213" spans="1:12" customHeight="1" ht="27.6" s="171" customFormat="1">
      <c r="A213" s="127"/>
      <c r="B213" s="129"/>
      <c r="C213" s="172"/>
      <c r="D213" s="173"/>
      <c r="E213" s="173"/>
      <c r="F213" s="126"/>
      <c r="G213" s="125"/>
      <c r="H213" s="125"/>
      <c r="I213" s="202"/>
      <c r="J213" s="202"/>
      <c r="K213" s="127">
        <f>J213-I213+1</f>
        <v>1</v>
      </c>
      <c r="L213" s="127"/>
    </row>
    <row r="214" spans="1:12" customHeight="1" ht="27.6" s="171" customFormat="1">
      <c r="A214" s="127"/>
      <c r="B214" s="129"/>
      <c r="C214" s="172"/>
      <c r="D214" s="173"/>
      <c r="E214" s="173"/>
      <c r="F214" s="126"/>
      <c r="G214" s="125"/>
      <c r="H214" s="125"/>
      <c r="I214" s="202"/>
      <c r="J214" s="202"/>
      <c r="K214" s="127">
        <f>J214-I214+1</f>
        <v>1</v>
      </c>
      <c r="L214" s="127"/>
    </row>
    <row r="215" spans="1:12" customHeight="1" ht="27.6" s="171" customFormat="1">
      <c r="A215" s="127"/>
      <c r="B215" s="129"/>
      <c r="C215" s="172"/>
      <c r="D215" s="173"/>
      <c r="E215" s="173"/>
      <c r="F215" s="126"/>
      <c r="G215" s="125"/>
      <c r="H215" s="125"/>
      <c r="I215" s="202"/>
      <c r="J215" s="202"/>
      <c r="K215" s="127">
        <f>J215-I215+1</f>
        <v>1</v>
      </c>
      <c r="L215" s="127"/>
    </row>
    <row r="216" spans="1:12" customHeight="1" ht="27.6" s="171" customFormat="1">
      <c r="A216" s="127"/>
      <c r="B216" s="129"/>
      <c r="C216" s="172"/>
      <c r="D216" s="173"/>
      <c r="E216" s="173"/>
      <c r="F216" s="126"/>
      <c r="G216" s="125"/>
      <c r="H216" s="125"/>
      <c r="I216" s="202"/>
      <c r="J216" s="202"/>
      <c r="K216" s="127">
        <f>J216-I216+1</f>
        <v>1</v>
      </c>
      <c r="L216" s="127"/>
    </row>
    <row r="217" spans="1:12" customHeight="1" ht="27.6" s="171" customFormat="1">
      <c r="A217" s="127"/>
      <c r="B217" s="129"/>
      <c r="C217" s="172"/>
      <c r="D217" s="173"/>
      <c r="E217" s="173"/>
      <c r="F217" s="126"/>
      <c r="G217" s="125"/>
      <c r="H217" s="125"/>
      <c r="I217" s="202"/>
      <c r="J217" s="202"/>
      <c r="K217" s="127">
        <f>J217-I217+1</f>
        <v>1</v>
      </c>
      <c r="L217" s="127"/>
    </row>
    <row r="218" spans="1:12" customHeight="1" ht="27.6" s="171" customFormat="1">
      <c r="A218" s="127"/>
      <c r="B218" s="129"/>
      <c r="C218" s="172"/>
      <c r="D218" s="173"/>
      <c r="E218" s="173"/>
      <c r="F218" s="126"/>
      <c r="G218" s="125"/>
      <c r="H218" s="125"/>
      <c r="I218" s="202"/>
      <c r="J218" s="202"/>
      <c r="K218" s="127">
        <f>J218-I218+1</f>
        <v>1</v>
      </c>
      <c r="L218" s="127"/>
    </row>
    <row r="219" spans="1:12" customHeight="1" ht="27.6" s="171" customFormat="1">
      <c r="A219" s="127"/>
      <c r="B219" s="129"/>
      <c r="C219" s="172"/>
      <c r="D219" s="173"/>
      <c r="E219" s="173"/>
      <c r="F219" s="126"/>
      <c r="G219" s="125"/>
      <c r="H219" s="125"/>
      <c r="I219" s="202"/>
      <c r="J219" s="202"/>
      <c r="K219" s="127">
        <f>J219-I219+1</f>
        <v>1</v>
      </c>
      <c r="L219" s="127"/>
    </row>
    <row r="220" spans="1:12" customHeight="1" ht="27.6" s="171" customFormat="1">
      <c r="A220" s="127"/>
      <c r="B220" s="129"/>
      <c r="C220" s="172"/>
      <c r="D220" s="173"/>
      <c r="E220" s="173"/>
      <c r="F220" s="126"/>
      <c r="G220" s="125"/>
      <c r="H220" s="125"/>
      <c r="I220" s="202"/>
      <c r="J220" s="202"/>
      <c r="K220" s="127">
        <f>J220-I220+1</f>
        <v>1</v>
      </c>
      <c r="L220" s="127"/>
    </row>
    <row r="221" spans="1:12" customHeight="1" ht="27.6" s="171" customFormat="1">
      <c r="A221" s="127"/>
      <c r="B221" s="129"/>
      <c r="C221" s="172"/>
      <c r="D221" s="173"/>
      <c r="E221" s="173"/>
      <c r="F221" s="126"/>
      <c r="G221" s="125"/>
      <c r="H221" s="125"/>
      <c r="I221" s="202"/>
      <c r="J221" s="202"/>
      <c r="K221" s="127">
        <f>J221-I221+1</f>
        <v>1</v>
      </c>
      <c r="L221" s="127"/>
    </row>
    <row r="222" spans="1:12" customHeight="1" ht="27.6" s="171" customFormat="1">
      <c r="A222" s="127"/>
      <c r="B222" s="129"/>
      <c r="C222" s="172"/>
      <c r="D222" s="173"/>
      <c r="E222" s="173"/>
      <c r="F222" s="126"/>
      <c r="G222" s="125"/>
      <c r="H222" s="125"/>
      <c r="I222" s="202"/>
      <c r="J222" s="202"/>
      <c r="K222" s="127">
        <f>J222-I222+1</f>
        <v>1</v>
      </c>
      <c r="L222" s="127"/>
    </row>
    <row r="223" spans="1:12" customHeight="1" ht="27.6" s="171" customFormat="1">
      <c r="A223" s="127"/>
      <c r="B223" s="129"/>
      <c r="C223" s="172"/>
      <c r="D223" s="173"/>
      <c r="E223" s="173"/>
      <c r="F223" s="126"/>
      <c r="G223" s="125"/>
      <c r="H223" s="125"/>
      <c r="I223" s="202"/>
      <c r="J223" s="202"/>
      <c r="K223" s="127">
        <f>J223-I223+1</f>
        <v>1</v>
      </c>
      <c r="L223" s="127"/>
    </row>
    <row r="224" spans="1:12" customHeight="1" ht="27.6" s="171" customFormat="1">
      <c r="A224" s="127"/>
      <c r="B224" s="129"/>
      <c r="C224" s="172"/>
      <c r="D224" s="173"/>
      <c r="E224" s="173"/>
      <c r="F224" s="126"/>
      <c r="G224" s="125"/>
      <c r="H224" s="125"/>
      <c r="I224" s="202"/>
      <c r="J224" s="202"/>
      <c r="K224" s="127">
        <f>J224-I224+1</f>
        <v>1</v>
      </c>
      <c r="L224" s="127"/>
    </row>
    <row r="225" spans="1:12" customHeight="1" ht="27.6" s="171" customFormat="1">
      <c r="A225" s="127"/>
      <c r="B225" s="129"/>
      <c r="C225" s="172"/>
      <c r="D225" s="173"/>
      <c r="E225" s="173"/>
      <c r="F225" s="126"/>
      <c r="G225" s="125"/>
      <c r="H225" s="125"/>
      <c r="I225" s="202"/>
      <c r="J225" s="202"/>
      <c r="K225" s="127">
        <f>J225-I225+1</f>
        <v>1</v>
      </c>
      <c r="L225" s="127"/>
    </row>
    <row r="226" spans="1:12" customHeight="1" ht="27.6" s="171" customFormat="1">
      <c r="A226" s="127"/>
      <c r="B226" s="129"/>
      <c r="C226" s="172"/>
      <c r="D226" s="173"/>
      <c r="E226" s="173"/>
      <c r="F226" s="126"/>
      <c r="G226" s="125"/>
      <c r="H226" s="125"/>
      <c r="I226" s="202"/>
      <c r="J226" s="202"/>
      <c r="K226" s="127">
        <f>J226-I226+1</f>
        <v>1</v>
      </c>
      <c r="L226" s="127"/>
    </row>
    <row r="227" spans="1:12" customHeight="1" ht="27.6" s="171" customFormat="1">
      <c r="A227" s="127"/>
      <c r="B227" s="129"/>
      <c r="C227" s="172"/>
      <c r="D227" s="173"/>
      <c r="E227" s="173"/>
      <c r="F227" s="126"/>
      <c r="G227" s="125"/>
      <c r="H227" s="125"/>
      <c r="I227" s="202"/>
      <c r="J227" s="202"/>
      <c r="K227" s="127">
        <f>J227-I227+1</f>
        <v>1</v>
      </c>
      <c r="L227" s="127"/>
    </row>
    <row r="228" spans="1:12" customHeight="1" ht="27.6" s="171" customFormat="1">
      <c r="A228" s="127"/>
      <c r="B228" s="129"/>
      <c r="C228" s="172"/>
      <c r="D228" s="173"/>
      <c r="E228" s="173"/>
      <c r="F228" s="126"/>
      <c r="G228" s="125"/>
      <c r="H228" s="125"/>
      <c r="I228" s="202"/>
      <c r="J228" s="202"/>
      <c r="K228" s="127">
        <f>J228-I228+1</f>
        <v>1</v>
      </c>
      <c r="L228" s="127"/>
    </row>
    <row r="229" spans="1:12" customHeight="1" ht="27.6" s="171" customFormat="1">
      <c r="A229" s="127"/>
      <c r="B229" s="129"/>
      <c r="C229" s="172"/>
      <c r="D229" s="173"/>
      <c r="E229" s="173"/>
      <c r="F229" s="126"/>
      <c r="G229" s="125"/>
      <c r="H229" s="125"/>
      <c r="I229" s="202"/>
      <c r="J229" s="202"/>
      <c r="K229" s="127">
        <f>J229-I229+1</f>
        <v>1</v>
      </c>
      <c r="L229" s="127"/>
    </row>
    <row r="230" spans="1:12" customHeight="1" ht="27.6" s="171" customFormat="1">
      <c r="A230" s="127"/>
      <c r="B230" s="129"/>
      <c r="C230" s="172"/>
      <c r="D230" s="173"/>
      <c r="E230" s="173"/>
      <c r="F230" s="126"/>
      <c r="G230" s="125"/>
      <c r="H230" s="125"/>
      <c r="I230" s="202"/>
      <c r="J230" s="202"/>
      <c r="K230" s="127">
        <f>J230-I230+1</f>
        <v>1</v>
      </c>
      <c r="L230" s="127"/>
    </row>
    <row r="231" spans="1:12" customHeight="1" ht="27.6" s="171" customFormat="1">
      <c r="A231" s="127"/>
      <c r="B231" s="129"/>
      <c r="C231" s="172"/>
      <c r="D231" s="173"/>
      <c r="E231" s="173"/>
      <c r="F231" s="126"/>
      <c r="G231" s="125"/>
      <c r="H231" s="125"/>
      <c r="I231" s="202"/>
      <c r="J231" s="202"/>
      <c r="K231" s="127">
        <f>J231-I231+1</f>
        <v>1</v>
      </c>
      <c r="L231" s="127"/>
    </row>
    <row r="232" spans="1:12" customHeight="1" ht="27.6" s="171" customFormat="1">
      <c r="A232" s="127"/>
      <c r="B232" s="129"/>
      <c r="C232" s="172"/>
      <c r="D232" s="173"/>
      <c r="E232" s="173"/>
      <c r="F232" s="126"/>
      <c r="G232" s="125"/>
      <c r="H232" s="125"/>
      <c r="I232" s="202"/>
      <c r="J232" s="202"/>
      <c r="K232" s="127">
        <f>J232-I232+1</f>
        <v>1</v>
      </c>
      <c r="L232" s="127"/>
    </row>
    <row r="233" spans="1:12" customHeight="1" ht="27.6" s="171" customFormat="1">
      <c r="A233" s="127"/>
      <c r="B233" s="129"/>
      <c r="C233" s="172"/>
      <c r="D233" s="173"/>
      <c r="E233" s="173"/>
      <c r="F233" s="126"/>
      <c r="G233" s="125"/>
      <c r="H233" s="125"/>
      <c r="I233" s="202"/>
      <c r="J233" s="202"/>
      <c r="K233" s="127">
        <f>J233-I233+1</f>
        <v>1</v>
      </c>
      <c r="L233" s="127"/>
    </row>
    <row r="234" spans="1:12" customHeight="1" ht="27.6" s="171" customFormat="1">
      <c r="A234" s="127"/>
      <c r="B234" s="129"/>
      <c r="C234" s="172"/>
      <c r="D234" s="173"/>
      <c r="E234" s="173"/>
      <c r="F234" s="126"/>
      <c r="G234" s="125"/>
      <c r="H234" s="125"/>
      <c r="I234" s="202"/>
      <c r="J234" s="202"/>
      <c r="K234" s="127">
        <f>J234-I234+1</f>
        <v>1</v>
      </c>
      <c r="L234" s="127"/>
    </row>
    <row r="235" spans="1:12" customHeight="1" ht="27.6" s="171" customFormat="1">
      <c r="A235" s="127"/>
      <c r="B235" s="129"/>
      <c r="C235" s="172"/>
      <c r="D235" s="173"/>
      <c r="E235" s="173"/>
      <c r="F235" s="126"/>
      <c r="G235" s="125"/>
      <c r="H235" s="125"/>
      <c r="I235" s="202"/>
      <c r="J235" s="202"/>
      <c r="K235" s="127">
        <f>J235-I235+1</f>
        <v>1</v>
      </c>
      <c r="L235" s="127"/>
    </row>
    <row r="236" spans="1:12" customHeight="1" ht="27.6" s="171" customFormat="1">
      <c r="A236" s="127"/>
      <c r="B236" s="129"/>
      <c r="C236" s="172"/>
      <c r="D236" s="173"/>
      <c r="E236" s="173"/>
      <c r="F236" s="126"/>
      <c r="G236" s="125"/>
      <c r="H236" s="125"/>
      <c r="I236" s="202"/>
      <c r="J236" s="202"/>
      <c r="K236" s="127">
        <f>J236-I236+1</f>
        <v>1</v>
      </c>
      <c r="L236" s="127"/>
    </row>
    <row r="237" spans="1:12" customHeight="1" ht="27.6" s="171" customFormat="1">
      <c r="A237" s="127"/>
      <c r="B237" s="129"/>
      <c r="C237" s="172"/>
      <c r="D237" s="173"/>
      <c r="E237" s="173"/>
      <c r="F237" s="126"/>
      <c r="G237" s="125"/>
      <c r="H237" s="125"/>
      <c r="I237" s="202"/>
      <c r="J237" s="202"/>
      <c r="K237" s="127">
        <f>J237-I237+1</f>
        <v>1</v>
      </c>
      <c r="L237" s="127"/>
    </row>
    <row r="238" spans="1:12" customHeight="1" ht="27.6" s="171" customFormat="1">
      <c r="A238" s="127"/>
      <c r="B238" s="129"/>
      <c r="C238" s="172"/>
      <c r="D238" s="173"/>
      <c r="E238" s="173"/>
      <c r="F238" s="126"/>
      <c r="G238" s="125"/>
      <c r="H238" s="125"/>
      <c r="I238" s="202"/>
      <c r="J238" s="202"/>
      <c r="K238" s="127">
        <f>J238-I238+1</f>
        <v>1</v>
      </c>
      <c r="L238" s="127"/>
    </row>
    <row r="239" spans="1:12" customHeight="1" ht="27.6" s="171" customFormat="1">
      <c r="A239" s="127"/>
      <c r="B239" s="129"/>
      <c r="C239" s="172"/>
      <c r="D239" s="173"/>
      <c r="E239" s="173"/>
      <c r="F239" s="126"/>
      <c r="G239" s="125"/>
      <c r="H239" s="125"/>
      <c r="I239" s="202"/>
      <c r="J239" s="202"/>
      <c r="K239" s="127">
        <f>J239-I239+1</f>
        <v>1</v>
      </c>
      <c r="L239" s="127"/>
    </row>
    <row r="240" spans="1:12" customHeight="1" ht="27.6" s="171" customFormat="1">
      <c r="A240" s="127"/>
      <c r="B240" s="129"/>
      <c r="C240" s="172"/>
      <c r="D240" s="173"/>
      <c r="E240" s="173"/>
      <c r="F240" s="126"/>
      <c r="G240" s="125"/>
      <c r="H240" s="125"/>
      <c r="I240" s="172"/>
      <c r="J240" s="172"/>
      <c r="K240" s="127">
        <f>J240-I240+1</f>
        <v>1</v>
      </c>
      <c r="L240" s="127"/>
    </row>
    <row r="241" spans="1:12" customHeight="1" ht="27.6" s="171" customFormat="1">
      <c r="A241" s="127"/>
      <c r="B241" s="129"/>
      <c r="C241" s="172"/>
      <c r="D241" s="173"/>
      <c r="E241" s="173"/>
      <c r="F241" s="126"/>
      <c r="G241" s="125"/>
      <c r="H241" s="125"/>
      <c r="I241" s="172"/>
      <c r="J241" s="172"/>
      <c r="K241" s="127">
        <f>J241-I241+1</f>
        <v>1</v>
      </c>
      <c r="L241" s="127"/>
    </row>
    <row r="242" spans="1:12" customHeight="1" ht="27.6" s="171" customFormat="1">
      <c r="A242" s="127"/>
      <c r="B242" s="129"/>
      <c r="C242" s="172"/>
      <c r="D242" s="173"/>
      <c r="E242" s="173"/>
      <c r="F242" s="126"/>
      <c r="G242" s="125"/>
      <c r="H242" s="125"/>
      <c r="I242" s="172"/>
      <c r="J242" s="172"/>
      <c r="K242" s="127">
        <f>J242-I242+1</f>
        <v>1</v>
      </c>
      <c r="L242" s="127"/>
    </row>
    <row r="243" spans="1:12" customHeight="1" ht="27.6" s="171" customFormat="1">
      <c r="A243" s="127"/>
      <c r="B243" s="129"/>
      <c r="C243" s="172"/>
      <c r="D243" s="173"/>
      <c r="E243" s="173"/>
      <c r="F243" s="126"/>
      <c r="G243" s="125"/>
      <c r="H243" s="125"/>
      <c r="I243" s="172"/>
      <c r="J243" s="172"/>
      <c r="K243" s="127">
        <f>J243-I243+1</f>
        <v>1</v>
      </c>
      <c r="L243" s="127"/>
    </row>
    <row r="244" spans="1:12" customHeight="1" ht="27.6" s="171" customFormat="1">
      <c r="A244" s="127"/>
      <c r="B244" s="129"/>
      <c r="C244" s="172"/>
      <c r="D244" s="173"/>
      <c r="E244" s="173"/>
      <c r="F244" s="126"/>
      <c r="G244" s="125"/>
      <c r="H244" s="125"/>
      <c r="I244" s="172"/>
      <c r="J244" s="172"/>
      <c r="K244" s="127">
        <f>J244-I244+1</f>
        <v>1</v>
      </c>
      <c r="L244" s="127"/>
    </row>
    <row r="245" spans="1:12" customHeight="1" ht="27.6" s="171" customFormat="1">
      <c r="A245" s="127"/>
      <c r="B245" s="129"/>
      <c r="C245" s="172"/>
      <c r="D245" s="173"/>
      <c r="E245" s="173"/>
      <c r="F245" s="126"/>
      <c r="G245" s="125"/>
      <c r="H245" s="125"/>
      <c r="I245" s="172"/>
      <c r="J245" s="172"/>
      <c r="K245" s="127">
        <f>J245-I245+1</f>
        <v>1</v>
      </c>
      <c r="L245" s="127"/>
    </row>
    <row r="246" spans="1:12" customHeight="1" ht="27.6" s="171" customFormat="1">
      <c r="A246" s="127"/>
      <c r="B246" s="129"/>
      <c r="C246" s="172"/>
      <c r="D246" s="173"/>
      <c r="E246" s="173"/>
      <c r="F246" s="126"/>
      <c r="G246" s="125"/>
      <c r="H246" s="125"/>
      <c r="I246" s="172"/>
      <c r="J246" s="172"/>
      <c r="K246" s="127">
        <f>J246-I246+1</f>
        <v>1</v>
      </c>
      <c r="L246" s="127"/>
    </row>
    <row r="247" spans="1:12" customHeight="1" ht="27.6" s="171" customFormat="1">
      <c r="A247" s="127"/>
      <c r="B247" s="129"/>
      <c r="C247" s="172"/>
      <c r="D247" s="173"/>
      <c r="E247" s="173"/>
      <c r="F247" s="126"/>
      <c r="G247" s="125"/>
      <c r="H247" s="125"/>
      <c r="I247" s="172"/>
      <c r="J247" s="172"/>
      <c r="K247" s="127">
        <f>J247-I247+1</f>
        <v>1</v>
      </c>
      <c r="L247" s="127"/>
    </row>
    <row r="248" spans="1:12" customHeight="1" ht="27.6" s="171" customFormat="1">
      <c r="A248" s="127"/>
      <c r="B248" s="129"/>
      <c r="C248" s="172"/>
      <c r="D248" s="173"/>
      <c r="E248" s="173"/>
      <c r="F248" s="126"/>
      <c r="G248" s="125"/>
      <c r="H248" s="125"/>
      <c r="I248" s="172"/>
      <c r="J248" s="172"/>
      <c r="K248" s="127">
        <f>J248-I248+1</f>
        <v>1</v>
      </c>
      <c r="L248" s="127"/>
    </row>
    <row r="249" spans="1:12" customHeight="1" ht="27.6" s="171" customFormat="1">
      <c r="A249" s="127"/>
      <c r="B249" s="129"/>
      <c r="C249" s="172"/>
      <c r="D249" s="173"/>
      <c r="E249" s="173"/>
      <c r="F249" s="126"/>
      <c r="G249" s="125"/>
      <c r="H249" s="125"/>
      <c r="I249" s="172"/>
      <c r="J249" s="172"/>
      <c r="K249" s="127">
        <f>J249-I249+1</f>
        <v>1</v>
      </c>
      <c r="L249" s="127"/>
    </row>
    <row r="250" spans="1:12" customHeight="1" ht="27.6" s="171" customFormat="1">
      <c r="A250" s="127"/>
      <c r="B250" s="129"/>
      <c r="C250" s="172"/>
      <c r="D250" s="173"/>
      <c r="E250" s="173"/>
      <c r="F250" s="126"/>
      <c r="G250" s="125"/>
      <c r="H250" s="125"/>
      <c r="I250" s="172"/>
      <c r="J250" s="172"/>
      <c r="K250" s="127">
        <f>J250-I250+1</f>
        <v>1</v>
      </c>
      <c r="L250" s="127"/>
    </row>
    <row r="251" spans="1:12" customHeight="1" ht="27.6" s="171" customFormat="1">
      <c r="A251" s="127"/>
      <c r="B251" s="129"/>
      <c r="C251" s="172"/>
      <c r="D251" s="173"/>
      <c r="E251" s="173"/>
      <c r="F251" s="126"/>
      <c r="G251" s="125"/>
      <c r="H251" s="125"/>
      <c r="I251" s="172"/>
      <c r="J251" s="172"/>
      <c r="K251" s="127">
        <f>J251-I251+1</f>
        <v>1</v>
      </c>
      <c r="L251" s="127"/>
    </row>
    <row r="252" spans="1:12" customHeight="1" ht="27.6" s="171" customFormat="1">
      <c r="A252" s="127"/>
      <c r="B252" s="129"/>
      <c r="C252" s="172"/>
      <c r="D252" s="173"/>
      <c r="E252" s="173"/>
      <c r="F252" s="126"/>
      <c r="G252" s="125"/>
      <c r="H252" s="125"/>
      <c r="I252" s="172"/>
      <c r="J252" s="172"/>
      <c r="K252" s="127">
        <f>J252-I252+1</f>
        <v>1</v>
      </c>
      <c r="L252" s="127"/>
    </row>
    <row r="253" spans="1:12" customHeight="1" ht="27.6" s="171" customFormat="1">
      <c r="A253" s="127"/>
      <c r="B253" s="129"/>
      <c r="C253" s="172"/>
      <c r="D253" s="173"/>
      <c r="E253" s="173"/>
      <c r="F253" s="126"/>
      <c r="G253" s="125"/>
      <c r="H253" s="125"/>
      <c r="I253" s="172"/>
      <c r="J253" s="172"/>
      <c r="K253" s="127">
        <f>J253-I253+1</f>
        <v>1</v>
      </c>
      <c r="L253" s="127"/>
    </row>
    <row r="254" spans="1:12" customHeight="1" ht="27.6" s="171" customFormat="1">
      <c r="A254" s="127"/>
      <c r="B254" s="129"/>
      <c r="C254" s="172"/>
      <c r="D254" s="173"/>
      <c r="E254" s="173"/>
      <c r="F254" s="126"/>
      <c r="G254" s="125"/>
      <c r="H254" s="125"/>
      <c r="I254" s="172"/>
      <c r="J254" s="172"/>
      <c r="K254" s="127">
        <f>J254-I254+1</f>
        <v>1</v>
      </c>
      <c r="L254" s="127"/>
    </row>
    <row r="255" spans="1:12" customHeight="1" ht="27.6" s="171" customFormat="1">
      <c r="A255" s="127"/>
      <c r="B255" s="129"/>
      <c r="C255" s="172"/>
      <c r="D255" s="173"/>
      <c r="E255" s="173"/>
      <c r="F255" s="126"/>
      <c r="G255" s="125"/>
      <c r="H255" s="125"/>
      <c r="I255" s="172"/>
      <c r="J255" s="172"/>
      <c r="K255" s="127">
        <f>J255-I255+1</f>
        <v>1</v>
      </c>
      <c r="L255" s="127"/>
    </row>
    <row r="256" spans="1:12" customHeight="1" ht="27.6" s="171" customFormat="1">
      <c r="A256" s="127"/>
      <c r="B256" s="129"/>
      <c r="C256" s="172"/>
      <c r="D256" s="173"/>
      <c r="E256" s="173"/>
      <c r="F256" s="126"/>
      <c r="G256" s="125"/>
      <c r="H256" s="125"/>
      <c r="I256" s="172"/>
      <c r="J256" s="172"/>
      <c r="K256" s="127">
        <f>J256-I256+1</f>
        <v>1</v>
      </c>
      <c r="L256" s="127"/>
    </row>
    <row r="257" spans="1:12" customHeight="1" ht="27.6" s="171" customFormat="1">
      <c r="A257" s="127"/>
      <c r="B257" s="129"/>
      <c r="C257" s="172"/>
      <c r="D257" s="173"/>
      <c r="E257" s="173"/>
      <c r="F257" s="126"/>
      <c r="G257" s="125"/>
      <c r="H257" s="125"/>
      <c r="I257" s="172"/>
      <c r="J257" s="172"/>
      <c r="K257" s="127">
        <f>J257-I257+1</f>
        <v>1</v>
      </c>
      <c r="L257" s="127"/>
    </row>
    <row r="258" spans="1:12" customHeight="1" ht="27.6" s="171" customFormat="1">
      <c r="A258" s="127"/>
      <c r="B258" s="129"/>
      <c r="C258" s="172"/>
      <c r="D258" s="173"/>
      <c r="E258" s="173"/>
      <c r="F258" s="126"/>
      <c r="G258" s="125"/>
      <c r="H258" s="125"/>
      <c r="I258" s="172"/>
      <c r="J258" s="172"/>
      <c r="K258" s="127">
        <f>J258-I258+1</f>
        <v>1</v>
      </c>
      <c r="L258" s="127"/>
    </row>
    <row r="259" spans="1:12" customHeight="1" ht="27.6" s="171" customFormat="1">
      <c r="A259" s="127"/>
      <c r="B259" s="129"/>
      <c r="C259" s="172"/>
      <c r="D259" s="173"/>
      <c r="E259" s="173"/>
      <c r="F259" s="126"/>
      <c r="G259" s="125"/>
      <c r="H259" s="125"/>
      <c r="I259" s="172"/>
      <c r="J259" s="172"/>
      <c r="K259" s="127">
        <f>J259-I259+1</f>
        <v>1</v>
      </c>
      <c r="L259" s="127"/>
    </row>
    <row r="260" spans="1:12" customHeight="1" ht="27.6" s="171" customFormat="1">
      <c r="A260" s="127"/>
      <c r="B260" s="129"/>
      <c r="C260" s="172"/>
      <c r="D260" s="173"/>
      <c r="E260" s="173"/>
      <c r="F260" s="126"/>
      <c r="G260" s="125"/>
      <c r="H260" s="125"/>
      <c r="I260" s="172"/>
      <c r="J260" s="172"/>
      <c r="K260" s="127">
        <f>J260-I260+1</f>
        <v>1</v>
      </c>
      <c r="L260" s="127"/>
    </row>
    <row r="261" spans="1:12" customHeight="1" ht="27.6" s="171" customFormat="1">
      <c r="A261" s="127"/>
      <c r="B261" s="129"/>
      <c r="C261" s="172"/>
      <c r="D261" s="173"/>
      <c r="E261" s="173"/>
      <c r="F261" s="126"/>
      <c r="G261" s="125"/>
      <c r="H261" s="125"/>
      <c r="I261" s="172"/>
      <c r="J261" s="172"/>
      <c r="K261" s="127">
        <f>J261-I261+1</f>
        <v>1</v>
      </c>
      <c r="L261" s="127"/>
    </row>
    <row r="262" spans="1:12" customHeight="1" ht="27.6" s="171" customFormat="1">
      <c r="A262" s="127"/>
      <c r="B262" s="129"/>
      <c r="C262" s="172"/>
      <c r="D262" s="173"/>
      <c r="E262" s="173"/>
      <c r="F262" s="126"/>
      <c r="G262" s="125"/>
      <c r="H262" s="125"/>
      <c r="I262" s="172"/>
      <c r="J262" s="172"/>
      <c r="K262" s="127">
        <f>J262-I262+1</f>
        <v>1</v>
      </c>
      <c r="L262" s="127"/>
    </row>
    <row r="263" spans="1:12" customHeight="1" ht="27.6" s="171" customFormat="1">
      <c r="A263" s="127"/>
      <c r="B263" s="129"/>
      <c r="C263" s="172"/>
      <c r="D263" s="173"/>
      <c r="E263" s="173"/>
      <c r="F263" s="126"/>
      <c r="G263" s="125"/>
      <c r="H263" s="125"/>
      <c r="I263" s="172"/>
      <c r="J263" s="172"/>
      <c r="K263" s="127">
        <f>J263-I263+1</f>
        <v>1</v>
      </c>
      <c r="L263" s="127"/>
    </row>
    <row r="264" spans="1:12" customHeight="1" ht="27.6" s="171" customFormat="1">
      <c r="A264" s="127"/>
      <c r="B264" s="129"/>
      <c r="C264" s="172"/>
      <c r="D264" s="173"/>
      <c r="E264" s="173"/>
      <c r="F264" s="126"/>
      <c r="G264" s="125"/>
      <c r="H264" s="125"/>
      <c r="I264" s="172"/>
      <c r="J264" s="172"/>
      <c r="K264" s="127">
        <f>J264-I264+1</f>
        <v>1</v>
      </c>
      <c r="L264" s="127"/>
    </row>
    <row r="265" spans="1:12" customHeight="1" ht="27.6" s="171" customFormat="1">
      <c r="A265" s="127"/>
      <c r="B265" s="129"/>
      <c r="C265" s="172"/>
      <c r="D265" s="173"/>
      <c r="E265" s="173"/>
      <c r="F265" s="126"/>
      <c r="G265" s="125"/>
      <c r="H265" s="125"/>
      <c r="I265" s="172"/>
      <c r="J265" s="172"/>
      <c r="K265" s="127">
        <f>J265-I265+1</f>
        <v>1</v>
      </c>
      <c r="L265" s="127"/>
    </row>
    <row r="266" spans="1:12" customHeight="1" ht="27.6" s="171" customFormat="1">
      <c r="A266" s="127"/>
      <c r="B266" s="129"/>
      <c r="C266" s="172"/>
      <c r="D266" s="173"/>
      <c r="E266" s="173"/>
      <c r="F266" s="126"/>
      <c r="G266" s="125"/>
      <c r="H266" s="125"/>
      <c r="I266" s="172"/>
      <c r="J266" s="172"/>
      <c r="K266" s="127">
        <f>J266-I266+1</f>
        <v>1</v>
      </c>
      <c r="L266" s="127"/>
    </row>
    <row r="267" spans="1:12" customHeight="1" ht="27.6" s="171" customFormat="1">
      <c r="A267" s="127"/>
      <c r="B267" s="129"/>
      <c r="C267" s="172"/>
      <c r="D267" s="173"/>
      <c r="E267" s="173"/>
      <c r="F267" s="126"/>
      <c r="G267" s="125"/>
      <c r="H267" s="125"/>
      <c r="I267" s="172"/>
      <c r="J267" s="172"/>
      <c r="K267" s="127">
        <f>J267-I267+1</f>
        <v>1</v>
      </c>
      <c r="L267" s="127"/>
    </row>
    <row r="268" spans="1:12" customHeight="1" ht="27.6" s="171" customFormat="1">
      <c r="A268" s="127"/>
      <c r="B268" s="129"/>
      <c r="C268" s="172"/>
      <c r="D268" s="173"/>
      <c r="E268" s="173"/>
      <c r="F268" s="126"/>
      <c r="G268" s="125"/>
      <c r="H268" s="125"/>
      <c r="I268" s="172"/>
      <c r="J268" s="172"/>
      <c r="K268" s="127">
        <f>J268-I268+1</f>
        <v>1</v>
      </c>
      <c r="L268" s="127"/>
    </row>
    <row r="269" spans="1:12" customHeight="1" ht="27.6" s="171" customFormat="1">
      <c r="A269" s="127"/>
      <c r="B269" s="129"/>
      <c r="C269" s="172"/>
      <c r="D269" s="173"/>
      <c r="E269" s="173"/>
      <c r="F269" s="126"/>
      <c r="G269" s="125"/>
      <c r="H269" s="125"/>
      <c r="I269" s="172"/>
      <c r="J269" s="172"/>
      <c r="K269" s="127">
        <f>J269-I269+1</f>
        <v>1</v>
      </c>
      <c r="L269" s="127"/>
    </row>
    <row r="270" spans="1:12" customHeight="1" ht="27.6" s="171" customFormat="1">
      <c r="A270" s="127"/>
      <c r="B270" s="129"/>
      <c r="C270" s="172"/>
      <c r="D270" s="173"/>
      <c r="E270" s="173"/>
      <c r="F270" s="126"/>
      <c r="G270" s="125"/>
      <c r="H270" s="125"/>
      <c r="I270" s="172"/>
      <c r="J270" s="172"/>
      <c r="K270" s="127">
        <f>J270-I270+1</f>
        <v>1</v>
      </c>
      <c r="L270" s="127"/>
    </row>
    <row r="271" spans="1:12" customHeight="1" ht="27.6" s="171" customFormat="1">
      <c r="A271" s="127"/>
      <c r="B271" s="129"/>
      <c r="C271" s="172"/>
      <c r="D271" s="173"/>
      <c r="E271" s="173"/>
      <c r="F271" s="126"/>
      <c r="G271" s="125"/>
      <c r="H271" s="125"/>
      <c r="I271" s="172"/>
      <c r="J271" s="172"/>
      <c r="K271" s="127">
        <f>J271-I271+1</f>
        <v>1</v>
      </c>
      <c r="L271" s="127"/>
    </row>
    <row r="272" spans="1:12" customHeight="1" ht="27.6" s="171" customFormat="1">
      <c r="A272" s="127"/>
      <c r="B272" s="129"/>
      <c r="C272" s="172"/>
      <c r="D272" s="173"/>
      <c r="E272" s="173"/>
      <c r="F272" s="126"/>
      <c r="G272" s="125"/>
      <c r="H272" s="125"/>
      <c r="I272" s="172"/>
      <c r="J272" s="172"/>
      <c r="K272" s="127">
        <f>J272-I272+1</f>
        <v>1</v>
      </c>
      <c r="L272" s="127"/>
    </row>
    <row r="273" spans="1:12" customHeight="1" ht="27.6" s="171" customFormat="1">
      <c r="A273" s="127"/>
      <c r="B273" s="129"/>
      <c r="C273" s="172"/>
      <c r="D273" s="173"/>
      <c r="E273" s="173"/>
      <c r="F273" s="126"/>
      <c r="G273" s="125"/>
      <c r="H273" s="125"/>
      <c r="I273" s="172"/>
      <c r="J273" s="172"/>
      <c r="K273" s="127">
        <f>J273-I273+1</f>
        <v>1</v>
      </c>
      <c r="L273" s="127"/>
    </row>
    <row r="274" spans="1:12" customHeight="1" ht="27.6" s="171" customFormat="1">
      <c r="A274" s="127"/>
      <c r="B274" s="129"/>
      <c r="C274" s="172"/>
      <c r="D274" s="173"/>
      <c r="E274" s="173"/>
      <c r="F274" s="126"/>
      <c r="G274" s="125"/>
      <c r="H274" s="125"/>
      <c r="I274" s="172"/>
      <c r="J274" s="172"/>
      <c r="K274" s="127">
        <f>J274-I274+1</f>
        <v>1</v>
      </c>
      <c r="L274" s="127"/>
    </row>
    <row r="275" spans="1:12" customHeight="1" ht="27.6" s="171" customFormat="1">
      <c r="A275" s="127"/>
      <c r="B275" s="129"/>
      <c r="C275" s="172"/>
      <c r="D275" s="173"/>
      <c r="E275" s="173"/>
      <c r="F275" s="126"/>
      <c r="G275" s="125"/>
      <c r="H275" s="125"/>
      <c r="I275" s="172"/>
      <c r="J275" s="172"/>
      <c r="K275" s="127">
        <f>J275-I275+1</f>
        <v>1</v>
      </c>
      <c r="L275" s="127"/>
    </row>
    <row r="276" spans="1:12" customHeight="1" ht="27.6" s="171" customFormat="1">
      <c r="A276" s="127"/>
      <c r="B276" s="129"/>
      <c r="C276" s="172"/>
      <c r="D276" s="173"/>
      <c r="E276" s="173"/>
      <c r="F276" s="126"/>
      <c r="G276" s="125"/>
      <c r="H276" s="125"/>
      <c r="I276" s="172"/>
      <c r="J276" s="172"/>
      <c r="K276" s="127">
        <f>J276-I276+1</f>
        <v>1</v>
      </c>
      <c r="L276" s="127"/>
    </row>
    <row r="277" spans="1:12" customHeight="1" ht="27.6" s="171" customFormat="1">
      <c r="A277" s="127"/>
      <c r="B277" s="129"/>
      <c r="C277" s="172"/>
      <c r="D277" s="173"/>
      <c r="E277" s="173"/>
      <c r="F277" s="126"/>
      <c r="G277" s="125"/>
      <c r="H277" s="125"/>
      <c r="I277" s="172"/>
      <c r="J277" s="172"/>
      <c r="K277" s="127">
        <f>J277-I277+1</f>
        <v>1</v>
      </c>
      <c r="L277" s="127"/>
    </row>
    <row r="278" spans="1:12" customHeight="1" ht="27.6" s="171" customFormat="1">
      <c r="A278" s="127"/>
      <c r="B278" s="129"/>
      <c r="C278" s="172"/>
      <c r="D278" s="173"/>
      <c r="E278" s="173"/>
      <c r="F278" s="126"/>
      <c r="G278" s="125"/>
      <c r="H278" s="125"/>
      <c r="I278" s="172"/>
      <c r="J278" s="172"/>
      <c r="K278" s="127">
        <f>J278-I278+1</f>
        <v>1</v>
      </c>
      <c r="L278" s="127"/>
    </row>
    <row r="279" spans="1:12" customHeight="1" ht="27.6" s="171" customFormat="1">
      <c r="A279" s="127"/>
      <c r="B279" s="129"/>
      <c r="C279" s="172"/>
      <c r="D279" s="173"/>
      <c r="E279" s="173"/>
      <c r="F279" s="126"/>
      <c r="G279" s="125"/>
      <c r="H279" s="125"/>
      <c r="I279" s="172"/>
      <c r="J279" s="172"/>
      <c r="K279" s="127">
        <f>J279-I279+1</f>
        <v>1</v>
      </c>
      <c r="L279" s="127"/>
    </row>
    <row r="280" spans="1:12" customHeight="1" ht="27.6" s="171" customFormat="1">
      <c r="A280" s="127"/>
      <c r="B280" s="129"/>
      <c r="C280" s="172"/>
      <c r="D280" s="173"/>
      <c r="E280" s="173"/>
      <c r="F280" s="126"/>
      <c r="G280" s="125"/>
      <c r="H280" s="125"/>
      <c r="I280" s="172"/>
      <c r="J280" s="172"/>
      <c r="K280" s="127">
        <f>J280-I280+1</f>
        <v>1</v>
      </c>
      <c r="L280" s="127"/>
    </row>
    <row r="281" spans="1:12" customHeight="1" ht="27.6" s="171" customFormat="1">
      <c r="A281" s="127"/>
      <c r="B281" s="129"/>
      <c r="C281" s="172"/>
      <c r="D281" s="173"/>
      <c r="E281" s="173"/>
      <c r="F281" s="126"/>
      <c r="G281" s="125"/>
      <c r="H281" s="125"/>
      <c r="I281" s="172"/>
      <c r="J281" s="172"/>
      <c r="K281" s="127">
        <f>J281-I281+1</f>
        <v>1</v>
      </c>
      <c r="L281" s="127"/>
    </row>
    <row r="282" spans="1:12" customHeight="1" ht="27.6" s="171" customFormat="1">
      <c r="A282" s="127"/>
      <c r="B282" s="129"/>
      <c r="C282" s="172"/>
      <c r="D282" s="173"/>
      <c r="E282" s="173"/>
      <c r="F282" s="126"/>
      <c r="G282" s="125"/>
      <c r="H282" s="125"/>
      <c r="I282" s="172"/>
      <c r="J282" s="172"/>
      <c r="K282" s="127">
        <f>J282-I282+1</f>
        <v>1</v>
      </c>
      <c r="L282" s="127"/>
    </row>
    <row r="283" spans="1:12" customHeight="1" ht="27.6" s="171" customFormat="1">
      <c r="A283" s="127"/>
      <c r="B283" s="129"/>
      <c r="C283" s="172"/>
      <c r="D283" s="173"/>
      <c r="E283" s="173"/>
      <c r="F283" s="126"/>
      <c r="G283" s="125"/>
      <c r="H283" s="125"/>
      <c r="I283" s="172"/>
      <c r="J283" s="172"/>
      <c r="K283" s="127">
        <f>J283-I283+1</f>
        <v>1</v>
      </c>
      <c r="L283" s="127"/>
    </row>
    <row r="284" spans="1:12" customHeight="1" ht="27.6" s="171" customFormat="1">
      <c r="A284" s="127"/>
      <c r="B284" s="129"/>
      <c r="C284" s="172"/>
      <c r="D284" s="173"/>
      <c r="E284" s="173"/>
      <c r="F284" s="126"/>
      <c r="G284" s="125"/>
      <c r="H284" s="125"/>
      <c r="I284" s="172"/>
      <c r="J284" s="172"/>
      <c r="K284" s="127">
        <f>J284-I284+1</f>
        <v>1</v>
      </c>
      <c r="L284" s="127"/>
    </row>
    <row r="285" spans="1:12" customHeight="1" ht="27.6" s="171" customFormat="1">
      <c r="A285" s="127"/>
      <c r="B285" s="129"/>
      <c r="C285" s="172"/>
      <c r="D285" s="173"/>
      <c r="E285" s="173"/>
      <c r="F285" s="126"/>
      <c r="G285" s="125"/>
      <c r="H285" s="125"/>
      <c r="I285" s="172"/>
      <c r="J285" s="172"/>
      <c r="K285" s="127">
        <f>J285-I285+1</f>
        <v>1</v>
      </c>
      <c r="L285" s="127"/>
    </row>
    <row r="286" spans="1:12" customHeight="1" ht="27.6" s="171" customFormat="1">
      <c r="A286" s="127"/>
      <c r="B286" s="129"/>
      <c r="C286" s="172"/>
      <c r="D286" s="173"/>
      <c r="E286" s="173"/>
      <c r="F286" s="126"/>
      <c r="G286" s="125"/>
      <c r="H286" s="125"/>
      <c r="I286" s="172"/>
      <c r="J286" s="172"/>
      <c r="K286" s="127">
        <f>J286-I286+1</f>
        <v>1</v>
      </c>
      <c r="L286" s="127"/>
    </row>
    <row r="287" spans="1:12" customHeight="1" ht="27.6" s="171" customFormat="1">
      <c r="A287" s="127"/>
      <c r="B287" s="129"/>
      <c r="C287" s="172"/>
      <c r="D287" s="173"/>
      <c r="E287" s="173"/>
      <c r="F287" s="126"/>
      <c r="G287" s="125"/>
      <c r="H287" s="125"/>
      <c r="I287" s="172"/>
      <c r="J287" s="172"/>
      <c r="K287" s="127">
        <f>J287-I287+1</f>
        <v>1</v>
      </c>
      <c r="L287" s="127"/>
    </row>
    <row r="288" spans="1:12" customHeight="1" ht="27.6" s="171" customFormat="1">
      <c r="A288" s="127"/>
      <c r="B288" s="129"/>
      <c r="C288" s="172"/>
      <c r="D288" s="173"/>
      <c r="E288" s="173"/>
      <c r="F288" s="126"/>
      <c r="G288" s="125"/>
      <c r="H288" s="125"/>
      <c r="I288" s="172"/>
      <c r="J288" s="172"/>
      <c r="K288" s="127">
        <f>J288-I288+1</f>
        <v>1</v>
      </c>
      <c r="L288" s="127"/>
    </row>
    <row r="289" spans="1:12" customHeight="1" ht="27.6" s="171" customFormat="1">
      <c r="A289" s="127"/>
      <c r="B289" s="129"/>
      <c r="C289" s="172"/>
      <c r="D289" s="173"/>
      <c r="E289" s="173"/>
      <c r="F289" s="126"/>
      <c r="G289" s="125"/>
      <c r="H289" s="125"/>
      <c r="I289" s="172"/>
      <c r="J289" s="172"/>
      <c r="K289" s="127">
        <f>J289-I289+1</f>
        <v>1</v>
      </c>
      <c r="L289" s="127"/>
    </row>
    <row r="290" spans="1:12" customHeight="1" ht="27.6" s="171" customFormat="1">
      <c r="A290" s="127"/>
      <c r="B290" s="129"/>
      <c r="C290" s="172"/>
      <c r="D290" s="173"/>
      <c r="E290" s="173"/>
      <c r="F290" s="126"/>
      <c r="G290" s="125"/>
      <c r="H290" s="125"/>
      <c r="I290" s="172"/>
      <c r="J290" s="172"/>
      <c r="K290" s="127">
        <f>J290-I290+1</f>
        <v>1</v>
      </c>
      <c r="L290" s="127"/>
    </row>
    <row r="291" spans="1:12" customHeight="1" ht="27.6" s="171" customFormat="1">
      <c r="A291" s="127"/>
      <c r="B291" s="129"/>
      <c r="C291" s="172"/>
      <c r="D291" s="173"/>
      <c r="E291" s="173"/>
      <c r="F291" s="126"/>
      <c r="G291" s="125"/>
      <c r="H291" s="125"/>
      <c r="I291" s="172"/>
      <c r="J291" s="172"/>
      <c r="K291" s="127">
        <f>J291-I291+1</f>
        <v>1</v>
      </c>
      <c r="L291" s="127"/>
    </row>
    <row r="292" spans="1:12" customHeight="1" ht="27.6" s="171" customFormat="1">
      <c r="A292" s="127"/>
      <c r="B292" s="129"/>
      <c r="C292" s="172"/>
      <c r="D292" s="173"/>
      <c r="E292" s="173"/>
      <c r="F292" s="126"/>
      <c r="G292" s="125"/>
      <c r="H292" s="125"/>
      <c r="I292" s="172"/>
      <c r="J292" s="172"/>
      <c r="K292" s="127">
        <f>J292-I292+1</f>
        <v>1</v>
      </c>
      <c r="L292" s="127"/>
    </row>
    <row r="293" spans="1:12" customHeight="1" ht="27.6" s="171" customFormat="1">
      <c r="A293" s="127"/>
      <c r="B293" s="129"/>
      <c r="C293" s="172"/>
      <c r="D293" s="173"/>
      <c r="E293" s="173"/>
      <c r="F293" s="126"/>
      <c r="G293" s="125"/>
      <c r="H293" s="125"/>
      <c r="I293" s="172"/>
      <c r="J293" s="172"/>
      <c r="K293" s="127">
        <f>J293-I293+1</f>
        <v>1</v>
      </c>
      <c r="L293" s="127"/>
    </row>
    <row r="294" spans="1:12" customHeight="1" ht="27.6" s="171" customFormat="1">
      <c r="A294" s="127"/>
      <c r="B294" s="129"/>
      <c r="C294" s="172"/>
      <c r="D294" s="173"/>
      <c r="E294" s="173"/>
      <c r="F294" s="126"/>
      <c r="G294" s="125"/>
      <c r="H294" s="125"/>
      <c r="I294" s="172"/>
      <c r="J294" s="172"/>
      <c r="K294" s="127">
        <f>J294-I294+1</f>
        <v>1</v>
      </c>
      <c r="L294" s="127"/>
    </row>
    <row r="295" spans="1:12" customHeight="1" ht="27.6" s="171" customFormat="1">
      <c r="A295" s="127"/>
      <c r="B295" s="129"/>
      <c r="C295" s="172"/>
      <c r="D295" s="173"/>
      <c r="E295" s="173"/>
      <c r="F295" s="126"/>
      <c r="G295" s="125"/>
      <c r="H295" s="125"/>
      <c r="I295" s="172"/>
      <c r="J295" s="172"/>
      <c r="K295" s="127">
        <f>J295-I295+1</f>
        <v>1</v>
      </c>
      <c r="L295" s="127"/>
    </row>
    <row r="296" spans="1:12" customHeight="1" ht="27.6" s="171" customFormat="1">
      <c r="A296" s="127"/>
      <c r="B296" s="129"/>
      <c r="C296" s="172"/>
      <c r="D296" s="173"/>
      <c r="E296" s="173"/>
      <c r="F296" s="126"/>
      <c r="G296" s="125"/>
      <c r="H296" s="125"/>
      <c r="I296" s="172"/>
      <c r="J296" s="172"/>
      <c r="K296" s="127">
        <f>J296-I296+1</f>
        <v>1</v>
      </c>
      <c r="L296" s="127"/>
    </row>
    <row r="297" spans="1:12" customHeight="1" ht="27.6" s="171" customFormat="1">
      <c r="A297" s="127"/>
      <c r="B297" s="129"/>
      <c r="C297" s="172"/>
      <c r="D297" s="173"/>
      <c r="E297" s="173"/>
      <c r="F297" s="126"/>
      <c r="G297" s="125"/>
      <c r="H297" s="125"/>
      <c r="I297" s="172"/>
      <c r="J297" s="172"/>
      <c r="K297" s="127">
        <f>J297-I297+1</f>
        <v>1</v>
      </c>
      <c r="L297" s="127"/>
    </row>
    <row r="298" spans="1:12" customHeight="1" ht="27.6" s="171" customFormat="1">
      <c r="A298" s="127"/>
      <c r="B298" s="129"/>
      <c r="C298" s="172"/>
      <c r="D298" s="173"/>
      <c r="E298" s="173"/>
      <c r="F298" s="126"/>
      <c r="G298" s="125"/>
      <c r="H298" s="125"/>
      <c r="I298" s="172"/>
      <c r="J298" s="172"/>
      <c r="K298" s="127">
        <f>J298-I298+1</f>
        <v>1</v>
      </c>
      <c r="L298" s="127"/>
    </row>
    <row r="299" spans="1:12" customHeight="1" ht="27.6" s="171" customFormat="1">
      <c r="A299" s="127"/>
      <c r="B299" s="129"/>
      <c r="C299" s="172"/>
      <c r="D299" s="173"/>
      <c r="E299" s="173"/>
      <c r="F299" s="126"/>
      <c r="G299" s="125"/>
      <c r="H299" s="125"/>
      <c r="I299" s="172"/>
      <c r="J299" s="172"/>
      <c r="K299" s="127">
        <f>J299-I299+1</f>
        <v>1</v>
      </c>
      <c r="L299" s="127"/>
    </row>
    <row r="300" spans="1:12" customHeight="1" ht="27.6" s="171" customFormat="1">
      <c r="A300" s="127"/>
      <c r="B300" s="129"/>
      <c r="C300" s="172"/>
      <c r="D300" s="173"/>
      <c r="E300" s="173"/>
      <c r="F300" s="126"/>
      <c r="G300" s="125"/>
      <c r="H300" s="125"/>
      <c r="I300" s="172"/>
      <c r="J300" s="172"/>
      <c r="K300" s="127">
        <f>J300-I300+1</f>
        <v>1</v>
      </c>
      <c r="L300" s="127"/>
    </row>
    <row r="301" spans="1:12" customHeight="1" ht="27.6" s="171" customFormat="1">
      <c r="A301" s="127"/>
      <c r="B301" s="129"/>
      <c r="C301" s="172"/>
      <c r="D301" s="173"/>
      <c r="E301" s="173"/>
      <c r="F301" s="126"/>
      <c r="G301" s="125"/>
      <c r="H301" s="125"/>
      <c r="I301" s="172"/>
      <c r="J301" s="172"/>
      <c r="K301" s="127">
        <f>J301-I301+1</f>
        <v>1</v>
      </c>
      <c r="L301" s="127"/>
    </row>
    <row r="302" spans="1:12" customHeight="1" ht="27.6" s="171" customFormat="1">
      <c r="A302" s="127"/>
      <c r="B302" s="129"/>
      <c r="C302" s="172"/>
      <c r="D302" s="173"/>
      <c r="E302" s="173"/>
      <c r="F302" s="126"/>
      <c r="G302" s="125"/>
      <c r="H302" s="125"/>
      <c r="I302" s="172"/>
      <c r="J302" s="172"/>
      <c r="K302" s="127">
        <f>J302-I302+1</f>
        <v>1</v>
      </c>
      <c r="L302" s="127"/>
    </row>
    <row r="303" spans="1:12" customHeight="1" ht="27.6" s="171" customFormat="1">
      <c r="A303" s="127"/>
      <c r="B303" s="129"/>
      <c r="C303" s="172"/>
      <c r="D303" s="173"/>
      <c r="E303" s="173"/>
      <c r="F303" s="126"/>
      <c r="G303" s="125"/>
      <c r="H303" s="125"/>
      <c r="I303" s="172"/>
      <c r="J303" s="172"/>
      <c r="K303" s="127">
        <f>J303-I303+1</f>
        <v>1</v>
      </c>
      <c r="L303" s="127"/>
    </row>
    <row r="304" spans="1:12" customHeight="1" ht="27.6" s="171" customFormat="1">
      <c r="A304" s="127"/>
      <c r="B304" s="129"/>
      <c r="C304" s="172"/>
      <c r="D304" s="173"/>
      <c r="E304" s="173"/>
      <c r="F304" s="126"/>
      <c r="G304" s="125"/>
      <c r="H304" s="125"/>
      <c r="I304" s="172"/>
      <c r="J304" s="172"/>
      <c r="K304" s="127">
        <f>J304-I304+1</f>
        <v>1</v>
      </c>
      <c r="L304" s="127"/>
    </row>
    <row r="305" spans="1:12" customHeight="1" ht="27.6" s="171" customFormat="1">
      <c r="A305" s="127"/>
      <c r="B305" s="129"/>
      <c r="C305" s="172"/>
      <c r="D305" s="173"/>
      <c r="E305" s="173"/>
      <c r="F305" s="126"/>
      <c r="G305" s="125"/>
      <c r="H305" s="125"/>
      <c r="I305" s="172"/>
      <c r="J305" s="172"/>
      <c r="K305" s="127">
        <f>J305-I305+1</f>
        <v>1</v>
      </c>
      <c r="L305" s="127"/>
    </row>
    <row r="306" spans="1:12" customHeight="1" ht="27.6" s="171" customFormat="1">
      <c r="A306" s="127"/>
      <c r="B306" s="129"/>
      <c r="C306" s="172"/>
      <c r="D306" s="173"/>
      <c r="E306" s="173"/>
      <c r="F306" s="126"/>
      <c r="G306" s="125"/>
      <c r="H306" s="125"/>
      <c r="I306" s="172"/>
      <c r="J306" s="172"/>
      <c r="K306" s="127">
        <f>J306-I306+1</f>
        <v>1</v>
      </c>
      <c r="L306" s="127"/>
    </row>
    <row r="307" spans="1:12" customHeight="1" ht="27.6" s="171" customFormat="1">
      <c r="A307" s="127"/>
      <c r="B307" s="129"/>
      <c r="C307" s="172"/>
      <c r="D307" s="173"/>
      <c r="E307" s="173"/>
      <c r="F307" s="126"/>
      <c r="G307" s="125"/>
      <c r="H307" s="125"/>
      <c r="I307" s="172"/>
      <c r="J307" s="172"/>
      <c r="K307" s="127">
        <f>J307-I307+1</f>
        <v>1</v>
      </c>
      <c r="L307" s="127"/>
    </row>
    <row r="308" spans="1:12" customHeight="1" ht="27.6" s="171" customFormat="1">
      <c r="A308" s="127"/>
      <c r="B308" s="129"/>
      <c r="C308" s="172"/>
      <c r="D308" s="173"/>
      <c r="E308" s="173"/>
      <c r="F308" s="126"/>
      <c r="G308" s="125"/>
      <c r="H308" s="125"/>
      <c r="I308" s="172"/>
      <c r="J308" s="172"/>
      <c r="K308" s="127">
        <f>J308-I308+1</f>
        <v>1</v>
      </c>
      <c r="L308" s="127"/>
    </row>
    <row r="309" spans="1:12" customHeight="1" ht="27.6" s="171" customFormat="1">
      <c r="A309" s="127"/>
      <c r="B309" s="129"/>
      <c r="C309" s="172"/>
      <c r="D309" s="173"/>
      <c r="E309" s="173"/>
      <c r="F309" s="126"/>
      <c r="G309" s="125"/>
      <c r="H309" s="125"/>
      <c r="I309" s="172"/>
      <c r="J309" s="172"/>
      <c r="K309" s="127">
        <f>J309-I309+1</f>
        <v>1</v>
      </c>
      <c r="L309" s="127"/>
    </row>
    <row r="310" spans="1:12" customHeight="1" ht="27.6" s="171" customFormat="1">
      <c r="A310" s="127"/>
      <c r="B310" s="129"/>
      <c r="C310" s="172"/>
      <c r="D310" s="173"/>
      <c r="E310" s="173"/>
      <c r="F310" s="126"/>
      <c r="G310" s="125"/>
      <c r="H310" s="125"/>
      <c r="I310" s="172"/>
      <c r="J310" s="172"/>
      <c r="K310" s="127">
        <f>J310-I310+1</f>
        <v>1</v>
      </c>
      <c r="L310" s="127"/>
    </row>
    <row r="311" spans="1:12" customHeight="1" ht="27.6" s="171" customFormat="1">
      <c r="A311" s="127"/>
      <c r="B311" s="129"/>
      <c r="C311" s="172"/>
      <c r="D311" s="173"/>
      <c r="E311" s="173"/>
      <c r="F311" s="126"/>
      <c r="G311" s="125"/>
      <c r="H311" s="125"/>
      <c r="I311" s="172"/>
      <c r="J311" s="172"/>
      <c r="K311" s="127">
        <f>J311-I311+1</f>
        <v>1</v>
      </c>
      <c r="L311" s="127"/>
    </row>
    <row r="312" spans="1:12" customHeight="1" ht="27.6" s="171" customFormat="1">
      <c r="A312" s="127"/>
      <c r="B312" s="129"/>
      <c r="C312" s="172"/>
      <c r="D312" s="173"/>
      <c r="E312" s="173"/>
      <c r="F312" s="126"/>
      <c r="G312" s="125"/>
      <c r="H312" s="125"/>
      <c r="I312" s="172"/>
      <c r="J312" s="172"/>
      <c r="K312" s="127">
        <f>J312-I312+1</f>
        <v>1</v>
      </c>
      <c r="L312" s="127"/>
    </row>
    <row r="313" spans="1:12" customHeight="1" ht="27.6" s="171" customFormat="1">
      <c r="A313" s="127"/>
      <c r="B313" s="129"/>
      <c r="C313" s="172"/>
      <c r="D313" s="173"/>
      <c r="E313" s="173"/>
      <c r="F313" s="126"/>
      <c r="G313" s="125"/>
      <c r="H313" s="125"/>
      <c r="I313" s="172"/>
      <c r="J313" s="172"/>
      <c r="K313" s="127">
        <f>J313-I313+1</f>
        <v>1</v>
      </c>
      <c r="L313" s="127"/>
    </row>
    <row r="314" spans="1:12" customHeight="1" ht="27.6" s="171" customFormat="1">
      <c r="A314" s="127"/>
      <c r="B314" s="129"/>
      <c r="C314" s="172"/>
      <c r="D314" s="173"/>
      <c r="E314" s="173"/>
      <c r="F314" s="126"/>
      <c r="G314" s="125"/>
      <c r="H314" s="125"/>
      <c r="I314" s="172"/>
      <c r="J314" s="172"/>
      <c r="K314" s="127">
        <f>J314-I314+1</f>
        <v>1</v>
      </c>
      <c r="L314" s="127"/>
    </row>
    <row r="315" spans="1:12" customHeight="1" ht="27.6" s="171" customFormat="1">
      <c r="A315" s="127"/>
      <c r="B315" s="129"/>
      <c r="C315" s="172"/>
      <c r="D315" s="173"/>
      <c r="E315" s="173"/>
      <c r="F315" s="126"/>
      <c r="G315" s="125"/>
      <c r="H315" s="125"/>
      <c r="I315" s="172"/>
      <c r="J315" s="172"/>
      <c r="K315" s="127">
        <f>J315-I315+1</f>
        <v>1</v>
      </c>
      <c r="L315" s="127"/>
    </row>
    <row r="316" spans="1:12" customHeight="1" ht="27.6" s="171" customFormat="1">
      <c r="A316" s="127"/>
      <c r="B316" s="129"/>
      <c r="C316" s="172"/>
      <c r="D316" s="173"/>
      <c r="E316" s="173"/>
      <c r="F316" s="126"/>
      <c r="G316" s="125"/>
      <c r="H316" s="125"/>
      <c r="I316" s="172"/>
      <c r="J316" s="172"/>
      <c r="K316" s="127">
        <f>J316-I316+1</f>
        <v>1</v>
      </c>
      <c r="L316" s="127"/>
    </row>
    <row r="317" spans="1:12" customHeight="1" ht="27.6" s="171" customFormat="1">
      <c r="A317" s="127"/>
      <c r="B317" s="129"/>
      <c r="C317" s="172"/>
      <c r="D317" s="173"/>
      <c r="E317" s="173"/>
      <c r="F317" s="126"/>
      <c r="G317" s="125"/>
      <c r="H317" s="125"/>
      <c r="I317" s="172"/>
      <c r="J317" s="172"/>
      <c r="K317" s="127">
        <f>J317-I317+1</f>
        <v>1</v>
      </c>
      <c r="L317" s="127"/>
    </row>
    <row r="318" spans="1:12" customHeight="1" ht="27.6" s="171" customFormat="1">
      <c r="A318" s="127"/>
      <c r="B318" s="129"/>
      <c r="C318" s="172"/>
      <c r="D318" s="173"/>
      <c r="E318" s="173"/>
      <c r="F318" s="126"/>
      <c r="G318" s="125"/>
      <c r="H318" s="125"/>
      <c r="I318" s="172"/>
      <c r="J318" s="172"/>
      <c r="K318" s="127">
        <f>J318-I318+1</f>
        <v>1</v>
      </c>
      <c r="L318" s="127"/>
    </row>
    <row r="319" spans="1:12" customHeight="1" ht="27.6" s="171" customFormat="1">
      <c r="A319" s="127"/>
      <c r="B319" s="129"/>
      <c r="C319" s="172"/>
      <c r="D319" s="173"/>
      <c r="E319" s="173"/>
      <c r="F319" s="126"/>
      <c r="G319" s="125"/>
      <c r="H319" s="125"/>
      <c r="I319" s="172"/>
      <c r="J319" s="172"/>
      <c r="K319" s="127">
        <f>J319-I319+1</f>
        <v>1</v>
      </c>
      <c r="L319" s="127"/>
    </row>
    <row r="320" spans="1:12" customHeight="1" ht="27.6" s="171" customFormat="1">
      <c r="A320" s="127"/>
      <c r="B320" s="129"/>
      <c r="C320" s="172"/>
      <c r="D320" s="173"/>
      <c r="E320" s="173"/>
      <c r="F320" s="126"/>
      <c r="G320" s="125"/>
      <c r="H320" s="125"/>
      <c r="I320" s="172"/>
      <c r="J320" s="172"/>
      <c r="K320" s="127">
        <f>J320-I320+1</f>
        <v>1</v>
      </c>
      <c r="L320" s="127"/>
    </row>
    <row r="321" spans="1:12" customHeight="1" ht="27.6" s="171" customFormat="1">
      <c r="A321" s="127"/>
      <c r="B321" s="129"/>
      <c r="C321" s="172"/>
      <c r="D321" s="173"/>
      <c r="E321" s="173"/>
      <c r="F321" s="126"/>
      <c r="G321" s="125"/>
      <c r="H321" s="125"/>
      <c r="I321" s="172"/>
      <c r="J321" s="172"/>
      <c r="K321" s="127">
        <f>J321-I321+1</f>
        <v>1</v>
      </c>
      <c r="L321" s="127"/>
    </row>
    <row r="322" spans="1:12" customHeight="1" ht="27.6" s="171" customFormat="1">
      <c r="A322" s="127"/>
      <c r="B322" s="129"/>
      <c r="C322" s="172"/>
      <c r="D322" s="173"/>
      <c r="E322" s="173"/>
      <c r="F322" s="126"/>
      <c r="G322" s="125"/>
      <c r="H322" s="125"/>
      <c r="I322" s="172"/>
      <c r="J322" s="172"/>
      <c r="K322" s="127">
        <f>J322-I322+1</f>
        <v>1</v>
      </c>
      <c r="L322" s="127"/>
    </row>
    <row r="323" spans="1:12" customHeight="1" ht="27.6" s="171" customFormat="1">
      <c r="A323" s="127"/>
      <c r="B323" s="129"/>
      <c r="C323" s="172"/>
      <c r="D323" s="173"/>
      <c r="E323" s="173"/>
      <c r="F323" s="126"/>
      <c r="G323" s="125"/>
      <c r="H323" s="125"/>
      <c r="I323" s="172"/>
      <c r="J323" s="172"/>
      <c r="K323" s="127">
        <f>J323-I323+1</f>
        <v>1</v>
      </c>
      <c r="L323" s="127"/>
    </row>
    <row r="324" spans="1:12" customHeight="1" ht="27.6" s="171" customFormat="1">
      <c r="A324" s="127"/>
      <c r="B324" s="129"/>
      <c r="C324" s="172"/>
      <c r="D324" s="173"/>
      <c r="E324" s="173"/>
      <c r="F324" s="126"/>
      <c r="G324" s="125"/>
      <c r="H324" s="125"/>
      <c r="I324" s="172"/>
      <c r="J324" s="172"/>
      <c r="K324" s="127">
        <f>J324-I324+1</f>
        <v>1</v>
      </c>
      <c r="L324" s="127"/>
    </row>
    <row r="325" spans="1:12" customHeight="1" ht="27.6" s="171" customFormat="1">
      <c r="A325" s="127"/>
      <c r="B325" s="129"/>
      <c r="C325" s="172"/>
      <c r="D325" s="173"/>
      <c r="E325" s="173"/>
      <c r="F325" s="126"/>
      <c r="G325" s="125"/>
      <c r="H325" s="125"/>
      <c r="I325" s="172"/>
      <c r="J325" s="172"/>
      <c r="K325" s="127">
        <f>J325-I325+1</f>
        <v>1</v>
      </c>
      <c r="L325" s="127"/>
    </row>
    <row r="326" spans="1:12" customHeight="1" ht="27.6" s="171" customFormat="1">
      <c r="A326" s="127"/>
      <c r="B326" s="129"/>
      <c r="C326" s="172"/>
      <c r="D326" s="173"/>
      <c r="E326" s="173"/>
      <c r="F326" s="126"/>
      <c r="G326" s="125"/>
      <c r="H326" s="125"/>
      <c r="I326" s="172"/>
      <c r="J326" s="172"/>
      <c r="K326" s="127">
        <f>J326-I326+1</f>
        <v>1</v>
      </c>
      <c r="L326" s="127"/>
    </row>
    <row r="327" spans="1:12" customHeight="1" ht="27.6" s="171" customFormat="1">
      <c r="A327" s="127"/>
      <c r="B327" s="129"/>
      <c r="C327" s="172"/>
      <c r="D327" s="173"/>
      <c r="E327" s="173"/>
      <c r="F327" s="126"/>
      <c r="G327" s="125"/>
      <c r="H327" s="125"/>
      <c r="I327" s="172"/>
      <c r="J327" s="172"/>
      <c r="K327" s="127">
        <f>J327-I327+1</f>
        <v>1</v>
      </c>
      <c r="L327" s="127"/>
    </row>
    <row r="328" spans="1:12" customHeight="1" ht="27.6" s="171" customFormat="1">
      <c r="A328" s="127"/>
      <c r="B328" s="129"/>
      <c r="C328" s="172"/>
      <c r="D328" s="173"/>
      <c r="E328" s="173"/>
      <c r="F328" s="126"/>
      <c r="G328" s="125"/>
      <c r="H328" s="125"/>
      <c r="I328" s="172"/>
      <c r="J328" s="172"/>
      <c r="K328" s="127">
        <f>J328-I328+1</f>
        <v>1</v>
      </c>
      <c r="L328" s="127"/>
    </row>
    <row r="329" spans="1:12" customHeight="1" ht="27.6" s="171" customFormat="1">
      <c r="A329" s="127"/>
      <c r="B329" s="129"/>
      <c r="C329" s="172"/>
      <c r="D329" s="173"/>
      <c r="E329" s="173"/>
      <c r="F329" s="126"/>
      <c r="G329" s="125"/>
      <c r="H329" s="125"/>
      <c r="I329" s="172"/>
      <c r="J329" s="172"/>
      <c r="K329" s="127">
        <f>J329-I329+1</f>
        <v>1</v>
      </c>
      <c r="L329" s="127"/>
    </row>
    <row r="330" spans="1:12" customHeight="1" ht="27.6" s="171" customFormat="1">
      <c r="A330" s="127"/>
      <c r="B330" s="129"/>
      <c r="C330" s="172"/>
      <c r="D330" s="173"/>
      <c r="E330" s="173"/>
      <c r="F330" s="126"/>
      <c r="G330" s="125"/>
      <c r="H330" s="125"/>
      <c r="I330" s="172"/>
      <c r="J330" s="172"/>
      <c r="K330" s="127">
        <f>J330-I330+1</f>
        <v>1</v>
      </c>
      <c r="L330" s="127"/>
    </row>
    <row r="331" spans="1:12" customHeight="1" ht="27.6">
      <c r="A331" s="124"/>
      <c r="B331" s="129"/>
      <c r="C331" s="125"/>
      <c r="D331" s="131"/>
      <c r="E331" s="131"/>
      <c r="F331" s="126"/>
      <c r="G331" s="125"/>
      <c r="H331" s="125"/>
      <c r="I331" s="132"/>
      <c r="J331" s="132"/>
      <c r="K331" s="127">
        <f>J331-I331+1</f>
        <v>1</v>
      </c>
      <c r="L331" s="127"/>
    </row>
    <row r="332" spans="1:12" customHeight="1" ht="27.6">
      <c r="A332" s="124"/>
      <c r="B332" s="129"/>
      <c r="C332" s="125"/>
      <c r="D332" s="131"/>
      <c r="E332" s="131"/>
      <c r="F332" s="126"/>
      <c r="G332" s="125"/>
      <c r="H332" s="125"/>
      <c r="I332" s="132"/>
      <c r="J332" s="132"/>
      <c r="K332" s="127">
        <f>J332-I332+1</f>
        <v>1</v>
      </c>
      <c r="L332" s="127"/>
    </row>
    <row r="333" spans="1:12" customHeight="1" ht="36">
      <c r="A333" s="124"/>
      <c r="B333" s="129"/>
      <c r="C333" s="125"/>
      <c r="D333" s="131"/>
      <c r="E333" s="131"/>
      <c r="F333" s="126"/>
      <c r="G333" s="125"/>
      <c r="H333" s="125"/>
      <c r="I333" s="132"/>
      <c r="J333" s="132"/>
      <c r="K333" s="127">
        <f>J333-I333+1</f>
        <v>1</v>
      </c>
      <c r="L333" s="127"/>
    </row>
    <row r="334" spans="1:12" customHeight="1" ht="30.75">
      <c r="A334" s="124"/>
      <c r="B334" s="129"/>
      <c r="C334" s="125"/>
      <c r="D334" s="131"/>
      <c r="E334" s="131"/>
      <c r="F334" s="126"/>
      <c r="G334" s="125"/>
      <c r="H334" s="125"/>
      <c r="I334" s="132"/>
      <c r="J334" s="132"/>
      <c r="K334" s="127">
        <f>J334-I334+1</f>
        <v>1</v>
      </c>
      <c r="L334" s="127"/>
    </row>
    <row r="335" spans="1:12" customHeight="1" ht="27.6">
      <c r="A335" s="124"/>
      <c r="B335" s="129"/>
      <c r="C335" s="125"/>
      <c r="D335" s="131"/>
      <c r="E335" s="131"/>
      <c r="F335" s="126"/>
      <c r="G335" s="125"/>
      <c r="H335" s="125"/>
      <c r="I335" s="132"/>
      <c r="J335" s="132"/>
      <c r="K335" s="127">
        <f>J335-I335+1</f>
        <v>1</v>
      </c>
      <c r="L335" s="127"/>
    </row>
    <row r="336" spans="1:12" customHeight="1" ht="27.6">
      <c r="A336" s="124"/>
      <c r="B336" s="129"/>
      <c r="C336" s="125"/>
      <c r="D336" s="131"/>
      <c r="E336" s="131"/>
      <c r="F336" s="126"/>
      <c r="G336" s="125"/>
      <c r="H336" s="125"/>
      <c r="I336" s="132"/>
      <c r="J336" s="132"/>
      <c r="K336" s="127">
        <f>J336-I336+1</f>
        <v>1</v>
      </c>
      <c r="L336" s="127"/>
    </row>
    <row r="337" spans="1:12" customHeight="1" ht="27.6">
      <c r="A337" s="124"/>
      <c r="B337" s="129"/>
      <c r="C337" s="125"/>
      <c r="D337" s="131"/>
      <c r="E337" s="131"/>
      <c r="F337" s="126"/>
      <c r="G337" s="125"/>
      <c r="H337" s="125"/>
      <c r="I337" s="132"/>
      <c r="J337" s="132"/>
      <c r="K337" s="127">
        <f>J337-I337+1</f>
        <v>1</v>
      </c>
      <c r="L337" s="127"/>
    </row>
    <row r="338" spans="1:12" customHeight="1" ht="27.6">
      <c r="A338" s="124"/>
      <c r="B338" s="129"/>
      <c r="C338" s="125"/>
      <c r="D338" s="131"/>
      <c r="E338" s="131"/>
      <c r="F338" s="126"/>
      <c r="G338" s="125"/>
      <c r="H338" s="125"/>
      <c r="I338" s="132"/>
      <c r="J338" s="132"/>
      <c r="K338" s="127">
        <f>J338-I338+1</f>
        <v>1</v>
      </c>
      <c r="L338" s="127"/>
    </row>
    <row r="339" spans="1:12" customHeight="1" ht="27.6">
      <c r="A339" s="124"/>
      <c r="B339" s="129"/>
      <c r="C339" s="125"/>
      <c r="D339" s="131"/>
      <c r="E339" s="131"/>
      <c r="F339" s="126"/>
      <c r="G339" s="125"/>
      <c r="H339" s="125"/>
      <c r="I339" s="132"/>
      <c r="J339" s="132"/>
      <c r="K339" s="127">
        <f>J339-I339+1</f>
        <v>1</v>
      </c>
      <c r="L339" s="127"/>
    </row>
    <row r="340" spans="1:12" customHeight="1" ht="27.6">
      <c r="A340" s="124"/>
      <c r="B340" s="129"/>
      <c r="C340" s="125"/>
      <c r="D340" s="131"/>
      <c r="E340" s="131"/>
      <c r="F340" s="126"/>
      <c r="G340" s="125"/>
      <c r="H340" s="125"/>
      <c r="I340" s="132"/>
      <c r="J340" s="132"/>
      <c r="K340" s="127">
        <f>J340-I340+1</f>
        <v>1</v>
      </c>
      <c r="L340" s="127"/>
    </row>
    <row r="341" spans="1:12" customHeight="1" ht="27.6">
      <c r="A341" s="124"/>
      <c r="B341" s="129"/>
      <c r="C341" s="125"/>
      <c r="D341" s="131"/>
      <c r="E341" s="131"/>
      <c r="F341" s="126"/>
      <c r="G341" s="125"/>
      <c r="H341" s="125"/>
      <c r="I341" s="132"/>
      <c r="J341" s="132"/>
      <c r="K341" s="127">
        <f>J341-I341+1</f>
        <v>1</v>
      </c>
      <c r="L341" s="127"/>
    </row>
    <row r="342" spans="1:12" customHeight="1" ht="27.6">
      <c r="A342" s="124"/>
      <c r="B342" s="129"/>
      <c r="C342" s="125"/>
      <c r="D342" s="131"/>
      <c r="E342" s="131"/>
      <c r="F342" s="126"/>
      <c r="G342" s="125"/>
      <c r="H342" s="125"/>
      <c r="I342" s="132"/>
      <c r="J342" s="132"/>
      <c r="K342" s="127">
        <f>J342-I342+1</f>
        <v>1</v>
      </c>
      <c r="L342" s="127"/>
    </row>
    <row r="343" spans="1:12" customHeight="1" ht="27.6">
      <c r="A343" s="124"/>
      <c r="B343" s="129"/>
      <c r="C343" s="125"/>
      <c r="D343" s="131"/>
      <c r="E343" s="131"/>
      <c r="F343" s="126"/>
      <c r="G343" s="125"/>
      <c r="H343" s="125"/>
      <c r="I343" s="132"/>
      <c r="J343" s="132"/>
      <c r="K343" s="127">
        <f>J343-I343+1</f>
        <v>1</v>
      </c>
      <c r="L343" s="127"/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dataValidations count="7">
    <dataValidation type="list" errorStyle="stop" operator="between" allowBlank="1" showDropDown="0" showInputMessage="0" showErrorMessage="1" sqref="A3:A343">
      <formula1>Город</formula1>
      <formula2>0</formula2>
    </dataValidation>
    <dataValidation type="list" errorStyle="stop" operator="between" allowBlank="1" showDropDown="0" showInputMessage="1" showErrorMessage="1" sqref="B3:B67">
      <formula1>Компания</formula1>
    </dataValidation>
    <dataValidation type="list" errorStyle="stop" operator="between" allowBlank="1" showDropDown="0" showInputMessage="1" showErrorMessage="1" sqref="B232:B343">
      <formula1>Компания</formula1>
    </dataValidation>
    <dataValidation type="list" errorStyle="stop" operator="between" allowBlank="1" showDropDown="0" showInputMessage="1" showErrorMessage="1" sqref="F3:F343">
      <formula1>Причина_нетрудоспособности</formula1>
    </dataValidation>
    <dataValidation type="list" errorStyle="stop" operator="between" allowBlank="1" showDropDown="0" showInputMessage="1" showErrorMessage="1" sqref="G3:G343">
      <formula1>Месяц</formula1>
    </dataValidation>
    <dataValidation type="list" errorStyle="stop" operator="between" allowBlank="1" showDropDown="0" showInputMessage="1" showErrorMessage="1" sqref="H3:H343">
      <formula1>Месяц</formula1>
    </dataValidation>
    <dataValidation type="list" errorStyle="stop" operator="between" allowBlank="1" showDropDown="0" showInputMessage="0" showErrorMessage="1" sqref="L3:L19">
      <formula1>Вид_занятости</formula1>
      <formula2>0</formula2>
    </dataValidation>
  </dataValidations>
  <printOptions gridLines="false" gridLinesSet="true"/>
  <pageMargins left="0.7" right="0.7" top="0.75" bottom="0.75" header="0.51180555555556" footer="0.51180555555556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"/>
  <sheetViews>
    <sheetView tabSelected="0" workbookViewId="0" showGridLines="true" showRowColHeaders="1">
      <selection activeCell="D15" sqref="D15"/>
    </sheetView>
  </sheetViews>
  <sheetFormatPr customHeight="true" defaultRowHeight="15" outlineLevelRow="0" outlineLevelCol="0"/>
  <cols>
    <col min="1" max="1" width="25.42578125" customWidth="true" style="0"/>
    <col min="2" max="2" width="15.85546875" customWidth="true" style="0"/>
    <col min="3" max="3" width="41" customWidth="true" style="0"/>
    <col min="4" max="4" width="40.42578125" customWidth="true" style="0"/>
    <col min="5" max="5" width="29.7109375" customWidth="true" style="0"/>
    <col min="6" max="6" width="7.5703125" customWidth="true" style="0"/>
    <col min="8" max="8" width="19.85546875" customWidth="true" style="0"/>
  </cols>
  <sheetData>
    <row r="1" spans="1:8" customHeight="1" ht="25.5" s="238" customFormat="1">
      <c r="A1" s="236" t="s">
        <v>514</v>
      </c>
      <c r="B1" s="236" t="s">
        <v>24</v>
      </c>
      <c r="C1" s="236" t="s">
        <v>3091</v>
      </c>
      <c r="D1" s="236" t="s">
        <v>26</v>
      </c>
      <c r="E1" s="236" t="s">
        <v>28</v>
      </c>
      <c r="F1" s="237" t="s">
        <v>73</v>
      </c>
      <c r="G1" s="237" t="s">
        <v>3092</v>
      </c>
      <c r="H1" s="237" t="s">
        <v>3093</v>
      </c>
    </row>
    <row r="2" spans="1:8" customHeight="1" ht="19.5" hidden="true" s="33" customFormat="1">
      <c r="A2" s="33" t="s">
        <v>770</v>
      </c>
      <c r="B2" s="241" t="s">
        <v>798</v>
      </c>
      <c r="C2" s="239" t="s">
        <v>796</v>
      </c>
      <c r="D2" s="239" t="s">
        <v>270</v>
      </c>
      <c r="E2" s="239" t="s">
        <v>254</v>
      </c>
      <c r="F2" s="161" t="str">
        <f>IF(ISBLANK(C2),"-",IF(ISERROR(FIND("вич",C2,1)),"ж","м"))</f>
        <v>ж</v>
      </c>
      <c r="G2" s="55">
        <v>59</v>
      </c>
      <c r="H2" s="242">
        <v>46316</v>
      </c>
    </row>
    <row r="3" spans="1:8" customHeight="1" ht="15" hidden="true" s="33" customFormat="1">
      <c r="A3" s="33" t="s">
        <v>3094</v>
      </c>
      <c r="B3" s="248">
        <v>25061</v>
      </c>
      <c r="C3" s="239" t="s">
        <v>850</v>
      </c>
      <c r="D3" s="239" t="s">
        <v>170</v>
      </c>
      <c r="E3" s="239" t="s">
        <v>137</v>
      </c>
      <c r="F3" s="161" t="str">
        <f>IF(ISBLANK(C3),"-",IF(ISERROR(FIND("вич",C3,1)),"ж","м"))</f>
        <v>ж</v>
      </c>
      <c r="G3" s="55">
        <v>60</v>
      </c>
      <c r="H3" s="242">
        <v>46976</v>
      </c>
    </row>
    <row r="4" spans="1:8" customHeight="1" ht="15" hidden="true" s="33" customFormat="1">
      <c r="A4" s="33" t="s">
        <v>3094</v>
      </c>
      <c r="B4" s="248">
        <v>25032</v>
      </c>
      <c r="C4" s="239" t="s">
        <v>870</v>
      </c>
      <c r="D4" s="239" t="s">
        <v>344</v>
      </c>
      <c r="E4" s="239" t="s">
        <v>137</v>
      </c>
      <c r="F4" s="161" t="str">
        <f>IF(ISBLANK(C4),"-",IF(ISERROR(FIND("вич",C4,1)),"ж","м"))</f>
        <v>ж</v>
      </c>
      <c r="G4" s="55">
        <v>60</v>
      </c>
      <c r="H4" s="242">
        <v>46947</v>
      </c>
    </row>
    <row r="5" spans="1:8" customHeight="1" ht="15" hidden="true" s="33" customFormat="1">
      <c r="A5" s="33" t="s">
        <v>3094</v>
      </c>
      <c r="B5" s="248">
        <v>23099</v>
      </c>
      <c r="C5" s="239" t="s">
        <v>3095</v>
      </c>
      <c r="D5" s="239" t="s">
        <v>944</v>
      </c>
      <c r="E5" s="239" t="s">
        <v>144</v>
      </c>
      <c r="F5" s="161" t="str">
        <f>IF(ISBLANK(C5),"-",IF(ISERROR(FIND("вич",C5,1)),"ж","м"))</f>
        <v>м</v>
      </c>
      <c r="G5" s="55">
        <v>65</v>
      </c>
      <c r="H5" s="242">
        <v>46841</v>
      </c>
    </row>
    <row r="6" spans="1:8" customHeight="1" ht="15" hidden="true" s="33" customFormat="1">
      <c r="A6" s="33" t="s">
        <v>3003</v>
      </c>
      <c r="B6" s="248">
        <v>24230</v>
      </c>
      <c r="C6" s="240" t="s">
        <v>1027</v>
      </c>
      <c r="D6" s="240" t="s">
        <v>393</v>
      </c>
      <c r="E6" s="240" t="s">
        <v>354</v>
      </c>
      <c r="F6" s="161" t="str">
        <f>IF(ISBLANK(C6),"-",IF(ISERROR(FIND("вич",C6,1)),"ж","м"))</f>
        <v>м</v>
      </c>
      <c r="G6" s="55">
        <v>65</v>
      </c>
      <c r="H6" s="242">
        <v>47971</v>
      </c>
    </row>
    <row r="7" spans="1:8" customHeight="1" ht="15" s="33" customFormat="1">
      <c r="A7" s="243" t="s">
        <v>3003</v>
      </c>
      <c r="B7" s="249">
        <v>22529</v>
      </c>
      <c r="C7" s="244" t="s">
        <v>1052</v>
      </c>
      <c r="D7" s="244" t="s">
        <v>391</v>
      </c>
      <c r="E7" s="244" t="s">
        <v>3096</v>
      </c>
      <c r="F7" s="245" t="str">
        <f>IF(ISBLANK(C7),"-",IF(ISERROR(FIND("вич",C7,1)),"ж","м"))</f>
        <v>м</v>
      </c>
      <c r="G7" s="246">
        <v>63</v>
      </c>
      <c r="H7" s="247">
        <v>45540</v>
      </c>
    </row>
    <row r="8" spans="1:8" customHeight="1" ht="15" s="33" customFormat="1">
      <c r="A8" s="243" t="s">
        <v>3003</v>
      </c>
      <c r="B8" s="249">
        <v>22646</v>
      </c>
      <c r="C8" s="244" t="s">
        <v>1055</v>
      </c>
      <c r="D8" s="244" t="s">
        <v>391</v>
      </c>
      <c r="E8" s="244" t="s">
        <v>3096</v>
      </c>
      <c r="F8" s="245" t="str">
        <f>IF(ISBLANK(C8),"-",IF(ISERROR(FIND("вич",C8,1)),"ж","м"))</f>
        <v>м</v>
      </c>
      <c r="G8" s="246">
        <v>63</v>
      </c>
      <c r="H8" s="247">
        <v>45657</v>
      </c>
    </row>
    <row r="9" spans="1:8" customHeight="1" ht="15" hidden="true" s="33" customFormat="1">
      <c r="A9" s="33" t="s">
        <v>3003</v>
      </c>
      <c r="B9" s="248">
        <v>23031</v>
      </c>
      <c r="C9" s="240" t="s">
        <v>1069</v>
      </c>
      <c r="D9" s="240" t="s">
        <v>391</v>
      </c>
      <c r="E9" s="240" t="s">
        <v>3096</v>
      </c>
      <c r="F9" s="161" t="str">
        <f>IF(ISBLANK(C9),"-",IF(ISERROR(FIND("вич",C9,1)),"ж","м"))</f>
        <v>м</v>
      </c>
      <c r="G9" s="55">
        <v>65</v>
      </c>
      <c r="H9" s="242">
        <v>46772</v>
      </c>
    </row>
    <row r="10" spans="1:8" customHeight="1" ht="15" hidden="true" s="33" customFormat="1">
      <c r="A10" s="33" t="s">
        <v>3003</v>
      </c>
      <c r="B10" s="248">
        <v>23337</v>
      </c>
      <c r="C10" s="240" t="s">
        <v>1910</v>
      </c>
      <c r="D10" s="240" t="s">
        <v>1948</v>
      </c>
      <c r="E10" s="240" t="s">
        <v>386</v>
      </c>
      <c r="F10" s="161" t="str">
        <f>IF(ISBLANK(C10),"-",IF(ISERROR(FIND("вич",C10,1)),"ж","м"))</f>
        <v>м</v>
      </c>
      <c r="G10" s="55">
        <v>65</v>
      </c>
      <c r="H10" s="242">
        <v>47079</v>
      </c>
    </row>
    <row r="11" spans="1:8" customHeight="1" ht="15" s="33" customFormat="1">
      <c r="A11" s="243" t="s">
        <v>3003</v>
      </c>
      <c r="B11" s="249">
        <v>24287</v>
      </c>
      <c r="C11" s="244" t="s">
        <v>3097</v>
      </c>
      <c r="D11" s="244" t="s">
        <v>3098</v>
      </c>
      <c r="E11" s="244" t="s">
        <v>235</v>
      </c>
      <c r="F11" s="245" t="str">
        <f>IF(ISBLANK(C11),"-",IF(ISERROR(FIND("вич",C11,1)),"ж","м"))</f>
        <v>ж</v>
      </c>
      <c r="G11" s="246">
        <v>58</v>
      </c>
      <c r="H11" s="247">
        <v>45472</v>
      </c>
    </row>
    <row r="12" spans="1:8" customHeight="1" ht="15" hidden="true" s="33" customFormat="1">
      <c r="A12" s="33" t="s">
        <v>3003</v>
      </c>
      <c r="B12" s="248">
        <v>25160</v>
      </c>
      <c r="C12" s="240" t="s">
        <v>3099</v>
      </c>
      <c r="D12" s="240" t="s">
        <v>1138</v>
      </c>
      <c r="E12" s="240" t="s">
        <v>255</v>
      </c>
      <c r="F12" s="161" t="str">
        <f>IF(ISBLANK(C12),"-",IF(ISERROR(FIND("вич",C12,1)),"ж","м"))</f>
        <v>ж</v>
      </c>
      <c r="G12" s="55">
        <v>60</v>
      </c>
      <c r="H12" s="242">
        <v>47075</v>
      </c>
    </row>
    <row r="13" spans="1:8" customHeight="1" ht="15" hidden="true" s="33" customFormat="1">
      <c r="A13" s="33" t="s">
        <v>3003</v>
      </c>
      <c r="B13" s="248">
        <v>24630</v>
      </c>
      <c r="C13" s="240" t="s">
        <v>2156</v>
      </c>
      <c r="D13" s="240" t="s">
        <v>180</v>
      </c>
      <c r="E13" s="240" t="s">
        <v>3100</v>
      </c>
      <c r="F13" s="161" t="str">
        <f>IF(ISBLANK(C13),"-",IF(ISERROR(FIND("вич",C13,1)),"ж","м"))</f>
        <v>ж</v>
      </c>
      <c r="G13" s="55">
        <v>59</v>
      </c>
      <c r="H13" s="242">
        <v>46180</v>
      </c>
    </row>
    <row r="14" spans="1:8" customHeight="1" ht="15" hidden="true" s="33" customFormat="1">
      <c r="A14" s="33" t="s">
        <v>3003</v>
      </c>
      <c r="B14" s="248">
        <v>22670</v>
      </c>
      <c r="C14" s="240" t="s">
        <v>3101</v>
      </c>
      <c r="D14" s="240" t="s">
        <v>490</v>
      </c>
      <c r="E14" s="240" t="s">
        <v>491</v>
      </c>
      <c r="F14" s="161" t="str">
        <f>IF(ISBLANK(C14),"-",IF(ISERROR(FIND("вич",C14,1)),"ж","м"))</f>
        <v>м</v>
      </c>
      <c r="G14" s="55">
        <v>64</v>
      </c>
      <c r="H14" s="242">
        <v>46046</v>
      </c>
    </row>
    <row r="15" spans="1:8" customHeight="1" ht="15" s="33" customFormat="1">
      <c r="A15" s="243" t="s">
        <v>3003</v>
      </c>
      <c r="B15" s="249">
        <v>22635</v>
      </c>
      <c r="C15" s="244" t="s">
        <v>1585</v>
      </c>
      <c r="D15" s="244" t="s">
        <v>308</v>
      </c>
      <c r="E15" s="244" t="s">
        <v>315</v>
      </c>
      <c r="F15" s="245" t="str">
        <f>IF(ISBLANK(C15),"-",IF(ISERROR(FIND("вич",C15,1)),"ж","м"))</f>
        <v>м</v>
      </c>
      <c r="G15" s="246">
        <v>63</v>
      </c>
      <c r="H15" s="247">
        <v>45646</v>
      </c>
    </row>
    <row r="16" spans="1:8" customHeight="1" ht="15" s="33" customFormat="1">
      <c r="A16" s="243" t="s">
        <v>3003</v>
      </c>
      <c r="B16" s="250">
        <v>24257</v>
      </c>
      <c r="C16" s="244" t="s">
        <v>2948</v>
      </c>
      <c r="D16" s="244" t="s">
        <v>378</v>
      </c>
      <c r="E16" s="244" t="s">
        <v>382</v>
      </c>
      <c r="F16" s="245" t="str">
        <f>IF(ISBLANK(C16),"-",IF(ISERROR(FIND("вич",C16,1)),"ж","м"))</f>
        <v>ж</v>
      </c>
      <c r="G16" s="246">
        <v>58</v>
      </c>
      <c r="H16" s="247">
        <v>45442</v>
      </c>
    </row>
    <row r="17" spans="1:8" customHeight="1" ht="15" hidden="true" s="33" customFormat="1">
      <c r="A17" s="33" t="s">
        <v>3003</v>
      </c>
      <c r="B17" s="251">
        <v>24486</v>
      </c>
      <c r="C17" s="240" t="s">
        <v>1315</v>
      </c>
      <c r="D17" s="240" t="s">
        <v>123</v>
      </c>
      <c r="E17" s="240" t="s">
        <v>124</v>
      </c>
      <c r="F17" s="161" t="str">
        <f>IF(ISBLANK(C17),"-",IF(ISERROR(FIND("вич",C17,1)),"ж","м"))</f>
        <v>ж</v>
      </c>
      <c r="G17" s="55">
        <v>59</v>
      </c>
      <c r="H17" s="242">
        <v>46036</v>
      </c>
    </row>
    <row r="18" spans="1:8" customHeight="1" ht="15" hidden="true" s="33" customFormat="1">
      <c r="A18" s="33" t="s">
        <v>3003</v>
      </c>
      <c r="B18" s="251">
        <v>25172</v>
      </c>
      <c r="C18" s="240" t="s">
        <v>1335</v>
      </c>
      <c r="D18" s="240" t="s">
        <v>123</v>
      </c>
      <c r="E18" s="240" t="s">
        <v>124</v>
      </c>
      <c r="F18" s="161" t="str">
        <f>IF(ISBLANK(C18),"-",IF(ISERROR(FIND("вич",C18,1)),"ж","м"))</f>
        <v>ж</v>
      </c>
      <c r="G18" s="55">
        <v>60</v>
      </c>
      <c r="H18" s="242">
        <v>47087</v>
      </c>
    </row>
    <row r="19" spans="1:8" customHeight="1" ht="15" hidden="true" s="33" customFormat="1">
      <c r="A19" s="33" t="s">
        <v>3003</v>
      </c>
      <c r="B19" s="251">
        <v>25089</v>
      </c>
      <c r="C19" s="240" t="s">
        <v>1659</v>
      </c>
      <c r="D19" s="240" t="s">
        <v>422</v>
      </c>
      <c r="E19" s="240" t="s">
        <v>438</v>
      </c>
      <c r="F19" s="161" t="str">
        <f>IF(ISBLANK(C19),"-",IF(ISERROR(FIND("вич",C19,1)),"ж","м"))</f>
        <v>ж</v>
      </c>
      <c r="G19" s="55">
        <v>60</v>
      </c>
      <c r="H19" s="242">
        <v>47004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"/>
  <sheetViews>
    <sheetView tabSelected="0" workbookViewId="0" zoomScale="110" zoomScaleNormal="110" showGridLines="true" showRowColHeaders="1">
      <pane xSplit="5" ySplit="4" topLeftCell="F5" activePane="bottomRight" state="frozen"/>
      <selection pane="topRight"/>
      <selection pane="bottomLeft"/>
      <selection pane="bottomRight" activeCell="M7" sqref="M7"/>
    </sheetView>
  </sheetViews>
  <sheetFormatPr customHeight="true" defaultRowHeight="15" defaultColWidth="9.140625" outlineLevelRow="0" outlineLevelCol="0"/>
  <cols>
    <col min="1" max="1" width="4.28515625" customWidth="true" style="71"/>
    <col min="2" max="2" width="15.28515625" customWidth="true" style="56"/>
    <col min="3" max="3" width="23.28515625" customWidth="true" style="56"/>
    <col min="4" max="4" width="22.42578125" customWidth="true" style="56"/>
    <col min="5" max="5" width="34" customWidth="true" style="56"/>
    <col min="6" max="6" width="14.5703125" customWidth="true" style="56"/>
    <col min="7" max="7" width="24.5703125" customWidth="true" style="71"/>
    <col min="8" max="8" width="12.5703125" customWidth="true" style="56"/>
    <col min="9" max="9" width="12.5703125" customWidth="true" style="56"/>
    <col min="10" max="10" width="13.42578125" customWidth="true" style="56"/>
    <col min="11" max="11" width="14" customWidth="true" style="56"/>
    <col min="12" max="12" width="13.140625" customWidth="true" style="56"/>
    <col min="13" max="13" width="13.140625" customWidth="true" style="56"/>
    <col min="14" max="14" width="20.85546875" customWidth="true" style="56"/>
    <col min="15" max="15" width="24.7109375" customWidth="true" style="56"/>
  </cols>
  <sheetData>
    <row r="1" spans="1:15" customHeight="1" ht="20.25">
      <c r="B1" s="23"/>
      <c r="C1" s="24" t="s">
        <v>79</v>
      </c>
      <c r="F1" s="764" t="s">
        <v>598</v>
      </c>
      <c r="G1" s="764" t="s">
        <v>598</v>
      </c>
    </row>
    <row r="2" spans="1:15" customHeight="1" ht="23.25">
      <c r="B2" s="25"/>
      <c r="C2" s="24" t="s">
        <v>80</v>
      </c>
      <c r="F2" s="765"/>
      <c r="G2" s="765"/>
    </row>
    <row r="3" spans="1:15" customHeight="1" ht="60" s="57" customFormat="1">
      <c r="A3" s="761" t="s">
        <v>3102</v>
      </c>
      <c r="B3" s="761" t="s">
        <v>3103</v>
      </c>
      <c r="C3" s="761" t="s">
        <v>18</v>
      </c>
      <c r="D3" s="761" t="s">
        <v>26</v>
      </c>
      <c r="E3" s="761" t="s">
        <v>28</v>
      </c>
      <c r="F3" s="763" t="s">
        <v>120</v>
      </c>
      <c r="G3" s="763" t="s">
        <v>3084</v>
      </c>
      <c r="H3" s="746" t="s">
        <v>3104</v>
      </c>
      <c r="I3" s="748"/>
      <c r="J3" s="746" t="s">
        <v>3105</v>
      </c>
      <c r="K3" s="748"/>
      <c r="L3" s="746" t="s">
        <v>3106</v>
      </c>
      <c r="M3" s="748"/>
      <c r="N3" s="78" t="s">
        <v>3082</v>
      </c>
    </row>
    <row r="4" spans="1:15" customHeight="1" ht="15" s="58" customFormat="1">
      <c r="A4" s="762"/>
      <c r="B4" s="762"/>
      <c r="C4" s="762"/>
      <c r="D4" s="762"/>
      <c r="E4" s="762"/>
      <c r="F4" s="762"/>
      <c r="G4" s="762"/>
      <c r="H4" s="170" t="s">
        <v>3107</v>
      </c>
      <c r="I4" s="170" t="s">
        <v>3108</v>
      </c>
      <c r="J4" s="170" t="s">
        <v>3107</v>
      </c>
      <c r="K4" s="170" t="s">
        <v>3108</v>
      </c>
      <c r="L4" s="170" t="s">
        <v>3107</v>
      </c>
      <c r="M4" s="170" t="s">
        <v>3108</v>
      </c>
      <c r="N4" s="170"/>
    </row>
    <row r="5" spans="1:15" customHeight="1" ht="17.25" s="59" customFormat="1">
      <c r="A5" s="75">
        <v>1</v>
      </c>
      <c r="B5" s="314">
        <v>4</v>
      </c>
      <c r="C5" s="315" t="s">
        <v>1443</v>
      </c>
      <c r="D5" s="316" t="s">
        <v>212</v>
      </c>
      <c r="E5" s="317" t="s">
        <v>3109</v>
      </c>
      <c r="F5" s="318" t="s">
        <v>128</v>
      </c>
      <c r="G5" s="332" t="s">
        <v>552</v>
      </c>
      <c r="H5" s="319" t="s">
        <v>3110</v>
      </c>
      <c r="I5" s="320" t="s">
        <v>3110</v>
      </c>
      <c r="J5" s="320"/>
      <c r="K5" s="320"/>
      <c r="L5" s="320">
        <v>45077</v>
      </c>
      <c r="M5" s="320">
        <v>46095</v>
      </c>
      <c r="N5" s="321"/>
    </row>
    <row r="6" spans="1:15" customHeight="1" ht="17.25" s="59" customFormat="1">
      <c r="A6" s="75">
        <v>2</v>
      </c>
      <c r="B6" s="314">
        <v>570</v>
      </c>
      <c r="C6" s="315" t="s">
        <v>1506</v>
      </c>
      <c r="D6" s="316" t="s">
        <v>3111</v>
      </c>
      <c r="E6" s="317" t="s">
        <v>413</v>
      </c>
      <c r="F6" s="318" t="s">
        <v>128</v>
      </c>
      <c r="G6" s="332" t="s">
        <v>552</v>
      </c>
      <c r="H6" s="319"/>
      <c r="I6" s="320"/>
      <c r="J6" s="320">
        <v>45741</v>
      </c>
      <c r="K6" s="320">
        <v>46219</v>
      </c>
      <c r="L6" s="320">
        <v>46220</v>
      </c>
      <c r="M6" s="320">
        <v>46768</v>
      </c>
      <c r="N6" s="321"/>
    </row>
    <row r="7" spans="1:15" customHeight="1" ht="17.25" s="59" customFormat="1">
      <c r="A7" s="75">
        <v>3</v>
      </c>
      <c r="B7" s="334" t="s">
        <v>3112</v>
      </c>
      <c r="C7" s="335" t="s">
        <v>1544</v>
      </c>
      <c r="D7" s="336" t="s">
        <v>317</v>
      </c>
      <c r="E7" s="337" t="s">
        <v>498</v>
      </c>
      <c r="F7" s="338" t="s">
        <v>128</v>
      </c>
      <c r="G7" s="339" t="s">
        <v>552</v>
      </c>
      <c r="H7" s="340"/>
      <c r="I7" s="341"/>
      <c r="J7" s="341"/>
      <c r="K7" s="341"/>
      <c r="L7" s="341">
        <v>45388</v>
      </c>
      <c r="M7" s="341">
        <v>45935</v>
      </c>
      <c r="N7" s="321"/>
    </row>
    <row r="8" spans="1:15" customHeight="1" ht="17.25" s="59" customFormat="1">
      <c r="A8" s="75">
        <v>4</v>
      </c>
      <c r="B8" s="314" t="s">
        <v>3113</v>
      </c>
      <c r="C8" s="315" t="s">
        <v>2888</v>
      </c>
      <c r="D8" s="316" t="s">
        <v>3114</v>
      </c>
      <c r="E8" s="317" t="s">
        <v>3115</v>
      </c>
      <c r="F8" s="318" t="s">
        <v>128</v>
      </c>
      <c r="G8" s="332" t="s">
        <v>552</v>
      </c>
      <c r="H8" s="319"/>
      <c r="I8" s="320"/>
      <c r="J8" s="320"/>
      <c r="K8" s="320"/>
      <c r="L8" s="320">
        <v>45510</v>
      </c>
      <c r="M8" s="320">
        <v>46058</v>
      </c>
      <c r="N8" s="321"/>
    </row>
    <row r="9" spans="1:15" customHeight="1" ht="17.25" s="59" customFormat="1">
      <c r="A9" s="75">
        <v>5</v>
      </c>
      <c r="B9" s="314" t="s">
        <v>1017</v>
      </c>
      <c r="C9" s="315" t="s">
        <v>1018</v>
      </c>
      <c r="D9" s="316" t="s">
        <v>429</v>
      </c>
      <c r="E9" s="317" t="s">
        <v>431</v>
      </c>
      <c r="F9" s="318" t="s">
        <v>128</v>
      </c>
      <c r="G9" s="332" t="s">
        <v>552</v>
      </c>
      <c r="H9" s="319"/>
      <c r="I9" s="320"/>
      <c r="J9" s="320"/>
      <c r="K9" s="320"/>
      <c r="L9" s="320">
        <v>45213</v>
      </c>
      <c r="M9" s="320">
        <v>46215</v>
      </c>
      <c r="N9" s="321"/>
    </row>
    <row r="10" spans="1:15" customHeight="1" ht="17.25" s="59" customFormat="1">
      <c r="A10" s="75">
        <v>6</v>
      </c>
      <c r="B10" s="314" t="s">
        <v>1414</v>
      </c>
      <c r="C10" s="315" t="s">
        <v>1415</v>
      </c>
      <c r="D10" s="315" t="s">
        <v>180</v>
      </c>
      <c r="E10" s="315" t="s">
        <v>1417</v>
      </c>
      <c r="F10" s="318" t="s">
        <v>128</v>
      </c>
      <c r="G10" s="332" t="s">
        <v>552</v>
      </c>
      <c r="H10" s="319"/>
      <c r="I10" s="320"/>
      <c r="J10" s="320" t="s">
        <v>3110</v>
      </c>
      <c r="K10" s="320" t="s">
        <v>3110</v>
      </c>
      <c r="L10" s="320">
        <v>46108</v>
      </c>
      <c r="M10" s="320">
        <v>46656</v>
      </c>
      <c r="N10" s="321"/>
    </row>
    <row r="11" spans="1:15" customHeight="1" ht="17.25" s="59" customFormat="1">
      <c r="A11" s="75">
        <v>7</v>
      </c>
      <c r="B11" s="314" t="s">
        <v>2473</v>
      </c>
      <c r="C11" s="315" t="s">
        <v>2474</v>
      </c>
      <c r="D11" s="315" t="s">
        <v>506</v>
      </c>
      <c r="E11" s="315" t="s">
        <v>510</v>
      </c>
      <c r="F11" s="318" t="s">
        <v>128</v>
      </c>
      <c r="G11" s="332" t="s">
        <v>3116</v>
      </c>
      <c r="H11" s="319" t="s">
        <v>3110</v>
      </c>
      <c r="I11" s="320"/>
      <c r="J11" s="320"/>
      <c r="K11" s="320"/>
      <c r="L11" s="320">
        <v>45145</v>
      </c>
      <c r="M11" s="320">
        <v>46175</v>
      </c>
      <c r="N11" s="321"/>
    </row>
    <row r="12" spans="1:15" customHeight="1" ht="15">
      <c r="A12" s="75">
        <v>8</v>
      </c>
      <c r="B12" s="312" t="s">
        <v>1009</v>
      </c>
      <c r="C12" s="315" t="s">
        <v>1010</v>
      </c>
      <c r="D12" s="315" t="s">
        <v>429</v>
      </c>
      <c r="E12" s="315" t="s">
        <v>356</v>
      </c>
      <c r="F12" s="318" t="s">
        <v>128</v>
      </c>
      <c r="G12" s="332" t="s">
        <v>552</v>
      </c>
      <c r="H12" s="323" t="s">
        <v>3110</v>
      </c>
      <c r="I12" s="323" t="s">
        <v>3110</v>
      </c>
      <c r="J12" s="323" t="s">
        <v>3110</v>
      </c>
      <c r="K12" s="322"/>
      <c r="L12" s="323">
        <v>45875</v>
      </c>
      <c r="M12" s="323">
        <v>46892</v>
      </c>
      <c r="N12" s="322"/>
    </row>
    <row r="13" spans="1:15" customHeight="1" ht="15">
      <c r="A13" s="75">
        <v>9</v>
      </c>
      <c r="B13" s="312" t="s">
        <v>752</v>
      </c>
      <c r="C13" s="315" t="s">
        <v>1225</v>
      </c>
      <c r="D13" s="315" t="s">
        <v>1228</v>
      </c>
      <c r="E13" s="315" t="s">
        <v>256</v>
      </c>
      <c r="F13" s="318" t="s">
        <v>128</v>
      </c>
      <c r="G13" s="332" t="s">
        <v>552</v>
      </c>
      <c r="H13" s="323">
        <v>45803</v>
      </c>
      <c r="I13" s="323">
        <v>45942</v>
      </c>
      <c r="J13" s="322"/>
      <c r="K13" s="322"/>
      <c r="L13" s="322"/>
      <c r="M13" s="322"/>
      <c r="N13" s="322"/>
    </row>
    <row r="14" spans="1:15" customHeight="1" ht="15">
      <c r="A14" s="75">
        <v>10</v>
      </c>
      <c r="B14" s="312" t="s">
        <v>2373</v>
      </c>
      <c r="C14" s="315" t="s">
        <v>2374</v>
      </c>
      <c r="D14" s="315" t="s">
        <v>282</v>
      </c>
      <c r="E14" s="315" t="s">
        <v>283</v>
      </c>
      <c r="F14" s="318" t="s">
        <v>128</v>
      </c>
      <c r="G14" s="333" t="s">
        <v>2321</v>
      </c>
      <c r="H14" s="322"/>
      <c r="I14" s="322"/>
      <c r="J14" s="322"/>
      <c r="K14" s="322"/>
      <c r="L14" s="323">
        <v>45867</v>
      </c>
      <c r="M14" s="323">
        <v>46888</v>
      </c>
      <c r="N14" s="322"/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mergeCells>
    <mergeCell ref="F1:F2"/>
    <mergeCell ref="G1:G2"/>
    <mergeCell ref="G3:G4"/>
    <mergeCell ref="H3:I3"/>
    <mergeCell ref="J3:K3"/>
    <mergeCell ref="L3:M3"/>
    <mergeCell ref="A3:A4"/>
    <mergeCell ref="B3:B4"/>
    <mergeCell ref="C3:C4"/>
    <mergeCell ref="D3:D4"/>
    <mergeCell ref="E3:E4"/>
    <mergeCell ref="F3:F4"/>
  </mergeCells>
  <dataValidations count="2">
    <dataValidation type="list" errorStyle="stop" operator="between" allowBlank="1" showDropDown="0" showInputMessage="0" showErrorMessage="1" sqref="F5">
      <formula1>Город</formula1>
      <formula2>0</formula2>
    </dataValidation>
    <dataValidation type="list" errorStyle="stop" operator="between" allowBlank="1" showDropDown="0" showInputMessage="0" showErrorMessage="1" sqref="G5">
      <formula1>Компания</formula1>
      <formula2>0</formula2>
    </dataValidation>
  </dataValidations>
  <printOptions gridLines="false" gridLinesSet="true"/>
  <pageMargins left="0.39370078740157" right="0.39370078740157" top="0.39370078740157" bottom="0.39370078740157" header="0.51181102362205" footer="0.51181102362205"/>
  <pageSetup paperSize="9" orientation="landscape" scale="50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"/>
  <sheetViews>
    <sheetView tabSelected="0" workbookViewId="0" zoomScale="110" zoomScaleNormal="110" showGridLines="true" showRowColHeaders="1">
      <pane xSplit="3" ySplit="4" topLeftCell="E5" activePane="bottomRight" state="frozen"/>
      <selection pane="topRight"/>
      <selection pane="bottomLeft"/>
      <selection pane="bottomRight" activeCell="F8" sqref="F8"/>
    </sheetView>
  </sheetViews>
  <sheetFormatPr customHeight="true" defaultRowHeight="15" defaultColWidth="9.140625" outlineLevelRow="0" outlineLevelCol="0"/>
  <cols>
    <col min="1" max="1" width="12.5703125" customWidth="true" style="29"/>
    <col min="2" max="2" width="40" customWidth="true" style="29"/>
    <col min="3" max="3" width="36.85546875" customWidth="true" style="29"/>
    <col min="4" max="4" width="17.7109375" customWidth="true" style="29"/>
    <col min="5" max="5" width="29" customWidth="true" style="29"/>
    <col min="6" max="6" width="12.5703125" customWidth="true" style="29"/>
    <col min="7" max="7" width="12.5703125" customWidth="true" style="29"/>
    <col min="8" max="8" width="45.42578125" customWidth="true" style="29"/>
    <col min="9" max="9" width="17.85546875" customWidth="true" style="29"/>
    <col min="10" max="10" width="24.7109375" customWidth="true" style="29"/>
  </cols>
  <sheetData>
    <row r="1" spans="1:10" customHeight="1" ht="20.25">
      <c r="A1" s="23"/>
      <c r="B1" s="24" t="s">
        <v>79</v>
      </c>
      <c r="D1" s="764" t="s">
        <v>598</v>
      </c>
      <c r="E1" s="764" t="s">
        <v>598</v>
      </c>
    </row>
    <row r="2" spans="1:10" customHeight="1" ht="20.45">
      <c r="A2" s="25"/>
      <c r="B2" s="24" t="s">
        <v>80</v>
      </c>
      <c r="D2" s="765"/>
      <c r="E2" s="765"/>
    </row>
    <row r="3" spans="1:10" customHeight="1" ht="33.6" s="57" customFormat="1">
      <c r="A3" s="766" t="s">
        <v>3103</v>
      </c>
      <c r="B3" s="766" t="s">
        <v>18</v>
      </c>
      <c r="C3" s="766" t="s">
        <v>28</v>
      </c>
      <c r="D3" s="766" t="s">
        <v>120</v>
      </c>
      <c r="E3" s="766" t="s">
        <v>514</v>
      </c>
      <c r="F3" s="768" t="s">
        <v>3117</v>
      </c>
      <c r="G3" s="769"/>
      <c r="H3" s="766" t="s">
        <v>3118</v>
      </c>
      <c r="I3" s="766" t="s">
        <v>3082</v>
      </c>
    </row>
    <row r="4" spans="1:10" customHeight="1" ht="14.45" s="58" customFormat="1">
      <c r="A4" s="767"/>
      <c r="B4" s="767"/>
      <c r="C4" s="767"/>
      <c r="D4" s="767"/>
      <c r="E4" s="767"/>
      <c r="F4" s="219" t="s">
        <v>3107</v>
      </c>
      <c r="G4" s="219" t="s">
        <v>3108</v>
      </c>
      <c r="H4" s="767"/>
      <c r="I4" s="767"/>
    </row>
    <row r="5" spans="1:10" customHeight="1" ht="28.9" s="179" customFormat="1">
      <c r="A5" s="181"/>
      <c r="B5" s="174" t="s">
        <v>3083</v>
      </c>
      <c r="C5" s="174" t="s">
        <v>415</v>
      </c>
      <c r="D5" s="175" t="s">
        <v>128</v>
      </c>
      <c r="E5" s="176" t="s">
        <v>552</v>
      </c>
      <c r="F5" s="177">
        <v>44652</v>
      </c>
      <c r="G5" s="180">
        <v>46477</v>
      </c>
      <c r="H5" s="178"/>
      <c r="I5" s="182"/>
    </row>
    <row r="6" spans="1:10" customHeight="1" ht="28.9" s="179" customFormat="1">
      <c r="A6" s="181"/>
      <c r="B6" s="174" t="s">
        <v>3119</v>
      </c>
      <c r="C6" s="174" t="s">
        <v>360</v>
      </c>
      <c r="D6" s="175" t="s">
        <v>128</v>
      </c>
      <c r="E6" s="176" t="s">
        <v>552</v>
      </c>
      <c r="F6" s="177">
        <v>44652</v>
      </c>
      <c r="G6" s="180">
        <v>45747</v>
      </c>
      <c r="H6" s="178"/>
      <c r="I6" s="182"/>
    </row>
    <row r="7" spans="1:10" customHeight="1" ht="28.9" s="179" customFormat="1">
      <c r="A7" s="181"/>
      <c r="B7" s="174" t="s">
        <v>2788</v>
      </c>
      <c r="C7" s="174" t="s">
        <v>502</v>
      </c>
      <c r="D7" s="175" t="s">
        <v>128</v>
      </c>
      <c r="E7" s="176" t="s">
        <v>552</v>
      </c>
      <c r="F7" s="177">
        <v>44652</v>
      </c>
      <c r="G7" s="180">
        <v>45747</v>
      </c>
      <c r="H7" s="178"/>
      <c r="I7" s="182"/>
    </row>
    <row r="8" spans="1:10" customHeight="1" ht="28.9" s="179" customFormat="1">
      <c r="A8" s="181"/>
      <c r="B8" s="174" t="s">
        <v>3120</v>
      </c>
      <c r="C8" s="174" t="s">
        <v>334</v>
      </c>
      <c r="D8" s="175" t="s">
        <v>128</v>
      </c>
      <c r="E8" s="176" t="s">
        <v>552</v>
      </c>
      <c r="F8" s="177">
        <v>44652</v>
      </c>
      <c r="G8" s="180">
        <v>45747</v>
      </c>
      <c r="H8" s="178"/>
      <c r="I8" s="182"/>
    </row>
    <row r="9" spans="1:10" customHeight="1" ht="28.9" s="179" customFormat="1">
      <c r="A9" s="181"/>
      <c r="B9" s="174" t="s">
        <v>3120</v>
      </c>
      <c r="C9" s="174" t="s">
        <v>3121</v>
      </c>
      <c r="D9" s="175" t="s">
        <v>128</v>
      </c>
      <c r="E9" s="176"/>
      <c r="F9" s="177">
        <v>45354</v>
      </c>
      <c r="G9" s="180">
        <v>45718</v>
      </c>
      <c r="H9" s="178"/>
      <c r="I9" s="182"/>
    </row>
    <row r="10" spans="1:10" customHeight="1" ht="28.9" s="179" customFormat="1">
      <c r="A10" s="181"/>
      <c r="B10" s="174" t="s">
        <v>2739</v>
      </c>
      <c r="C10" s="174" t="s">
        <v>3122</v>
      </c>
      <c r="D10" s="175" t="s">
        <v>128</v>
      </c>
      <c r="E10" s="176" t="s">
        <v>540</v>
      </c>
      <c r="F10" s="177">
        <v>44652</v>
      </c>
      <c r="G10" s="180">
        <v>46477</v>
      </c>
      <c r="H10" s="178"/>
      <c r="I10" s="182"/>
    </row>
    <row r="11" spans="1:10" customHeight="1" ht="28.9" s="179" customFormat="1">
      <c r="A11" s="181"/>
      <c r="B11" s="174" t="s">
        <v>3123</v>
      </c>
      <c r="C11" s="174" t="s">
        <v>177</v>
      </c>
      <c r="D11" s="175" t="s">
        <v>128</v>
      </c>
      <c r="E11" s="176" t="s">
        <v>552</v>
      </c>
      <c r="F11" s="177">
        <v>44652</v>
      </c>
      <c r="G11" s="180">
        <v>46477</v>
      </c>
      <c r="H11" s="178"/>
      <c r="I11" s="182"/>
    </row>
    <row r="12" spans="1:10" customHeight="1" ht="28.9" s="179" customFormat="1">
      <c r="A12" s="181"/>
      <c r="B12" s="174" t="s">
        <v>3124</v>
      </c>
      <c r="C12" s="174" t="s">
        <v>3125</v>
      </c>
      <c r="D12" s="175" t="s">
        <v>128</v>
      </c>
      <c r="E12" s="176" t="s">
        <v>540</v>
      </c>
      <c r="F12" s="177">
        <v>44652</v>
      </c>
      <c r="G12" s="180">
        <v>46477</v>
      </c>
      <c r="H12" s="178"/>
      <c r="I12" s="182"/>
    </row>
    <row r="13" spans="1:10" customHeight="1" ht="28.9" s="179" customFormat="1">
      <c r="A13" s="183"/>
      <c r="B13" s="184" t="s">
        <v>3126</v>
      </c>
      <c r="C13" s="184" t="s">
        <v>132</v>
      </c>
      <c r="D13" s="184" t="s">
        <v>128</v>
      </c>
      <c r="E13" s="185" t="s">
        <v>3127</v>
      </c>
      <c r="F13" s="177">
        <v>45143</v>
      </c>
      <c r="G13" s="224">
        <v>45874</v>
      </c>
      <c r="H13" s="186"/>
      <c r="I13" s="187"/>
    </row>
    <row r="14" spans="1:10" customHeight="1" ht="28.9" s="179" customFormat="1">
      <c r="A14" s="183"/>
      <c r="B14" s="184" t="s">
        <v>3128</v>
      </c>
      <c r="C14" s="184" t="s">
        <v>163</v>
      </c>
      <c r="D14" s="184" t="s">
        <v>128</v>
      </c>
      <c r="E14" s="185" t="s">
        <v>3129</v>
      </c>
      <c r="F14" s="177">
        <v>44652</v>
      </c>
      <c r="G14" s="224">
        <v>45382</v>
      </c>
      <c r="H14" s="186"/>
      <c r="I14" s="187"/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mergeCells>
    <mergeCell ref="I3:I4"/>
    <mergeCell ref="D1:D2"/>
    <mergeCell ref="E1:E2"/>
    <mergeCell ref="E3:E4"/>
    <mergeCell ref="A3:A4"/>
    <mergeCell ref="B3:B4"/>
    <mergeCell ref="C3:C4"/>
    <mergeCell ref="D3:D4"/>
    <mergeCell ref="F3:G3"/>
    <mergeCell ref="H3:H4"/>
  </mergeCells>
  <dataValidations count="1">
    <dataValidation type="list" errorStyle="stop" operator="between" allowBlank="1" showDropDown="0" showInputMessage="0" showErrorMessage="1" sqref="E5:E12">
      <formula1>Компания</formula1>
      <formula2>0</formula2>
    </dataValidation>
  </dataValidations>
  <printOptions gridLines="false" gridLinesSet="true"/>
  <pageMargins left="0.7" right="0.7" top="0.75" bottom="0.75" header="0.51180555555556" footer="0.51180555555556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0" workbookViewId="0" showGridLines="true" showRowColHeaders="1">
      <pane ySplit="1" topLeftCell="A2" activePane="bottomLeft" state="frozen"/>
      <selection pane="bottomLeft" activeCell="F2" sqref="F2"/>
    </sheetView>
  </sheetViews>
  <sheetFormatPr customHeight="true" defaultRowHeight="15" outlineLevelRow="0" outlineLevelCol="0"/>
  <cols>
    <col min="1" max="1" width="4.85546875" customWidth="true" style="0"/>
    <col min="2" max="2" width="12.42578125" customWidth="true" style="0"/>
    <col min="3" max="3" width="22.5703125" customWidth="true" style="0"/>
    <col min="4" max="4" width="19.85546875" customWidth="true" style="0"/>
    <col min="5" max="5" width="15.140625" customWidth="true" style="0"/>
    <col min="6" max="6" width="32.28515625" customWidth="true" style="0"/>
    <col min="7" max="7" width="15.140625" customWidth="true" style="0"/>
    <col min="8" max="8" width="35.140625" customWidth="true" style="0"/>
  </cols>
  <sheetData>
    <row r="1" spans="1:8" customHeight="1" ht="30" s="228" customFormat="1">
      <c r="A1" s="167" t="s">
        <v>3102</v>
      </c>
      <c r="B1" s="167" t="s">
        <v>120</v>
      </c>
      <c r="C1" s="167" t="s">
        <v>3084</v>
      </c>
      <c r="D1" s="167" t="s">
        <v>26</v>
      </c>
      <c r="E1" s="167" t="s">
        <v>28</v>
      </c>
      <c r="F1" s="167" t="s">
        <v>18</v>
      </c>
      <c r="G1" s="167" t="s">
        <v>3130</v>
      </c>
      <c r="H1" s="167" t="s">
        <v>3131</v>
      </c>
    </row>
    <row r="2" spans="1:8" customHeight="1" ht="75" s="225" customFormat="1">
      <c r="A2" s="226">
        <v>1</v>
      </c>
      <c r="B2" s="226" t="s">
        <v>3132</v>
      </c>
      <c r="C2" s="226" t="s">
        <v>552</v>
      </c>
      <c r="D2" s="226" t="s">
        <v>3133</v>
      </c>
      <c r="E2" s="226" t="s">
        <v>3134</v>
      </c>
      <c r="F2" s="226" t="s">
        <v>1783</v>
      </c>
      <c r="G2" s="227">
        <v>44830</v>
      </c>
      <c r="H2" s="226" t="s">
        <v>3135</v>
      </c>
    </row>
    <row r="3" spans="1:8" customHeight="1" ht="30" s="225" customFormat="1">
      <c r="A3" s="226">
        <v>2</v>
      </c>
      <c r="B3" s="226" t="s">
        <v>3132</v>
      </c>
      <c r="C3" s="226" t="s">
        <v>3116</v>
      </c>
      <c r="D3" s="226" t="s">
        <v>391</v>
      </c>
      <c r="E3" s="226" t="s">
        <v>3136</v>
      </c>
      <c r="F3" s="226" t="s">
        <v>2507</v>
      </c>
      <c r="G3" s="227">
        <v>44829</v>
      </c>
      <c r="H3" s="226" t="s">
        <v>3137</v>
      </c>
    </row>
    <row r="4" spans="1:8" customHeight="1" ht="30" s="225" customFormat="1">
      <c r="A4" s="226">
        <v>3</v>
      </c>
      <c r="B4" s="226" t="s">
        <v>3132</v>
      </c>
      <c r="C4" s="226" t="s">
        <v>3116</v>
      </c>
      <c r="D4" s="226" t="s">
        <v>391</v>
      </c>
      <c r="E4" s="226" t="s">
        <v>3136</v>
      </c>
      <c r="F4" s="226" t="s">
        <v>2521</v>
      </c>
      <c r="G4" s="227">
        <v>44868</v>
      </c>
      <c r="H4" s="226" t="s">
        <v>3138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dataValidations count="1">
    <dataValidation type="list" errorStyle="stop" operator="between" allowBlank="1" showDropDown="0" showInputMessage="0" showErrorMessage="1" sqref="C2">
      <formula1>Компания</formula1>
      <formula2>0</formula2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8"/>
  <sheetViews>
    <sheetView tabSelected="0" workbookViewId="0" showGridLines="true" showRowColHeaders="1">
      <pane xSplit="1" ySplit="2" topLeftCell="B81" activePane="bottomRight" state="frozen"/>
      <selection pane="topRight"/>
      <selection pane="bottomLeft"/>
      <selection pane="bottomRight" activeCell="E88" sqref="E88"/>
    </sheetView>
  </sheetViews>
  <sheetFormatPr customHeight="true" defaultRowHeight="15" outlineLevelRow="0" outlineLevelCol="0"/>
  <cols>
    <col min="1" max="1" width="5" customWidth="true" style="0"/>
    <col min="2" max="2" width="28.85546875" customWidth="true" style="0"/>
    <col min="3" max="3" width="25.7109375" customWidth="true" style="0"/>
    <col min="4" max="4" width="26.42578125" customWidth="true" style="0"/>
    <col min="5" max="5" width="38.7109375" customWidth="true" style="0"/>
    <col min="6" max="6" width="23.7109375" customWidth="true" style="0"/>
  </cols>
  <sheetData>
    <row r="1" spans="1:7" customHeight="1" ht="15">
      <c r="A1" s="770" t="s">
        <v>3102</v>
      </c>
      <c r="B1" s="770" t="s">
        <v>18</v>
      </c>
      <c r="C1" s="770" t="s">
        <v>26</v>
      </c>
      <c r="D1" s="770" t="s">
        <v>28</v>
      </c>
      <c r="E1" s="770" t="s">
        <v>3084</v>
      </c>
      <c r="F1" s="770" t="s">
        <v>120</v>
      </c>
    </row>
    <row r="2" spans="1:7" customHeight="1" ht="15">
      <c r="A2" s="770"/>
      <c r="B2" s="770"/>
      <c r="C2" s="770"/>
      <c r="D2" s="770"/>
      <c r="E2" s="770"/>
      <c r="F2" s="770"/>
    </row>
    <row r="3" spans="1:7" customHeight="1" ht="15" s="233" customFormat="1">
      <c r="A3" s="231">
        <v>1</v>
      </c>
      <c r="B3" s="232" t="s">
        <v>3139</v>
      </c>
      <c r="C3" s="232" t="s">
        <v>426</v>
      </c>
      <c r="D3" s="232" t="s">
        <v>3140</v>
      </c>
      <c r="E3" s="232" t="s">
        <v>2321</v>
      </c>
      <c r="F3" s="232" t="s">
        <v>128</v>
      </c>
    </row>
    <row r="4" spans="1:7" customHeight="1" ht="15">
      <c r="A4" s="61">
        <v>2</v>
      </c>
      <c r="B4" s="203" t="s">
        <v>1648</v>
      </c>
      <c r="C4" s="203" t="s">
        <v>378</v>
      </c>
      <c r="D4" s="203" t="s">
        <v>1651</v>
      </c>
      <c r="E4" s="203" t="s">
        <v>996</v>
      </c>
      <c r="F4" s="204" t="s">
        <v>128</v>
      </c>
    </row>
    <row r="5" spans="1:7" customHeight="1" ht="15" s="233" customFormat="1">
      <c r="A5" s="231">
        <v>3</v>
      </c>
      <c r="B5" s="232" t="s">
        <v>3141</v>
      </c>
      <c r="C5" s="232" t="s">
        <v>3142</v>
      </c>
      <c r="D5" s="232" t="s">
        <v>372</v>
      </c>
      <c r="E5" s="232" t="s">
        <v>996</v>
      </c>
      <c r="F5" s="232" t="s">
        <v>128</v>
      </c>
    </row>
    <row r="6" spans="1:7" customHeight="1" ht="15">
      <c r="A6" s="61">
        <v>4</v>
      </c>
      <c r="B6" s="203" t="s">
        <v>2795</v>
      </c>
      <c r="C6" s="203" t="s">
        <v>180</v>
      </c>
      <c r="D6" s="203" t="s">
        <v>2199</v>
      </c>
      <c r="E6" s="203" t="s">
        <v>996</v>
      </c>
      <c r="F6" s="204" t="s">
        <v>128</v>
      </c>
    </row>
    <row r="7" spans="1:7" customHeight="1" ht="15" s="233" customFormat="1">
      <c r="A7" s="231">
        <v>5</v>
      </c>
      <c r="B7" s="232" t="s">
        <v>3143</v>
      </c>
      <c r="C7" s="232" t="s">
        <v>279</v>
      </c>
      <c r="D7" s="232" t="s">
        <v>3144</v>
      </c>
      <c r="E7" s="232" t="s">
        <v>3145</v>
      </c>
      <c r="F7" s="232" t="s">
        <v>128</v>
      </c>
    </row>
    <row r="8" spans="1:7" customHeight="1" ht="15" s="233" customFormat="1">
      <c r="A8" s="231">
        <v>6</v>
      </c>
      <c r="B8" s="232" t="s">
        <v>3146</v>
      </c>
      <c r="C8" s="232" t="s">
        <v>378</v>
      </c>
      <c r="D8" s="232" t="s">
        <v>3147</v>
      </c>
      <c r="E8" s="232" t="s">
        <v>996</v>
      </c>
      <c r="F8" s="232" t="s">
        <v>128</v>
      </c>
    </row>
    <row r="9" spans="1:7" customHeight="1" ht="15" s="233" customFormat="1">
      <c r="A9" s="231">
        <v>7</v>
      </c>
      <c r="B9" s="232" t="s">
        <v>3148</v>
      </c>
      <c r="C9" s="232" t="s">
        <v>3149</v>
      </c>
      <c r="D9" s="232" t="s">
        <v>3150</v>
      </c>
      <c r="E9" s="232" t="s">
        <v>996</v>
      </c>
      <c r="F9" s="232" t="s">
        <v>128</v>
      </c>
    </row>
    <row r="10" spans="1:7" customHeight="1" ht="15" s="233" customFormat="1">
      <c r="A10" s="231">
        <v>8</v>
      </c>
      <c r="B10" s="232" t="s">
        <v>3151</v>
      </c>
      <c r="C10" s="232" t="s">
        <v>3152</v>
      </c>
      <c r="D10" s="232" t="s">
        <v>427</v>
      </c>
      <c r="E10" s="232" t="s">
        <v>2321</v>
      </c>
      <c r="F10" s="232" t="s">
        <v>128</v>
      </c>
    </row>
    <row r="11" spans="1:7" customHeight="1" ht="15" s="233" customFormat="1">
      <c r="A11" s="231">
        <v>9</v>
      </c>
      <c r="B11" s="232" t="s">
        <v>3153</v>
      </c>
      <c r="C11" s="232" t="s">
        <v>3154</v>
      </c>
      <c r="D11" s="232" t="s">
        <v>235</v>
      </c>
      <c r="E11" s="232" t="s">
        <v>3145</v>
      </c>
      <c r="F11" s="232" t="s">
        <v>128</v>
      </c>
    </row>
    <row r="12" spans="1:7" customHeight="1" ht="15">
      <c r="A12" s="61">
        <v>10</v>
      </c>
      <c r="B12" s="203" t="s">
        <v>3155</v>
      </c>
      <c r="C12" s="203" t="s">
        <v>3156</v>
      </c>
      <c r="D12" s="203" t="s">
        <v>505</v>
      </c>
      <c r="E12" s="203" t="s">
        <v>2321</v>
      </c>
      <c r="F12" s="203" t="s">
        <v>128</v>
      </c>
    </row>
    <row r="13" spans="1:7" customHeight="1" ht="15">
      <c r="A13" s="61">
        <v>11</v>
      </c>
      <c r="B13" s="203" t="s">
        <v>3157</v>
      </c>
      <c r="C13" s="203" t="s">
        <v>3158</v>
      </c>
      <c r="D13" s="203" t="s">
        <v>3159</v>
      </c>
      <c r="E13" s="203" t="s">
        <v>817</v>
      </c>
      <c r="F13" s="203" t="s">
        <v>128</v>
      </c>
    </row>
    <row r="14" spans="1:7" customHeight="1" ht="15">
      <c r="A14" s="61">
        <v>12</v>
      </c>
      <c r="B14" s="218" t="s">
        <v>3151</v>
      </c>
      <c r="C14" s="203" t="s">
        <v>3156</v>
      </c>
      <c r="D14" s="203" t="s">
        <v>505</v>
      </c>
      <c r="E14" s="203" t="s">
        <v>2321</v>
      </c>
      <c r="F14" s="203" t="s">
        <v>128</v>
      </c>
    </row>
    <row r="15" spans="1:7" customHeight="1" ht="15" s="233" customFormat="1">
      <c r="A15" s="231">
        <v>13</v>
      </c>
      <c r="B15" s="232" t="s">
        <v>3160</v>
      </c>
      <c r="C15" s="232" t="s">
        <v>292</v>
      </c>
      <c r="D15" s="232" t="s">
        <v>431</v>
      </c>
      <c r="E15" s="232" t="s">
        <v>996</v>
      </c>
      <c r="F15" s="232" t="s">
        <v>128</v>
      </c>
    </row>
    <row r="16" spans="1:7" customHeight="1" ht="15" s="233" customFormat="1">
      <c r="A16" s="231">
        <v>14</v>
      </c>
      <c r="B16" s="232" t="s">
        <v>3161</v>
      </c>
      <c r="C16" s="232" t="s">
        <v>317</v>
      </c>
      <c r="D16" s="232" t="s">
        <v>321</v>
      </c>
      <c r="E16" s="232" t="s">
        <v>996</v>
      </c>
      <c r="F16" s="232" t="s">
        <v>128</v>
      </c>
    </row>
    <row r="17" spans="1:7" customHeight="1" ht="15">
      <c r="A17" s="61">
        <v>15</v>
      </c>
      <c r="B17" s="61" t="s">
        <v>3162</v>
      </c>
      <c r="C17" s="61" t="s">
        <v>3163</v>
      </c>
      <c r="D17" s="61" t="s">
        <v>492</v>
      </c>
      <c r="E17" s="203" t="s">
        <v>996</v>
      </c>
      <c r="F17" s="203" t="s">
        <v>128</v>
      </c>
    </row>
    <row r="18" spans="1:7" customHeight="1" ht="15">
      <c r="A18" s="61">
        <v>16</v>
      </c>
      <c r="B18" s="60" t="s">
        <v>3164</v>
      </c>
      <c r="C18" s="60" t="s">
        <v>3150</v>
      </c>
      <c r="D18" s="60" t="s">
        <v>3165</v>
      </c>
      <c r="E18" s="203" t="s">
        <v>996</v>
      </c>
      <c r="F18" s="203" t="s">
        <v>128</v>
      </c>
    </row>
    <row r="19" spans="1:7" customHeight="1" ht="15" s="233" customFormat="1">
      <c r="A19" s="231">
        <v>17</v>
      </c>
      <c r="B19" s="232" t="s">
        <v>3166</v>
      </c>
      <c r="C19" s="232" t="s">
        <v>329</v>
      </c>
      <c r="D19" s="232" t="s">
        <v>3167</v>
      </c>
      <c r="E19" s="232" t="s">
        <v>996</v>
      </c>
      <c r="F19" s="232" t="s">
        <v>128</v>
      </c>
    </row>
    <row r="20" spans="1:7" customHeight="1" ht="15" s="233" customFormat="1">
      <c r="A20" s="231">
        <v>18</v>
      </c>
      <c r="B20" s="232" t="s">
        <v>3168</v>
      </c>
      <c r="C20" s="232" t="s">
        <v>3169</v>
      </c>
      <c r="D20" s="232" t="s">
        <v>3170</v>
      </c>
      <c r="E20" s="232" t="s">
        <v>996</v>
      </c>
      <c r="F20" s="232" t="s">
        <v>128</v>
      </c>
    </row>
    <row r="21" spans="1:7" customHeight="1" ht="15">
      <c r="A21" s="60">
        <v>19</v>
      </c>
      <c r="B21" s="60" t="s">
        <v>3171</v>
      </c>
      <c r="C21" s="60" t="s">
        <v>510</v>
      </c>
      <c r="D21" s="60" t="s">
        <v>3172</v>
      </c>
      <c r="E21" s="218" t="s">
        <v>3116</v>
      </c>
      <c r="F21" s="203" t="s">
        <v>128</v>
      </c>
    </row>
    <row r="22" spans="1:7" customHeight="1" ht="15">
      <c r="A22" s="60">
        <v>20</v>
      </c>
      <c r="B22" s="60" t="s">
        <v>3157</v>
      </c>
      <c r="C22" s="60" t="s">
        <v>137</v>
      </c>
      <c r="D22" s="60" t="s">
        <v>3173</v>
      </c>
      <c r="E22" s="218" t="s">
        <v>817</v>
      </c>
      <c r="F22" s="203" t="s">
        <v>3174</v>
      </c>
    </row>
    <row r="23" spans="1:7" customHeight="1" ht="15">
      <c r="A23" s="60">
        <v>21</v>
      </c>
      <c r="B23" s="60" t="s">
        <v>3175</v>
      </c>
      <c r="C23" s="60" t="s">
        <v>505</v>
      </c>
      <c r="D23" s="60" t="s">
        <v>3176</v>
      </c>
      <c r="E23" s="218" t="s">
        <v>2321</v>
      </c>
      <c r="F23" s="203" t="s">
        <v>128</v>
      </c>
    </row>
    <row r="24" spans="1:7" customHeight="1" ht="15">
      <c r="A24" s="60">
        <v>22</v>
      </c>
      <c r="B24" s="60" t="s">
        <v>3177</v>
      </c>
      <c r="C24" s="60" t="s">
        <v>427</v>
      </c>
      <c r="D24" s="60" t="s">
        <v>3156</v>
      </c>
      <c r="E24" s="218" t="s">
        <v>2321</v>
      </c>
      <c r="F24" s="203" t="s">
        <v>128</v>
      </c>
    </row>
    <row r="25" spans="1:7" customHeight="1" ht="15">
      <c r="A25" s="61">
        <v>23</v>
      </c>
      <c r="B25" s="60" t="s">
        <v>3178</v>
      </c>
      <c r="C25" s="60" t="s">
        <v>3179</v>
      </c>
      <c r="D25" s="60" t="s">
        <v>180</v>
      </c>
      <c r="E25" s="203" t="s">
        <v>996</v>
      </c>
      <c r="F25" s="203" t="s">
        <v>128</v>
      </c>
    </row>
    <row r="26" spans="1:7" customHeight="1" ht="15" s="233" customFormat="1">
      <c r="A26" s="231">
        <v>24</v>
      </c>
      <c r="B26" s="232" t="s">
        <v>3180</v>
      </c>
      <c r="C26" s="232" t="s">
        <v>3181</v>
      </c>
      <c r="D26" s="232" t="s">
        <v>3182</v>
      </c>
      <c r="E26" s="232" t="s">
        <v>3145</v>
      </c>
      <c r="F26" s="232" t="s">
        <v>128</v>
      </c>
    </row>
    <row r="27" spans="1:7" customHeight="1" ht="15" s="233" customFormat="1">
      <c r="A27" s="231">
        <v>25</v>
      </c>
      <c r="B27" s="232" t="s">
        <v>3183</v>
      </c>
      <c r="C27" s="232" t="s">
        <v>330</v>
      </c>
      <c r="D27" s="232" t="s">
        <v>3184</v>
      </c>
      <c r="E27" s="232" t="s">
        <v>3145</v>
      </c>
      <c r="F27" s="232" t="s">
        <v>128</v>
      </c>
    </row>
    <row r="28" spans="1:7" customHeight="1" ht="15">
      <c r="A28" s="61">
        <v>26</v>
      </c>
      <c r="B28" s="60" t="s">
        <v>608</v>
      </c>
      <c r="C28" s="60" t="s">
        <v>2303</v>
      </c>
      <c r="D28" s="60" t="s">
        <v>3185</v>
      </c>
      <c r="E28" s="203" t="s">
        <v>996</v>
      </c>
      <c r="F28" s="203" t="s">
        <v>128</v>
      </c>
    </row>
    <row r="29" spans="1:7" customHeight="1" ht="15" s="233" customFormat="1">
      <c r="A29" s="231">
        <v>27</v>
      </c>
      <c r="B29" s="232" t="s">
        <v>3186</v>
      </c>
      <c r="C29" s="232" t="s">
        <v>3096</v>
      </c>
      <c r="D29" s="232" t="s">
        <v>3187</v>
      </c>
      <c r="E29" s="232" t="s">
        <v>996</v>
      </c>
      <c r="F29" s="232" t="s">
        <v>128</v>
      </c>
      <c r="G29" s="233" t="s">
        <v>3110</v>
      </c>
    </row>
    <row r="30" spans="1:7" customHeight="1" ht="15">
      <c r="A30" s="61">
        <v>28</v>
      </c>
      <c r="B30" s="61" t="s">
        <v>2726</v>
      </c>
      <c r="C30" s="60" t="s">
        <v>3188</v>
      </c>
      <c r="D30" s="61" t="s">
        <v>3189</v>
      </c>
      <c r="E30" s="203" t="s">
        <v>996</v>
      </c>
      <c r="F30" s="203" t="s">
        <v>128</v>
      </c>
    </row>
    <row r="31" spans="1:7" customHeight="1" ht="15">
      <c r="A31" s="61">
        <v>29</v>
      </c>
      <c r="B31" s="61" t="s">
        <v>2075</v>
      </c>
      <c r="C31" s="60" t="s">
        <v>3190</v>
      </c>
      <c r="D31" s="61" t="s">
        <v>3191</v>
      </c>
      <c r="E31" s="203" t="s">
        <v>996</v>
      </c>
      <c r="F31" s="203" t="s">
        <v>128</v>
      </c>
    </row>
    <row r="32" spans="1:7" customHeight="1" ht="15" s="233" customFormat="1">
      <c r="A32" s="231">
        <v>30</v>
      </c>
      <c r="B32" s="232" t="s">
        <v>3192</v>
      </c>
      <c r="C32" s="232" t="s">
        <v>283</v>
      </c>
      <c r="D32" s="232" t="s">
        <v>3193</v>
      </c>
      <c r="E32" s="232" t="s">
        <v>996</v>
      </c>
      <c r="F32" s="232" t="s">
        <v>128</v>
      </c>
    </row>
    <row r="33" spans="1:7" customHeight="1" ht="15" s="233" customFormat="1">
      <c r="A33" s="231">
        <v>31</v>
      </c>
      <c r="B33" s="232" t="s">
        <v>3194</v>
      </c>
      <c r="C33" s="232" t="s">
        <v>3195</v>
      </c>
      <c r="D33" s="232" t="s">
        <v>3196</v>
      </c>
      <c r="E33" s="232" t="s">
        <v>996</v>
      </c>
      <c r="F33" s="232" t="s">
        <v>128</v>
      </c>
    </row>
    <row r="34" spans="1:7" customHeight="1" ht="15">
      <c r="A34" s="61">
        <v>32</v>
      </c>
      <c r="B34" s="61" t="s">
        <v>2278</v>
      </c>
      <c r="C34" s="60" t="s">
        <v>273</v>
      </c>
      <c r="D34" s="61" t="s">
        <v>3197</v>
      </c>
      <c r="E34" s="203" t="s">
        <v>996</v>
      </c>
      <c r="F34" s="203" t="s">
        <v>128</v>
      </c>
    </row>
    <row r="35" spans="1:7" customHeight="1" ht="15">
      <c r="A35" s="61">
        <v>33</v>
      </c>
      <c r="B35" s="61" t="s">
        <v>3198</v>
      </c>
      <c r="C35" s="60" t="s">
        <v>3199</v>
      </c>
      <c r="D35" s="61" t="s">
        <v>3200</v>
      </c>
      <c r="E35" s="203" t="s">
        <v>996</v>
      </c>
      <c r="F35" s="203" t="s">
        <v>128</v>
      </c>
    </row>
    <row r="36" spans="1:7" customHeight="1" ht="15" s="233" customFormat="1">
      <c r="A36" s="231">
        <v>34</v>
      </c>
      <c r="B36" s="232" t="s">
        <v>3201</v>
      </c>
      <c r="C36" s="232" t="s">
        <v>283</v>
      </c>
      <c r="D36" s="232" t="s">
        <v>3202</v>
      </c>
      <c r="E36" s="232" t="s">
        <v>996</v>
      </c>
      <c r="F36" s="232" t="s">
        <v>128</v>
      </c>
    </row>
    <row r="37" spans="1:7" customHeight="1" ht="15">
      <c r="A37" s="61">
        <v>35</v>
      </c>
      <c r="B37" s="61" t="s">
        <v>3203</v>
      </c>
      <c r="C37" s="60" t="s">
        <v>254</v>
      </c>
      <c r="D37" s="61" t="s">
        <v>3204</v>
      </c>
      <c r="E37" s="203" t="s">
        <v>996</v>
      </c>
      <c r="F37" s="203" t="s">
        <v>128</v>
      </c>
    </row>
    <row r="38" spans="1:7" customHeight="1" ht="15">
      <c r="A38" s="61">
        <v>36</v>
      </c>
      <c r="B38" s="61" t="s">
        <v>950</v>
      </c>
      <c r="C38" s="60" t="s">
        <v>3205</v>
      </c>
      <c r="D38" s="61" t="s">
        <v>3206</v>
      </c>
      <c r="E38" s="203" t="s">
        <v>3207</v>
      </c>
      <c r="F38" s="203" t="s">
        <v>367</v>
      </c>
    </row>
    <row r="39" spans="1:7" customHeight="1" ht="15" s="233" customFormat="1">
      <c r="A39" s="231">
        <v>37</v>
      </c>
      <c r="B39" s="232" t="s">
        <v>3208</v>
      </c>
      <c r="C39" s="232" t="s">
        <v>3209</v>
      </c>
      <c r="D39" s="232" t="s">
        <v>3210</v>
      </c>
      <c r="E39" s="232" t="s">
        <v>3145</v>
      </c>
      <c r="F39" s="232" t="s">
        <v>128</v>
      </c>
    </row>
    <row r="40" spans="1:7" customHeight="1" ht="15">
      <c r="A40" s="61">
        <v>38</v>
      </c>
      <c r="B40" s="61" t="s">
        <v>1266</v>
      </c>
      <c r="C40" s="60" t="s">
        <v>321</v>
      </c>
      <c r="D40" s="61" t="s">
        <v>3211</v>
      </c>
      <c r="E40" s="203" t="s">
        <v>996</v>
      </c>
      <c r="F40" s="203" t="s">
        <v>128</v>
      </c>
    </row>
    <row r="41" spans="1:7" customHeight="1" ht="15">
      <c r="A41" s="61">
        <v>39</v>
      </c>
      <c r="B41" s="61" t="s">
        <v>3212</v>
      </c>
      <c r="C41" s="60" t="s">
        <v>277</v>
      </c>
      <c r="D41" s="61" t="s">
        <v>255</v>
      </c>
      <c r="E41" s="203" t="s">
        <v>996</v>
      </c>
      <c r="F41" s="203" t="s">
        <v>128</v>
      </c>
    </row>
    <row r="42" spans="1:7" customHeight="1" ht="15" s="233" customFormat="1">
      <c r="A42" s="231">
        <v>40</v>
      </c>
      <c r="B42" s="232" t="s">
        <v>3213</v>
      </c>
      <c r="C42" s="232" t="s">
        <v>3170</v>
      </c>
      <c r="D42" s="232" t="s">
        <v>3214</v>
      </c>
      <c r="E42" s="232" t="s">
        <v>996</v>
      </c>
      <c r="F42" s="232" t="s">
        <v>128</v>
      </c>
    </row>
    <row r="43" spans="1:7" customHeight="1" ht="15" s="233" customFormat="1">
      <c r="A43" s="231">
        <v>41</v>
      </c>
      <c r="B43" s="232" t="s">
        <v>3215</v>
      </c>
      <c r="C43" s="232" t="s">
        <v>3216</v>
      </c>
      <c r="D43" s="232" t="s">
        <v>386</v>
      </c>
      <c r="E43" s="232" t="s">
        <v>996</v>
      </c>
      <c r="F43" s="232" t="s">
        <v>128</v>
      </c>
    </row>
    <row r="44" spans="1:7" customHeight="1" ht="15">
      <c r="A44" s="61">
        <v>42</v>
      </c>
      <c r="B44" s="61" t="s">
        <v>1048</v>
      </c>
      <c r="C44" s="60" t="s">
        <v>3187</v>
      </c>
      <c r="D44" s="61" t="s">
        <v>3096</v>
      </c>
      <c r="E44" s="203" t="s">
        <v>996</v>
      </c>
      <c r="F44" s="203" t="s">
        <v>128</v>
      </c>
    </row>
    <row r="45" spans="1:7" customHeight="1" ht="15">
      <c r="A45" s="61">
        <v>43</v>
      </c>
      <c r="B45" s="61" t="s">
        <v>3217</v>
      </c>
      <c r="C45" s="60" t="s">
        <v>3218</v>
      </c>
      <c r="D45" s="61" t="s">
        <v>498</v>
      </c>
      <c r="E45" s="203" t="s">
        <v>996</v>
      </c>
      <c r="F45" s="203" t="s">
        <v>128</v>
      </c>
    </row>
    <row r="46" spans="1:7" customHeight="1" ht="15">
      <c r="A46" s="61">
        <v>44</v>
      </c>
      <c r="B46" s="61" t="s">
        <v>1102</v>
      </c>
      <c r="C46" s="60" t="s">
        <v>3219</v>
      </c>
      <c r="D46" s="61" t="s">
        <v>283</v>
      </c>
      <c r="E46" s="203" t="s">
        <v>996</v>
      </c>
      <c r="F46" s="203" t="s">
        <v>128</v>
      </c>
    </row>
    <row r="47" spans="1:7" customHeight="1" ht="15">
      <c r="A47" s="61">
        <v>45</v>
      </c>
      <c r="B47" s="61" t="s">
        <v>1606</v>
      </c>
      <c r="C47" s="60" t="s">
        <v>3220</v>
      </c>
      <c r="D47" s="61" t="s">
        <v>3221</v>
      </c>
      <c r="E47" s="203" t="s">
        <v>996</v>
      </c>
      <c r="F47" s="203" t="s">
        <v>128</v>
      </c>
    </row>
    <row r="48" spans="1:7" customHeight="1" ht="15">
      <c r="A48" s="61">
        <v>46</v>
      </c>
      <c r="B48" s="61" t="s">
        <v>3222</v>
      </c>
      <c r="C48" s="60" t="s">
        <v>3223</v>
      </c>
      <c r="D48" s="61" t="s">
        <v>304</v>
      </c>
      <c r="E48" s="203" t="s">
        <v>996</v>
      </c>
      <c r="F48" s="203" t="s">
        <v>128</v>
      </c>
    </row>
    <row r="49" spans="1:7" customHeight="1" ht="15">
      <c r="A49" s="61">
        <v>47</v>
      </c>
      <c r="B49" s="61" t="s">
        <v>3224</v>
      </c>
      <c r="C49" s="60" t="s">
        <v>3197</v>
      </c>
      <c r="D49" s="61" t="s">
        <v>3225</v>
      </c>
      <c r="E49" s="203" t="s">
        <v>996</v>
      </c>
      <c r="F49" s="203" t="s">
        <v>128</v>
      </c>
    </row>
    <row r="50" spans="1:7" customHeight="1" ht="15">
      <c r="A50" s="61">
        <v>48</v>
      </c>
      <c r="B50" s="60" t="s">
        <v>3226</v>
      </c>
      <c r="C50" s="60" t="s">
        <v>3227</v>
      </c>
      <c r="D50" s="60" t="s">
        <v>3228</v>
      </c>
      <c r="E50" s="203" t="s">
        <v>996</v>
      </c>
      <c r="F50" s="203" t="s">
        <v>128</v>
      </c>
    </row>
    <row r="51" spans="1:7" customHeight="1" ht="15">
      <c r="A51" s="61">
        <v>49</v>
      </c>
      <c r="B51" s="61" t="s">
        <v>3229</v>
      </c>
      <c r="C51" s="61" t="s">
        <v>3230</v>
      </c>
      <c r="D51" s="61" t="s">
        <v>3231</v>
      </c>
      <c r="E51" s="203" t="s">
        <v>996</v>
      </c>
      <c r="F51" s="203" t="s">
        <v>128</v>
      </c>
    </row>
    <row r="52" spans="1:7" customHeight="1" ht="15">
      <c r="A52" s="61">
        <v>50</v>
      </c>
      <c r="B52" s="61" t="s">
        <v>2042</v>
      </c>
      <c r="C52" s="61" t="s">
        <v>3191</v>
      </c>
      <c r="D52" s="61" t="s">
        <v>3232</v>
      </c>
      <c r="E52" s="203" t="s">
        <v>996</v>
      </c>
      <c r="F52" s="203" t="s">
        <v>128</v>
      </c>
    </row>
    <row r="53" spans="1:7" customHeight="1" ht="15">
      <c r="A53" s="61">
        <v>51</v>
      </c>
      <c r="B53" s="61" t="s">
        <v>3233</v>
      </c>
      <c r="C53" s="61" t="s">
        <v>3234</v>
      </c>
      <c r="D53" s="61" t="s">
        <v>254</v>
      </c>
      <c r="E53" s="203" t="s">
        <v>996</v>
      </c>
      <c r="F53" s="203" t="s">
        <v>128</v>
      </c>
    </row>
    <row r="54" spans="1:7" customHeight="1" ht="15">
      <c r="A54" s="61">
        <v>52</v>
      </c>
      <c r="B54" s="61" t="s">
        <v>3235</v>
      </c>
      <c r="C54" s="61" t="s">
        <v>427</v>
      </c>
      <c r="D54" s="61" t="s">
        <v>3156</v>
      </c>
      <c r="E54" s="203" t="s">
        <v>2321</v>
      </c>
      <c r="F54" s="203" t="s">
        <v>128</v>
      </c>
    </row>
    <row r="55" spans="1:7" customHeight="1" ht="15">
      <c r="A55" s="61">
        <v>53</v>
      </c>
      <c r="B55" s="61" t="s">
        <v>3236</v>
      </c>
      <c r="C55" s="61" t="s">
        <v>3237</v>
      </c>
      <c r="D55" s="61" t="s">
        <v>3017</v>
      </c>
      <c r="E55" s="203" t="s">
        <v>996</v>
      </c>
      <c r="F55" s="203" t="s">
        <v>128</v>
      </c>
    </row>
    <row r="56" spans="1:7" customHeight="1" ht="15">
      <c r="A56" s="61">
        <v>54</v>
      </c>
      <c r="B56" s="61" t="s">
        <v>3238</v>
      </c>
      <c r="C56" s="61" t="s">
        <v>427</v>
      </c>
      <c r="D56" s="61" t="s">
        <v>3156</v>
      </c>
      <c r="E56" s="203" t="s">
        <v>2321</v>
      </c>
      <c r="F56" s="203" t="s">
        <v>128</v>
      </c>
    </row>
    <row r="57" spans="1:7" customHeight="1" ht="15">
      <c r="A57" s="229">
        <v>55</v>
      </c>
      <c r="B57" s="229" t="s">
        <v>3239</v>
      </c>
      <c r="C57" s="229" t="s">
        <v>3240</v>
      </c>
      <c r="D57" s="229" t="s">
        <v>437</v>
      </c>
      <c r="E57" s="203" t="s">
        <v>996</v>
      </c>
      <c r="F57" s="203" t="s">
        <v>128</v>
      </c>
    </row>
    <row r="58" spans="1:7" customHeight="1" ht="15">
      <c r="A58" s="229">
        <v>56</v>
      </c>
      <c r="B58" s="229" t="s">
        <v>3241</v>
      </c>
      <c r="C58" s="229" t="s">
        <v>3242</v>
      </c>
      <c r="D58" s="229" t="s">
        <v>3243</v>
      </c>
      <c r="E58" s="203" t="s">
        <v>996</v>
      </c>
      <c r="F58" s="203" t="s">
        <v>128</v>
      </c>
    </row>
    <row r="59" spans="1:7" customHeight="1" ht="15">
      <c r="A59" s="61">
        <v>57</v>
      </c>
      <c r="B59" s="61" t="s">
        <v>3244</v>
      </c>
      <c r="C59" s="61" t="s">
        <v>3245</v>
      </c>
      <c r="D59" s="61" t="s">
        <v>282</v>
      </c>
      <c r="E59" s="203" t="s">
        <v>2321</v>
      </c>
      <c r="F59" s="203" t="s">
        <v>128</v>
      </c>
    </row>
    <row r="60" spans="1:7" customHeight="1" ht="15">
      <c r="A60" s="61">
        <v>58</v>
      </c>
      <c r="B60" s="61" t="s">
        <v>2393</v>
      </c>
      <c r="C60" s="61" t="s">
        <v>1665</v>
      </c>
      <c r="D60" s="61" t="s">
        <v>3246</v>
      </c>
      <c r="E60" s="203" t="s">
        <v>2321</v>
      </c>
      <c r="F60" s="203" t="s">
        <v>128</v>
      </c>
    </row>
    <row r="61" spans="1:7" customHeight="1" ht="15">
      <c r="A61" s="61">
        <v>59</v>
      </c>
      <c r="B61" s="61" t="s">
        <v>3247</v>
      </c>
      <c r="C61" s="61" t="s">
        <v>3248</v>
      </c>
      <c r="D61" s="61" t="s">
        <v>3249</v>
      </c>
      <c r="E61" s="203" t="s">
        <v>996</v>
      </c>
      <c r="F61" s="203" t="s">
        <v>128</v>
      </c>
    </row>
    <row r="62" spans="1:7" customHeight="1" ht="15">
      <c r="A62" s="61">
        <v>60</v>
      </c>
      <c r="B62" s="61" t="s">
        <v>1818</v>
      </c>
      <c r="C62" s="61" t="s">
        <v>3250</v>
      </c>
      <c r="D62" s="61" t="s">
        <v>3251</v>
      </c>
      <c r="E62" s="203" t="s">
        <v>996</v>
      </c>
      <c r="F62" s="203" t="s">
        <v>128</v>
      </c>
    </row>
    <row r="63" spans="1:7" customHeight="1" ht="15">
      <c r="A63" s="61">
        <v>61</v>
      </c>
      <c r="B63" s="61" t="s">
        <v>3252</v>
      </c>
      <c r="C63" s="61" t="s">
        <v>3253</v>
      </c>
      <c r="D63" s="61" t="s">
        <v>3254</v>
      </c>
      <c r="E63" s="203" t="s">
        <v>996</v>
      </c>
      <c r="F63" s="203" t="s">
        <v>128</v>
      </c>
    </row>
    <row r="64" spans="1:7" customHeight="1" ht="15">
      <c r="A64" s="61">
        <v>62</v>
      </c>
      <c r="B64" s="61" t="s">
        <v>3255</v>
      </c>
      <c r="C64" s="61" t="s">
        <v>335</v>
      </c>
      <c r="D64" s="61" t="s">
        <v>3185</v>
      </c>
      <c r="E64" s="203" t="s">
        <v>996</v>
      </c>
      <c r="F64" s="203" t="s">
        <v>128</v>
      </c>
    </row>
    <row r="65" spans="1:7" customHeight="1" ht="15">
      <c r="A65" s="61">
        <v>63</v>
      </c>
      <c r="B65" s="61" t="s">
        <v>3256</v>
      </c>
      <c r="C65" s="61" t="s">
        <v>432</v>
      </c>
      <c r="D65" s="61" t="s">
        <v>3257</v>
      </c>
      <c r="E65" s="203" t="s">
        <v>996</v>
      </c>
      <c r="F65" s="203" t="s">
        <v>128</v>
      </c>
    </row>
    <row r="66" spans="1:7" customHeight="1" ht="15">
      <c r="A66" s="61">
        <v>64</v>
      </c>
      <c r="B66" s="61" t="s">
        <v>2350</v>
      </c>
      <c r="C66" s="61" t="s">
        <v>3258</v>
      </c>
      <c r="D66" s="61"/>
      <c r="E66" s="203" t="s">
        <v>2321</v>
      </c>
      <c r="F66" s="203" t="s">
        <v>128</v>
      </c>
    </row>
    <row r="67" spans="1:7" customHeight="1" ht="15">
      <c r="A67" s="61">
        <v>65</v>
      </c>
      <c r="B67" s="61" t="s">
        <v>3259</v>
      </c>
      <c r="C67" s="61" t="s">
        <v>3260</v>
      </c>
      <c r="D67" s="61" t="s">
        <v>3045</v>
      </c>
      <c r="E67" s="203" t="s">
        <v>3261</v>
      </c>
      <c r="F67" s="203" t="s">
        <v>128</v>
      </c>
    </row>
    <row r="68" spans="1:7" customHeight="1" ht="15">
      <c r="A68" s="61">
        <v>66</v>
      </c>
      <c r="B68" t="s">
        <v>806</v>
      </c>
      <c r="C68" s="229" t="s">
        <v>3262</v>
      </c>
      <c r="D68" s="229" t="s">
        <v>3045</v>
      </c>
      <c r="E68" s="203" t="s">
        <v>3261</v>
      </c>
      <c r="F68" s="203" t="s">
        <v>128</v>
      </c>
    </row>
    <row r="69" spans="1:7" customHeight="1" ht="15">
      <c r="A69" s="61">
        <v>67</v>
      </c>
      <c r="B69" t="s">
        <v>3263</v>
      </c>
      <c r="C69" s="61" t="s">
        <v>3260</v>
      </c>
      <c r="D69" s="61" t="s">
        <v>3045</v>
      </c>
      <c r="E69" s="203" t="s">
        <v>3261</v>
      </c>
      <c r="F69" s="203" t="s">
        <v>128</v>
      </c>
    </row>
    <row r="70" spans="1:7" customHeight="1" ht="15">
      <c r="B70" t="s">
        <v>3264</v>
      </c>
      <c r="C70" s="229" t="s">
        <v>3265</v>
      </c>
      <c r="D70" t="s">
        <v>341</v>
      </c>
      <c r="E70" s="203" t="s">
        <v>3145</v>
      </c>
      <c r="F70" s="203" t="s">
        <v>128</v>
      </c>
    </row>
    <row r="71" spans="1:7" customHeight="1" ht="15" s="233" customFormat="1">
      <c r="A71" s="231"/>
      <c r="B71" s="232" t="s">
        <v>3266</v>
      </c>
      <c r="C71" s="232"/>
      <c r="D71" s="232"/>
      <c r="E71" s="232" t="s">
        <v>3145</v>
      </c>
      <c r="F71" s="203" t="s">
        <v>128</v>
      </c>
    </row>
    <row r="72" spans="1:7" customHeight="1" ht="15">
      <c r="B72" t="s">
        <v>3267</v>
      </c>
      <c r="C72" s="229" t="s">
        <v>3268</v>
      </c>
      <c r="D72" t="s">
        <v>3210</v>
      </c>
      <c r="E72" s="232" t="s">
        <v>3145</v>
      </c>
      <c r="F72" s="203" t="s">
        <v>128</v>
      </c>
    </row>
    <row r="73" spans="1:7" customHeight="1" ht="15">
      <c r="B73" t="s">
        <v>762</v>
      </c>
      <c r="C73" s="229" t="s">
        <v>3144</v>
      </c>
      <c r="D73" t="s">
        <v>3269</v>
      </c>
      <c r="E73" s="203" t="s">
        <v>3145</v>
      </c>
      <c r="F73" s="203" t="s">
        <v>128</v>
      </c>
    </row>
    <row r="74" spans="1:7" customHeight="1" ht="15">
      <c r="B74" t="s">
        <v>3270</v>
      </c>
      <c r="C74" t="s">
        <v>3271</v>
      </c>
      <c r="D74" t="s">
        <v>3272</v>
      </c>
      <c r="E74" s="203" t="s">
        <v>3145</v>
      </c>
      <c r="F74" s="203" t="s">
        <v>128</v>
      </c>
    </row>
    <row r="75" spans="1:7" customHeight="1" ht="15">
      <c r="B75" t="s">
        <v>3273</v>
      </c>
      <c r="C75" t="s">
        <v>3274</v>
      </c>
      <c r="D75" t="s">
        <v>3275</v>
      </c>
      <c r="E75" s="203" t="s">
        <v>3145</v>
      </c>
      <c r="F75" s="203" t="s">
        <v>128</v>
      </c>
    </row>
    <row r="76" spans="1:7" customHeight="1" ht="15">
      <c r="B76" t="s">
        <v>3276</v>
      </c>
      <c r="C76" t="s">
        <v>3144</v>
      </c>
      <c r="D76" t="s">
        <v>3269</v>
      </c>
      <c r="E76" s="203" t="s">
        <v>3145</v>
      </c>
      <c r="F76" s="203" t="s">
        <v>128</v>
      </c>
    </row>
    <row r="77" spans="1:7" customHeight="1" ht="15">
      <c r="B77" t="s">
        <v>3277</v>
      </c>
      <c r="C77" t="s">
        <v>3268</v>
      </c>
      <c r="D77" t="s">
        <v>3210</v>
      </c>
      <c r="E77" s="203" t="s">
        <v>3145</v>
      </c>
      <c r="F77" s="203" t="s">
        <v>128</v>
      </c>
    </row>
    <row r="78" spans="1:7" customHeight="1" ht="15">
      <c r="B78" t="s">
        <v>3278</v>
      </c>
      <c r="C78" t="s">
        <v>3181</v>
      </c>
      <c r="D78" t="s">
        <v>3279</v>
      </c>
      <c r="E78" s="203" t="s">
        <v>3145</v>
      </c>
      <c r="F78" s="203" t="s">
        <v>128</v>
      </c>
    </row>
    <row r="79" spans="1:7" customHeight="1" ht="15">
      <c r="B79" t="s">
        <v>3280</v>
      </c>
      <c r="C79" t="s">
        <v>3281</v>
      </c>
      <c r="D79" t="s">
        <v>3282</v>
      </c>
      <c r="E79" s="203" t="s">
        <v>996</v>
      </c>
      <c r="F79" s="203" t="s">
        <v>128</v>
      </c>
    </row>
    <row r="80" spans="1:7" customHeight="1" ht="15">
      <c r="B80" t="s">
        <v>3283</v>
      </c>
      <c r="C80" t="s">
        <v>3284</v>
      </c>
      <c r="D80" t="s">
        <v>3285</v>
      </c>
      <c r="E80" s="203" t="s">
        <v>996</v>
      </c>
      <c r="F80" s="203" t="s">
        <v>128</v>
      </c>
    </row>
    <row r="81" spans="1:7" customHeight="1" ht="15">
      <c r="B81" t="s">
        <v>1780</v>
      </c>
      <c r="C81" t="s">
        <v>3231</v>
      </c>
      <c r="D81" t="s">
        <v>3230</v>
      </c>
      <c r="E81" s="203" t="s">
        <v>996</v>
      </c>
      <c r="F81" s="203" t="s">
        <v>128</v>
      </c>
    </row>
    <row r="82" spans="1:7" customHeight="1" ht="15">
      <c r="B82" t="s">
        <v>2808</v>
      </c>
      <c r="C82" t="s">
        <v>3286</v>
      </c>
      <c r="D82" t="s">
        <v>3287</v>
      </c>
      <c r="E82" s="203" t="s">
        <v>996</v>
      </c>
      <c r="F82" s="203" t="s">
        <v>128</v>
      </c>
    </row>
    <row r="83" spans="1:7" customHeight="1" ht="15">
      <c r="B83" s="203" t="s">
        <v>3288</v>
      </c>
      <c r="C83" t="s">
        <v>137</v>
      </c>
      <c r="D83" t="s">
        <v>3289</v>
      </c>
      <c r="E83" s="235" t="s">
        <v>3207</v>
      </c>
      <c r="F83" s="203" t="s">
        <v>3290</v>
      </c>
    </row>
    <row r="84" spans="1:7" customHeight="1" ht="15">
      <c r="B84" t="s">
        <v>2078</v>
      </c>
      <c r="C84" t="s">
        <v>3240</v>
      </c>
      <c r="D84" t="s">
        <v>3291</v>
      </c>
      <c r="E84" s="203" t="s">
        <v>996</v>
      </c>
      <c r="F84" s="203" t="s">
        <v>128</v>
      </c>
    </row>
    <row r="85" spans="1:7" customHeight="1" ht="15">
      <c r="B85" t="s">
        <v>3292</v>
      </c>
      <c r="C85" t="s">
        <v>3293</v>
      </c>
      <c r="E85" s="235" t="s">
        <v>567</v>
      </c>
      <c r="F85" s="203" t="s">
        <v>128</v>
      </c>
    </row>
    <row r="86" spans="1:7" customHeight="1" ht="15">
      <c r="B86" t="s">
        <v>3292</v>
      </c>
      <c r="C86" t="s">
        <v>3294</v>
      </c>
      <c r="E86" s="203" t="s">
        <v>996</v>
      </c>
      <c r="F86" s="203" t="s">
        <v>128</v>
      </c>
    </row>
    <row r="87" spans="1:7" customHeight="1" ht="15">
      <c r="B87" t="s">
        <v>3295</v>
      </c>
      <c r="C87" t="s">
        <v>3296</v>
      </c>
      <c r="E87" s="203" t="s">
        <v>996</v>
      </c>
      <c r="F87" s="203" t="s">
        <v>128</v>
      </c>
    </row>
    <row r="88" spans="1:7" customHeight="1" ht="15">
      <c r="B88" t="s">
        <v>3297</v>
      </c>
      <c r="C88" t="s">
        <v>3298</v>
      </c>
      <c r="E88" s="203" t="s">
        <v>996</v>
      </c>
      <c r="F88" s="203" t="s">
        <v>128</v>
      </c>
    </row>
    <row r="89" spans="1:7" customHeight="1" ht="15">
      <c r="B89" t="s">
        <v>3299</v>
      </c>
      <c r="C89" t="s">
        <v>3300</v>
      </c>
      <c r="E89" s="203" t="s">
        <v>996</v>
      </c>
    </row>
    <row r="90" spans="1:7" customHeight="1" ht="15">
      <c r="B90" t="s">
        <v>3301</v>
      </c>
      <c r="C90" t="s">
        <v>3302</v>
      </c>
      <c r="E90" s="203" t="s">
        <v>996</v>
      </c>
    </row>
    <row r="91" spans="1:7" customHeight="1" ht="15">
      <c r="B91" t="s">
        <v>3303</v>
      </c>
      <c r="C91" t="s">
        <v>3300</v>
      </c>
      <c r="E91" s="203" t="s">
        <v>996</v>
      </c>
    </row>
    <row r="92" spans="1:7" customHeight="1" ht="15">
      <c r="B92" t="s">
        <v>3304</v>
      </c>
      <c r="C92" t="s">
        <v>3305</v>
      </c>
      <c r="E92" s="203" t="s">
        <v>996</v>
      </c>
    </row>
    <row r="93" spans="1:7" customHeight="1" ht="15">
      <c r="B93" t="s">
        <v>3306</v>
      </c>
      <c r="C93" t="s">
        <v>3300</v>
      </c>
      <c r="E93" s="203" t="s">
        <v>996</v>
      </c>
    </row>
    <row r="94" spans="1:7" customHeight="1" ht="15">
      <c r="B94" t="s">
        <v>3307</v>
      </c>
      <c r="C94" t="s">
        <v>3305</v>
      </c>
      <c r="E94" s="203" t="s">
        <v>996</v>
      </c>
    </row>
    <row r="95" spans="1:7" customHeight="1" ht="15">
      <c r="B95" t="s">
        <v>3308</v>
      </c>
      <c r="C95" t="s">
        <v>3309</v>
      </c>
      <c r="E95" s="203" t="s">
        <v>3145</v>
      </c>
    </row>
    <row r="96" spans="1:7" customHeight="1" ht="15">
      <c r="B96" t="s">
        <v>3310</v>
      </c>
      <c r="C96" t="s">
        <v>3311</v>
      </c>
      <c r="E96" s="235" t="s">
        <v>567</v>
      </c>
    </row>
    <row r="97" spans="1:7" customHeight="1" ht="15">
      <c r="B97" t="s">
        <v>3312</v>
      </c>
      <c r="C97" t="s">
        <v>3311</v>
      </c>
      <c r="E97" s="235" t="s">
        <v>567</v>
      </c>
    </row>
    <row r="98" spans="1:7" customHeight="1" ht="15">
      <c r="B98" t="s">
        <v>3292</v>
      </c>
      <c r="C98" t="s">
        <v>3294</v>
      </c>
      <c r="E98" s="235" t="s">
        <v>567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E1:E2"/>
    <mergeCell ref="A1:A2"/>
    <mergeCell ref="B1:B2"/>
    <mergeCell ref="C1:C2"/>
    <mergeCell ref="D1:D2"/>
    <mergeCell ref="F1:F2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0" workbookViewId="0" showGridLines="true" showRowColHeaders="1">
      <pane xSplit="4" ySplit="3" topLeftCell="E4" activePane="bottomRight" state="frozen"/>
      <selection pane="topRight"/>
      <selection pane="bottomLeft"/>
      <selection pane="bottomRight" activeCell="E13" sqref="E13"/>
    </sheetView>
  </sheetViews>
  <sheetFormatPr customHeight="true" defaultRowHeight="15" defaultColWidth="9.140625" outlineLevelRow="0" outlineLevelCol="0"/>
  <cols>
    <col min="1" max="1" width="19.7109375" customWidth="true" style="154"/>
    <col min="2" max="2" width="34.140625" customWidth="true" style="154"/>
    <col min="3" max="3" width="36.28515625" customWidth="true" style="154"/>
    <col min="4" max="4" width="37.5703125" customWidth="true" style="154"/>
    <col min="5" max="5" width="25" customWidth="true" style="154"/>
    <col min="6" max="6" width="23" customWidth="true" style="154"/>
    <col min="7" max="7" width="14.85546875" customWidth="true" style="154"/>
    <col min="8" max="8" width="16" customWidth="true" style="154"/>
  </cols>
  <sheetData>
    <row r="1" spans="1:8" customHeight="1" ht="20.25">
      <c r="A1" s="152"/>
      <c r="B1" s="153"/>
      <c r="E1" s="764" t="s">
        <v>598</v>
      </c>
      <c r="F1" s="764" t="s">
        <v>598</v>
      </c>
    </row>
    <row r="2" spans="1:8" customHeight="1" ht="15.6">
      <c r="A2" s="155"/>
      <c r="B2" s="153"/>
      <c r="E2" s="765"/>
      <c r="F2" s="765"/>
    </row>
    <row r="3" spans="1:8" customHeight="1" ht="31.9" s="156" customFormat="1">
      <c r="A3" s="167" t="s">
        <v>3103</v>
      </c>
      <c r="B3" s="167" t="s">
        <v>18</v>
      </c>
      <c r="C3" s="167" t="s">
        <v>26</v>
      </c>
      <c r="D3" s="167" t="s">
        <v>28</v>
      </c>
      <c r="E3" s="167" t="s">
        <v>120</v>
      </c>
      <c r="F3" s="167" t="s">
        <v>3084</v>
      </c>
      <c r="G3" s="167" t="s">
        <v>3313</v>
      </c>
      <c r="H3" s="167" t="s">
        <v>3314</v>
      </c>
    </row>
    <row r="4" spans="1:8" customHeight="1" ht="52.5" s="157" customFormat="1">
      <c r="A4" s="327">
        <v>2</v>
      </c>
      <c r="B4" s="324" t="s">
        <v>1645</v>
      </c>
      <c r="C4" s="324" t="s">
        <v>378</v>
      </c>
      <c r="D4" s="324" t="s">
        <v>3315</v>
      </c>
      <c r="E4" s="325" t="s">
        <v>128</v>
      </c>
      <c r="F4" s="325" t="s">
        <v>552</v>
      </c>
      <c r="G4" s="326">
        <v>3</v>
      </c>
      <c r="H4" s="328" t="s">
        <v>3316</v>
      </c>
    </row>
    <row r="5" spans="1:8" customHeight="1" ht="39">
      <c r="A5" s="329" t="s">
        <v>3317</v>
      </c>
      <c r="B5" s="329" t="s">
        <v>2156</v>
      </c>
      <c r="C5" s="329" t="s">
        <v>180</v>
      </c>
      <c r="D5" s="329" t="s">
        <v>3100</v>
      </c>
      <c r="E5" s="325" t="s">
        <v>128</v>
      </c>
      <c r="F5" s="325" t="s">
        <v>552</v>
      </c>
      <c r="G5" s="331">
        <v>3</v>
      </c>
      <c r="H5" s="330">
        <v>45901</v>
      </c>
    </row>
    <row r="6" spans="1:8" customHeight="1" ht="36.75">
      <c r="A6" s="329" t="s">
        <v>3318</v>
      </c>
      <c r="B6" s="329" t="s">
        <v>3319</v>
      </c>
      <c r="C6" s="329" t="s">
        <v>180</v>
      </c>
      <c r="D6" s="329" t="s">
        <v>3320</v>
      </c>
      <c r="E6" s="325" t="s">
        <v>128</v>
      </c>
      <c r="F6" s="325" t="s">
        <v>552</v>
      </c>
      <c r="G6" s="331">
        <v>2</v>
      </c>
      <c r="H6" s="328" t="s">
        <v>3316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mergeCells>
    <mergeCell ref="E1:E2"/>
    <mergeCell ref="F1:F2"/>
  </mergeCells>
  <dataValidations count="2">
    <dataValidation type="list" errorStyle="stop" operator="between" allowBlank="1" showDropDown="0" showInputMessage="0" showErrorMessage="1" sqref="E4:E6">
      <formula1>Город</formula1>
      <formula2>0</formula2>
    </dataValidation>
    <dataValidation type="list" errorStyle="stop" operator="between" allowBlank="1" showDropDown="0" showInputMessage="0" showErrorMessage="1" sqref="F4:F6">
      <formula1>Компания</formula1>
      <formula2>0</formula2>
    </dataValidation>
  </dataValidations>
  <printOptions gridLines="false" gridLinesSet="true"/>
  <pageMargins left="0.7" right="0.7" top="0.75" bottom="0.75" header="0.51180555555556" footer="0.51180555555556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U270"/>
  <sheetViews>
    <sheetView tabSelected="0" workbookViewId="0" zoomScale="110" zoomScaleNormal="110" showGridLines="true" showRowColHeaders="1">
      <pane xSplit="7" ySplit="7" topLeftCell="H83" activePane="bottomRight" state="frozen"/>
      <selection pane="topRight"/>
      <selection pane="bottomLeft"/>
      <selection pane="bottomRight" activeCell="B94" sqref="B94"/>
    </sheetView>
  </sheetViews>
  <sheetFormatPr customHeight="true" defaultRowHeight="15" defaultColWidth="9.140625" outlineLevelRow="0" outlineLevelCol="0"/>
  <cols>
    <col min="1" max="1" width="12" customWidth="true" style="291"/>
    <col min="2" max="2" width="5.5703125" customWidth="true" style="291"/>
    <col min="3" max="3" width="8.7109375" customWidth="true" style="291"/>
    <col min="4" max="4" width="10.140625" customWidth="true" style="291"/>
    <col min="5" max="5" width="11.5703125" customWidth="true" style="291"/>
    <col min="6" max="6" width="18.85546875" customWidth="true" style="291"/>
    <col min="7" max="7" width="33.28515625" customWidth="true" style="291"/>
    <col min="8" max="8" width="11.5703125" customWidth="true" style="291"/>
    <col min="9" max="9" width="11.5703125" customWidth="true" style="296"/>
    <col min="10" max="10" width="10.85546875" customWidth="true" style="291"/>
    <col min="11" max="11" width="13.140625" customWidth="true" style="295"/>
    <col min="12" max="12" width="11.28515625" customWidth="true" style="291"/>
    <col min="13" max="13" width="11.140625" customWidth="true" style="295"/>
    <col min="14" max="14" width="12.140625" customWidth="true" style="291"/>
    <col min="15" max="15" width="11.5703125" customWidth="true" style="291"/>
    <col min="16" max="16" width="12" customWidth="true" style="291"/>
    <col min="17" max="17" width="15.7109375" customWidth="true" style="290"/>
    <col min="18" max="18" width="12.28515625" customWidth="true" style="290"/>
    <col min="19" max="19" width="12.28515625" customWidth="true" style="290"/>
    <col min="20" max="20" width="19.42578125" customWidth="true" style="290"/>
    <col min="21" max="21" width="14" customWidth="true" style="290"/>
  </cols>
  <sheetData>
    <row r="1" spans="1:21" customHeight="1" ht="15">
      <c r="C1" s="300" t="s">
        <v>3321</v>
      </c>
      <c r="D1" s="300"/>
      <c r="F1" s="300"/>
      <c r="G1" s="300" t="s">
        <v>3322</v>
      </c>
      <c r="J1" s="300" t="s">
        <v>524</v>
      </c>
      <c r="O1" s="300" t="s">
        <v>508</v>
      </c>
    </row>
    <row r="2" spans="1:21" customHeight="1" ht="15">
      <c r="C2" s="85" t="s">
        <v>3323</v>
      </c>
      <c r="D2" s="85" t="s">
        <v>3324</v>
      </c>
      <c r="G2" s="291" t="s">
        <v>3325</v>
      </c>
      <c r="H2" s="296"/>
      <c r="I2" s="135" t="s">
        <v>537</v>
      </c>
      <c r="J2" s="295"/>
      <c r="K2" s="291"/>
      <c r="L2" s="252" t="s">
        <v>3326</v>
      </c>
      <c r="M2" s="291"/>
      <c r="O2" s="291" t="s">
        <v>3327</v>
      </c>
      <c r="P2" s="290"/>
      <c r="T2" s="295"/>
      <c r="U2" s="299"/>
    </row>
    <row r="3" spans="1:21" customHeight="1" ht="15">
      <c r="C3" s="85" t="s">
        <v>3328</v>
      </c>
      <c r="D3" s="85" t="s">
        <v>3329</v>
      </c>
      <c r="F3" s="299"/>
      <c r="G3" s="299" t="s">
        <v>3330</v>
      </c>
      <c r="H3" s="296"/>
      <c r="I3" s="136" t="s">
        <v>549</v>
      </c>
      <c r="J3" s="295"/>
      <c r="K3" s="291"/>
      <c r="L3" s="295"/>
      <c r="M3" s="291"/>
      <c r="P3" s="290"/>
      <c r="T3" s="295"/>
      <c r="U3" s="299"/>
    </row>
    <row r="4" spans="1:21" customHeight="1" ht="15">
      <c r="C4" s="85" t="s">
        <v>3331</v>
      </c>
      <c r="D4" s="85" t="s">
        <v>3332</v>
      </c>
      <c r="H4" s="296"/>
      <c r="I4" s="137" t="s">
        <v>558</v>
      </c>
      <c r="J4" s="295"/>
      <c r="K4" s="291"/>
      <c r="L4" s="295"/>
      <c r="M4" s="291"/>
      <c r="P4" s="290"/>
      <c r="T4" s="295"/>
      <c r="U4" s="299"/>
    </row>
    <row r="5" spans="1:21" customHeight="1" ht="15">
      <c r="C5" s="85" t="s">
        <v>3333</v>
      </c>
      <c r="D5" s="85" t="s">
        <v>3334</v>
      </c>
      <c r="H5" s="296"/>
      <c r="I5" s="138" t="s">
        <v>3335</v>
      </c>
      <c r="J5" s="295"/>
      <c r="K5" s="291"/>
      <c r="L5" s="295"/>
      <c r="M5" s="291"/>
      <c r="P5" s="290"/>
      <c r="T5" s="295"/>
      <c r="U5" s="299"/>
    </row>
    <row r="6" spans="1:21" customHeight="1" ht="60" s="296" customFormat="1">
      <c r="C6" s="304" t="s">
        <v>598</v>
      </c>
      <c r="D6" s="304" t="s">
        <v>598</v>
      </c>
      <c r="E6" s="304" t="s">
        <v>598</v>
      </c>
      <c r="F6" s="298"/>
      <c r="H6" s="304" t="s">
        <v>598</v>
      </c>
      <c r="I6" s="304" t="s">
        <v>598</v>
      </c>
      <c r="J6" s="304" t="s">
        <v>598</v>
      </c>
      <c r="K6" s="295"/>
      <c r="M6" s="295"/>
      <c r="N6" s="164" t="s">
        <v>597</v>
      </c>
      <c r="P6" s="164" t="s">
        <v>597</v>
      </c>
      <c r="Q6" s="295"/>
      <c r="R6" s="295"/>
      <c r="S6" s="295"/>
      <c r="T6" s="295"/>
      <c r="U6" s="290"/>
    </row>
    <row r="7" spans="1:21" customHeight="1" ht="41.25">
      <c r="A7" s="167" t="s">
        <v>3336</v>
      </c>
      <c r="B7" s="167" t="s">
        <v>3337</v>
      </c>
      <c r="C7" s="167" t="s">
        <v>120</v>
      </c>
      <c r="D7" s="167" t="s">
        <v>122</v>
      </c>
      <c r="E7" s="167" t="s">
        <v>514</v>
      </c>
      <c r="F7" s="167" t="s">
        <v>26</v>
      </c>
      <c r="G7" s="167" t="s">
        <v>3338</v>
      </c>
      <c r="H7" s="167" t="s">
        <v>3339</v>
      </c>
      <c r="I7" s="773" t="s">
        <v>3340</v>
      </c>
      <c r="J7" s="167" t="s">
        <v>3341</v>
      </c>
      <c r="K7" s="167" t="s">
        <v>3342</v>
      </c>
      <c r="L7" s="167" t="s">
        <v>3343</v>
      </c>
      <c r="M7" s="167" t="s">
        <v>3344</v>
      </c>
      <c r="N7" s="167" t="s">
        <v>3345</v>
      </c>
      <c r="O7" s="167" t="s">
        <v>3346</v>
      </c>
      <c r="P7" s="167" t="s">
        <v>3347</v>
      </c>
      <c r="Q7" s="167" t="s">
        <v>3348</v>
      </c>
      <c r="R7" s="167" t="s">
        <v>56</v>
      </c>
      <c r="S7" s="167" t="s">
        <v>3349</v>
      </c>
      <c r="T7" s="167" t="s">
        <v>3350</v>
      </c>
      <c r="U7" s="297" t="s">
        <v>3082</v>
      </c>
    </row>
    <row r="8" spans="1:21" customHeight="1" ht="15">
      <c r="A8" s="280" t="s">
        <v>3351</v>
      </c>
      <c r="B8" s="280" t="s">
        <v>3352</v>
      </c>
      <c r="C8" s="280" t="s">
        <v>128</v>
      </c>
      <c r="D8" s="280" t="s">
        <v>176</v>
      </c>
      <c r="E8" s="280" t="s">
        <v>552</v>
      </c>
      <c r="F8" s="280" t="s">
        <v>3353</v>
      </c>
      <c r="G8" s="307" t="s">
        <v>255</v>
      </c>
      <c r="H8" s="282" t="s">
        <v>526</v>
      </c>
      <c r="I8" s="283" t="s">
        <v>589</v>
      </c>
      <c r="J8" s="282" t="s">
        <v>526</v>
      </c>
      <c r="K8" s="284">
        <v>46034</v>
      </c>
      <c r="L8" s="285">
        <f>K8+O8</f>
        <v>46076</v>
      </c>
      <c r="M8" s="285">
        <v>46016</v>
      </c>
      <c r="N8" s="286">
        <f>(M8-K8)</f>
        <v>-18</v>
      </c>
      <c r="O8" s="287">
        <v>42</v>
      </c>
      <c r="P8" s="288">
        <f>O8-N8</f>
        <v>60</v>
      </c>
      <c r="Q8" s="289" t="s">
        <v>3354</v>
      </c>
      <c r="R8" s="289"/>
      <c r="S8" s="306">
        <f>R8-M8</f>
        <v>-46016</v>
      </c>
      <c r="T8" s="270" t="s">
        <v>3355</v>
      </c>
      <c r="U8" s="289"/>
    </row>
    <row r="9" spans="1:21" customHeight="1" ht="15">
      <c r="A9" s="280" t="s">
        <v>3351</v>
      </c>
      <c r="B9" s="280" t="s">
        <v>3352</v>
      </c>
      <c r="C9" s="280" t="s">
        <v>128</v>
      </c>
      <c r="D9" s="280" t="s">
        <v>169</v>
      </c>
      <c r="E9" s="280" t="s">
        <v>552</v>
      </c>
      <c r="F9" s="280" t="s">
        <v>396</v>
      </c>
      <c r="G9" s="307" t="s">
        <v>1570</v>
      </c>
      <c r="H9" s="282" t="s">
        <v>526</v>
      </c>
      <c r="I9" s="283" t="s">
        <v>591</v>
      </c>
      <c r="J9" s="282" t="s">
        <v>526</v>
      </c>
      <c r="K9" s="284">
        <v>46034</v>
      </c>
      <c r="L9" s="285">
        <f>K9+O9</f>
        <v>46076</v>
      </c>
      <c r="M9" s="285">
        <v>46034</v>
      </c>
      <c r="N9" s="286">
        <f>(M9-K9)</f>
        <v>0</v>
      </c>
      <c r="O9" s="287">
        <v>42</v>
      </c>
      <c r="P9" s="444">
        <f>O9-N9</f>
        <v>42</v>
      </c>
      <c r="Q9" s="289" t="s">
        <v>3356</v>
      </c>
      <c r="R9" s="270"/>
      <c r="S9" s="309">
        <f>R9-M9</f>
        <v>-46034</v>
      </c>
      <c r="T9" s="270" t="s">
        <v>3357</v>
      </c>
      <c r="U9" s="289"/>
    </row>
    <row r="10" spans="1:21" customHeight="1" ht="15">
      <c r="A10" s="280" t="s">
        <v>3351</v>
      </c>
      <c r="B10" s="280" t="s">
        <v>3352</v>
      </c>
      <c r="C10" s="280" t="s">
        <v>128</v>
      </c>
      <c r="D10" s="280" t="s">
        <v>300</v>
      </c>
      <c r="E10" s="280" t="s">
        <v>552</v>
      </c>
      <c r="F10" s="280" t="s">
        <v>3358</v>
      </c>
      <c r="G10" s="307" t="s">
        <v>304</v>
      </c>
      <c r="H10" s="282" t="s">
        <v>526</v>
      </c>
      <c r="I10" s="283" t="s">
        <v>591</v>
      </c>
      <c r="J10" s="282" t="s">
        <v>526</v>
      </c>
      <c r="K10" s="284">
        <v>46034</v>
      </c>
      <c r="L10" s="285">
        <f>K10+O10</f>
        <v>46076</v>
      </c>
      <c r="M10" s="285">
        <v>46007</v>
      </c>
      <c r="N10" s="286">
        <f>(M10-K10)</f>
        <v>-27</v>
      </c>
      <c r="O10" s="287">
        <v>42</v>
      </c>
      <c r="P10" s="310">
        <f>O10-N10</f>
        <v>69</v>
      </c>
      <c r="Q10" s="270" t="s">
        <v>3359</v>
      </c>
      <c r="R10" s="292"/>
      <c r="S10" s="305">
        <f>R10-M10</f>
        <v>-46007</v>
      </c>
      <c r="T10" s="289" t="s">
        <v>3357</v>
      </c>
      <c r="U10" s="283"/>
    </row>
    <row r="11" spans="1:21" customHeight="1" ht="15">
      <c r="A11" s="280" t="s">
        <v>3351</v>
      </c>
      <c r="B11" s="280" t="s">
        <v>3352</v>
      </c>
      <c r="C11" s="280" t="s">
        <v>128</v>
      </c>
      <c r="D11" s="280" t="s">
        <v>226</v>
      </c>
      <c r="E11" s="280" t="s">
        <v>552</v>
      </c>
      <c r="F11" s="280" t="s">
        <v>3360</v>
      </c>
      <c r="G11" s="307" t="s">
        <v>335</v>
      </c>
      <c r="H11" s="282" t="s">
        <v>526</v>
      </c>
      <c r="I11" s="283" t="s">
        <v>539</v>
      </c>
      <c r="J11" s="282" t="s">
        <v>526</v>
      </c>
      <c r="K11" s="284">
        <v>46034</v>
      </c>
      <c r="L11" s="285">
        <f>K11+O11</f>
        <v>46076</v>
      </c>
      <c r="M11" s="285">
        <v>46036</v>
      </c>
      <c r="N11" s="286">
        <f>(M11-K11)</f>
        <v>2</v>
      </c>
      <c r="O11" s="287">
        <v>42</v>
      </c>
      <c r="P11" s="286">
        <f>O11-N11</f>
        <v>40</v>
      </c>
      <c r="Q11" s="289" t="s">
        <v>3361</v>
      </c>
      <c r="R11" s="289"/>
      <c r="S11" s="306">
        <f>R11-M11</f>
        <v>-46036</v>
      </c>
      <c r="T11" s="270" t="s">
        <v>3362</v>
      </c>
      <c r="U11" s="289"/>
    </row>
    <row r="12" spans="1:21" customHeight="1" ht="15">
      <c r="A12" s="280" t="s">
        <v>3351</v>
      </c>
      <c r="B12" s="280" t="s">
        <v>3352</v>
      </c>
      <c r="C12" s="280" t="s">
        <v>128</v>
      </c>
      <c r="D12" s="280" t="s">
        <v>250</v>
      </c>
      <c r="E12" s="280" t="s">
        <v>552</v>
      </c>
      <c r="F12" s="280" t="s">
        <v>3051</v>
      </c>
      <c r="G12" s="307" t="s">
        <v>3363</v>
      </c>
      <c r="H12" s="282" t="s">
        <v>526</v>
      </c>
      <c r="I12" s="283" t="s">
        <v>539</v>
      </c>
      <c r="J12" s="302" t="s">
        <v>539</v>
      </c>
      <c r="K12" s="284">
        <v>46034</v>
      </c>
      <c r="L12" s="285">
        <f>K12+O12</f>
        <v>46069</v>
      </c>
      <c r="M12" s="285">
        <v>46069</v>
      </c>
      <c r="N12" s="286">
        <f>(M12-K12)</f>
        <v>35</v>
      </c>
      <c r="O12" s="311">
        <v>35</v>
      </c>
      <c r="P12" s="444">
        <f>O12-N12</f>
        <v>0</v>
      </c>
      <c r="Q12" s="289" t="s">
        <v>3364</v>
      </c>
      <c r="R12" s="289"/>
      <c r="S12" s="309">
        <f>R12-M12</f>
        <v>-46069</v>
      </c>
      <c r="T12" s="270" t="s">
        <v>3365</v>
      </c>
      <c r="U12" s="289"/>
    </row>
    <row r="13" spans="1:21" customHeight="1" ht="15">
      <c r="A13" s="280" t="s">
        <v>3351</v>
      </c>
      <c r="B13" s="280" t="s">
        <v>3352</v>
      </c>
      <c r="C13" s="280" t="s">
        <v>128</v>
      </c>
      <c r="D13" s="280" t="s">
        <v>156</v>
      </c>
      <c r="E13" s="280" t="s">
        <v>552</v>
      </c>
      <c r="F13" s="280" t="s">
        <v>152</v>
      </c>
      <c r="G13" s="307" t="s">
        <v>161</v>
      </c>
      <c r="H13" s="282" t="s">
        <v>526</v>
      </c>
      <c r="I13" s="283" t="s">
        <v>589</v>
      </c>
      <c r="J13" s="282" t="s">
        <v>526</v>
      </c>
      <c r="K13" s="284">
        <v>46034</v>
      </c>
      <c r="L13" s="285">
        <f>K13+O13</f>
        <v>46076</v>
      </c>
      <c r="M13" s="285">
        <v>46035</v>
      </c>
      <c r="N13" s="286">
        <f>(M13-K13)</f>
        <v>1</v>
      </c>
      <c r="O13" s="287">
        <v>42</v>
      </c>
      <c r="P13" s="288">
        <f>O13-N13</f>
        <v>41</v>
      </c>
      <c r="Q13" s="289" t="s">
        <v>3366</v>
      </c>
      <c r="R13" s="289"/>
      <c r="S13" s="306">
        <f>R13-M13</f>
        <v>-46035</v>
      </c>
      <c r="T13" s="270" t="s">
        <v>3362</v>
      </c>
      <c r="U13" s="289"/>
    </row>
    <row r="14" spans="1:21" customHeight="1" ht="15">
      <c r="A14" s="280" t="s">
        <v>3351</v>
      </c>
      <c r="B14" s="280" t="s">
        <v>3352</v>
      </c>
      <c r="C14" s="280" t="s">
        <v>128</v>
      </c>
      <c r="D14" s="189" t="s">
        <v>135</v>
      </c>
      <c r="E14" s="280" t="s">
        <v>567</v>
      </c>
      <c r="F14" s="280" t="s">
        <v>422</v>
      </c>
      <c r="G14" s="307" t="s">
        <v>3367</v>
      </c>
      <c r="H14" s="282" t="s">
        <v>526</v>
      </c>
      <c r="I14" s="283" t="s">
        <v>539</v>
      </c>
      <c r="J14" s="282" t="s">
        <v>526</v>
      </c>
      <c r="K14" s="284">
        <v>46034</v>
      </c>
      <c r="L14" s="285">
        <f>K14+O14</f>
        <v>46076</v>
      </c>
      <c r="M14" s="285">
        <v>46041</v>
      </c>
      <c r="N14" s="286">
        <f>(M14-K14)</f>
        <v>7</v>
      </c>
      <c r="O14" s="287">
        <v>42</v>
      </c>
      <c r="P14" s="444">
        <f>O14-N14</f>
        <v>35</v>
      </c>
      <c r="Q14" s="270" t="s">
        <v>3368</v>
      </c>
      <c r="R14" s="308"/>
      <c r="S14" s="309">
        <f>R14-M14</f>
        <v>-46041</v>
      </c>
      <c r="T14" s="308" t="s">
        <v>3362</v>
      </c>
      <c r="U14" s="289"/>
    </row>
    <row r="15" spans="1:21" customHeight="1" ht="14.25">
      <c r="A15" s="280" t="s">
        <v>3351</v>
      </c>
      <c r="B15" s="280" t="s">
        <v>3352</v>
      </c>
      <c r="C15" s="280" t="s">
        <v>128</v>
      </c>
      <c r="D15" s="280" t="s">
        <v>130</v>
      </c>
      <c r="E15" s="280" t="s">
        <v>552</v>
      </c>
      <c r="F15" s="280" t="s">
        <v>378</v>
      </c>
      <c r="G15" s="280" t="s">
        <v>329</v>
      </c>
      <c r="H15" s="282" t="s">
        <v>526</v>
      </c>
      <c r="I15" s="283" t="s">
        <v>539</v>
      </c>
      <c r="J15" s="282" t="s">
        <v>526</v>
      </c>
      <c r="K15" s="284">
        <v>46034</v>
      </c>
      <c r="L15" s="285">
        <f>K15+O15</f>
        <v>46069</v>
      </c>
      <c r="M15" s="285">
        <v>46045</v>
      </c>
      <c r="N15" s="286">
        <f>(M15-K15)</f>
        <v>11</v>
      </c>
      <c r="O15" s="287">
        <v>35</v>
      </c>
      <c r="P15" s="286">
        <f>O15-N15</f>
        <v>24</v>
      </c>
      <c r="Q15" s="289" t="s">
        <v>3369</v>
      </c>
      <c r="R15" s="308"/>
      <c r="S15" s="309">
        <f>R15-M15</f>
        <v>-46045</v>
      </c>
      <c r="T15" s="270" t="s">
        <v>3362</v>
      </c>
      <c r="U15" s="289"/>
    </row>
    <row r="16" spans="1:21" customHeight="1" ht="15">
      <c r="A16" s="280" t="s">
        <v>3351</v>
      </c>
      <c r="B16" s="280" t="s">
        <v>3352</v>
      </c>
      <c r="C16" s="280" t="s">
        <v>128</v>
      </c>
      <c r="D16" s="280" t="s">
        <v>402</v>
      </c>
      <c r="E16" s="280" t="s">
        <v>552</v>
      </c>
      <c r="F16" s="280" t="s">
        <v>400</v>
      </c>
      <c r="G16" s="280" t="s">
        <v>3370</v>
      </c>
      <c r="H16" s="282" t="s">
        <v>526</v>
      </c>
      <c r="I16" s="283" t="s">
        <v>551</v>
      </c>
      <c r="J16" s="282" t="s">
        <v>539</v>
      </c>
      <c r="K16" s="284">
        <v>46034</v>
      </c>
      <c r="L16" s="285">
        <f>K16+O16</f>
        <v>46118</v>
      </c>
      <c r="M16" s="285">
        <v>46055</v>
      </c>
      <c r="N16" s="286">
        <f>(M16-K16)</f>
        <v>21</v>
      </c>
      <c r="O16" s="287">
        <v>84</v>
      </c>
      <c r="P16" s="288">
        <f>O16-N16</f>
        <v>63</v>
      </c>
      <c r="Q16" s="270" t="s">
        <v>3371</v>
      </c>
      <c r="R16" s="308"/>
      <c r="S16" s="309">
        <f>R16-M16</f>
        <v>-46055</v>
      </c>
      <c r="T16" s="308" t="s">
        <v>3355</v>
      </c>
      <c r="U16" s="289"/>
    </row>
    <row r="17" spans="1:21" customHeight="1" ht="15">
      <c r="A17" s="280" t="s">
        <v>3351</v>
      </c>
      <c r="B17" s="280" t="s">
        <v>3352</v>
      </c>
      <c r="C17" s="280" t="s">
        <v>128</v>
      </c>
      <c r="D17" s="280" t="s">
        <v>176</v>
      </c>
      <c r="E17" s="280" t="s">
        <v>552</v>
      </c>
      <c r="F17" s="280" t="s">
        <v>3015</v>
      </c>
      <c r="G17" s="280" t="s">
        <v>256</v>
      </c>
      <c r="H17" s="282" t="s">
        <v>526</v>
      </c>
      <c r="I17" s="283" t="s">
        <v>539</v>
      </c>
      <c r="J17" s="282" t="s">
        <v>539</v>
      </c>
      <c r="K17" s="284">
        <v>46034</v>
      </c>
      <c r="L17" s="285">
        <f>K17+O17</f>
        <v>46076</v>
      </c>
      <c r="M17" s="285">
        <v>46055</v>
      </c>
      <c r="N17" s="286">
        <f>(M17-K17)</f>
        <v>21</v>
      </c>
      <c r="O17" s="287">
        <v>42</v>
      </c>
      <c r="P17" s="444">
        <f>O17-N17</f>
        <v>21</v>
      </c>
      <c r="Q17" s="289" t="s">
        <v>3372</v>
      </c>
      <c r="R17" s="283"/>
      <c r="S17" s="309">
        <f>R17-M17</f>
        <v>-46055</v>
      </c>
      <c r="T17" s="270" t="s">
        <v>3355</v>
      </c>
      <c r="U17" s="289"/>
    </row>
    <row r="18" spans="1:21" customHeight="1" ht="15">
      <c r="A18" s="280" t="s">
        <v>3351</v>
      </c>
      <c r="B18" s="280" t="s">
        <v>3352</v>
      </c>
      <c r="C18" s="280" t="s">
        <v>128</v>
      </c>
      <c r="D18" s="280" t="s">
        <v>176</v>
      </c>
      <c r="E18" s="280" t="s">
        <v>552</v>
      </c>
      <c r="F18" s="280" t="s">
        <v>3015</v>
      </c>
      <c r="G18" s="280" t="s">
        <v>254</v>
      </c>
      <c r="H18" s="282" t="s">
        <v>526</v>
      </c>
      <c r="I18" s="283" t="s">
        <v>539</v>
      </c>
      <c r="J18" s="282" t="s">
        <v>526</v>
      </c>
      <c r="K18" s="284">
        <v>46034</v>
      </c>
      <c r="L18" s="285">
        <f>K18+O18</f>
        <v>46076</v>
      </c>
      <c r="M18" s="285">
        <v>46051</v>
      </c>
      <c r="N18" s="286">
        <f>(M18-K18)</f>
        <v>17</v>
      </c>
      <c r="O18" s="287">
        <v>42</v>
      </c>
      <c r="P18" s="444">
        <f>O18-N18</f>
        <v>25</v>
      </c>
      <c r="Q18" s="289" t="s">
        <v>3373</v>
      </c>
      <c r="R18" s="283"/>
      <c r="S18" s="309">
        <f>R18-M18</f>
        <v>-46051</v>
      </c>
      <c r="T18" s="270" t="s">
        <v>3355</v>
      </c>
      <c r="U18" s="289"/>
    </row>
    <row r="19" spans="1:21" customHeight="1" ht="15">
      <c r="A19" s="280" t="s">
        <v>3374</v>
      </c>
      <c r="B19" s="280" t="s">
        <v>3352</v>
      </c>
      <c r="C19" s="280" t="s">
        <v>128</v>
      </c>
      <c r="D19" s="280" t="s">
        <v>176</v>
      </c>
      <c r="E19" s="280" t="s">
        <v>552</v>
      </c>
      <c r="F19" s="280" t="s">
        <v>3353</v>
      </c>
      <c r="G19" s="307" t="s">
        <v>254</v>
      </c>
      <c r="H19" s="282" t="s">
        <v>526</v>
      </c>
      <c r="I19" s="283" t="s">
        <v>539</v>
      </c>
      <c r="J19" s="282" t="s">
        <v>551</v>
      </c>
      <c r="K19" s="284">
        <v>46034</v>
      </c>
      <c r="L19" s="285">
        <f>K19+O19</f>
        <v>46076</v>
      </c>
      <c r="M19" s="285">
        <v>46084</v>
      </c>
      <c r="N19" s="286">
        <f>(M19-K19)</f>
        <v>50</v>
      </c>
      <c r="O19" s="287">
        <v>42</v>
      </c>
      <c r="P19" s="444">
        <f>O19-N19</f>
        <v>-8</v>
      </c>
      <c r="Q19" s="289" t="s">
        <v>3375</v>
      </c>
      <c r="R19" s="289"/>
      <c r="S19" s="309">
        <f>R19-M19</f>
        <v>-46084</v>
      </c>
      <c r="T19" s="270" t="s">
        <v>3355</v>
      </c>
      <c r="U19" s="289"/>
    </row>
    <row r="20" spans="1:21" customHeight="1" ht="15">
      <c r="A20" s="280" t="s">
        <v>3351</v>
      </c>
      <c r="B20" s="280" t="s">
        <v>3352</v>
      </c>
      <c r="C20" s="280" t="s">
        <v>128</v>
      </c>
      <c r="D20" s="280" t="s">
        <v>176</v>
      </c>
      <c r="E20" s="280" t="s">
        <v>552</v>
      </c>
      <c r="F20" s="280" t="s">
        <v>3376</v>
      </c>
      <c r="G20" s="307" t="s">
        <v>254</v>
      </c>
      <c r="H20" s="282" t="s">
        <v>526</v>
      </c>
      <c r="I20" s="283" t="s">
        <v>539</v>
      </c>
      <c r="J20" s="282" t="s">
        <v>551</v>
      </c>
      <c r="K20" s="284">
        <v>46034</v>
      </c>
      <c r="L20" s="285">
        <f>K20+O20</f>
        <v>46076</v>
      </c>
      <c r="M20" s="285">
        <v>46111</v>
      </c>
      <c r="N20" s="286">
        <f>(M20-K20)</f>
        <v>77</v>
      </c>
      <c r="O20" s="287">
        <v>42</v>
      </c>
      <c r="P20" s="444">
        <f>O20-N20</f>
        <v>-35</v>
      </c>
      <c r="Q20" s="289" t="s">
        <v>3377</v>
      </c>
      <c r="R20" s="289"/>
      <c r="S20" s="306">
        <f>R20-M20</f>
        <v>-46111</v>
      </c>
      <c r="T20" s="270" t="s">
        <v>3355</v>
      </c>
      <c r="U20" s="289"/>
    </row>
    <row r="21" spans="1:21" customHeight="1" ht="15">
      <c r="A21" s="280" t="s">
        <v>3351</v>
      </c>
      <c r="B21" s="280" t="s">
        <v>3352</v>
      </c>
      <c r="C21" s="280" t="s">
        <v>128</v>
      </c>
      <c r="D21" s="280" t="s">
        <v>250</v>
      </c>
      <c r="E21" s="280" t="s">
        <v>552</v>
      </c>
      <c r="F21" s="280" t="s">
        <v>391</v>
      </c>
      <c r="G21" s="307" t="s">
        <v>392</v>
      </c>
      <c r="H21" s="282" t="s">
        <v>526</v>
      </c>
      <c r="I21" s="283" t="s">
        <v>539</v>
      </c>
      <c r="J21" s="282" t="s">
        <v>526</v>
      </c>
      <c r="K21" s="284">
        <v>46034</v>
      </c>
      <c r="L21" s="285">
        <f>K21+O21+12</f>
        <v>46067</v>
      </c>
      <c r="M21" s="285">
        <v>46045</v>
      </c>
      <c r="N21" s="286">
        <f>(M21-K21)</f>
        <v>11</v>
      </c>
      <c r="O21" s="287">
        <v>21</v>
      </c>
      <c r="P21" s="288">
        <f>O21-N21</f>
        <v>10</v>
      </c>
      <c r="Q21" s="289" t="s">
        <v>3378</v>
      </c>
      <c r="R21" s="289"/>
      <c r="S21" s="309">
        <f>R21-M21</f>
        <v>-46045</v>
      </c>
      <c r="T21" s="270" t="s">
        <v>3362</v>
      </c>
      <c r="U21" s="289"/>
    </row>
    <row r="22" spans="1:21" customHeight="1" ht="15">
      <c r="A22" s="280" t="s">
        <v>3351</v>
      </c>
      <c r="B22" s="280" t="s">
        <v>3352</v>
      </c>
      <c r="C22" s="280" t="s">
        <v>128</v>
      </c>
      <c r="D22" s="280" t="s">
        <v>250</v>
      </c>
      <c r="E22" s="280" t="s">
        <v>552</v>
      </c>
      <c r="F22" s="280" t="s">
        <v>391</v>
      </c>
      <c r="G22" s="307" t="s">
        <v>392</v>
      </c>
      <c r="H22" s="282" t="s">
        <v>526</v>
      </c>
      <c r="I22" s="283" t="s">
        <v>539</v>
      </c>
      <c r="J22" s="282" t="s">
        <v>551</v>
      </c>
      <c r="K22" s="284">
        <v>46034</v>
      </c>
      <c r="L22" s="285">
        <f>K22+O22+12</f>
        <v>46067</v>
      </c>
      <c r="M22" s="285">
        <v>46084</v>
      </c>
      <c r="N22" s="286">
        <f>(M22-K22)</f>
        <v>50</v>
      </c>
      <c r="O22" s="287">
        <v>21</v>
      </c>
      <c r="P22" s="288">
        <f>O22-N22</f>
        <v>-29</v>
      </c>
      <c r="Q22" s="289" t="s">
        <v>3379</v>
      </c>
      <c r="R22" s="289"/>
      <c r="S22" s="309">
        <f>R22-M22</f>
        <v>-46084</v>
      </c>
      <c r="T22" s="270" t="s">
        <v>3362</v>
      </c>
      <c r="U22" s="289"/>
    </row>
    <row r="23" spans="1:21" customHeight="1" ht="15">
      <c r="A23" s="280" t="s">
        <v>3374</v>
      </c>
      <c r="B23" s="280" t="s">
        <v>3352</v>
      </c>
      <c r="C23" s="280" t="s">
        <v>128</v>
      </c>
      <c r="D23" s="280" t="s">
        <v>226</v>
      </c>
      <c r="E23" s="280" t="s">
        <v>552</v>
      </c>
      <c r="F23" s="280" t="s">
        <v>233</v>
      </c>
      <c r="G23" s="307" t="s">
        <v>235</v>
      </c>
      <c r="H23" s="282" t="s">
        <v>526</v>
      </c>
      <c r="I23" s="283" t="s">
        <v>591</v>
      </c>
      <c r="J23" s="282" t="s">
        <v>526</v>
      </c>
      <c r="K23" s="284">
        <v>46034</v>
      </c>
      <c r="L23" s="285">
        <f>K23+O23+12</f>
        <v>46088</v>
      </c>
      <c r="M23" s="285">
        <v>46034</v>
      </c>
      <c r="N23" s="286">
        <f>(M23-K23)</f>
        <v>0</v>
      </c>
      <c r="O23" s="287">
        <v>42</v>
      </c>
      <c r="P23" s="288">
        <f>O23-N23</f>
        <v>42</v>
      </c>
      <c r="Q23" s="289" t="s">
        <v>3380</v>
      </c>
      <c r="R23" s="289"/>
      <c r="S23" s="309">
        <f>R23-M23</f>
        <v>-46034</v>
      </c>
      <c r="T23" s="270" t="s">
        <v>3362</v>
      </c>
      <c r="U23" s="289"/>
    </row>
    <row r="24" spans="1:21" customHeight="1" ht="15">
      <c r="A24" s="280" t="s">
        <v>3351</v>
      </c>
      <c r="B24" s="280" t="s">
        <v>3352</v>
      </c>
      <c r="C24" s="280" t="s">
        <v>128</v>
      </c>
      <c r="D24" s="280" t="s">
        <v>130</v>
      </c>
      <c r="E24" s="280" t="s">
        <v>3381</v>
      </c>
      <c r="F24" s="280" t="s">
        <v>3045</v>
      </c>
      <c r="G24" s="280" t="s">
        <v>255</v>
      </c>
      <c r="H24" s="282" t="s">
        <v>526</v>
      </c>
      <c r="I24" s="283" t="s">
        <v>551</v>
      </c>
      <c r="J24" s="282" t="s">
        <v>526</v>
      </c>
      <c r="K24" s="284">
        <v>46036</v>
      </c>
      <c r="L24" s="285">
        <f>K24+O24+12</f>
        <v>46090</v>
      </c>
      <c r="M24" s="285">
        <v>46055</v>
      </c>
      <c r="N24" s="286">
        <f>(M24-K24)</f>
        <v>19</v>
      </c>
      <c r="O24" s="287">
        <v>42</v>
      </c>
      <c r="P24" s="286">
        <f>O24-N24</f>
        <v>23</v>
      </c>
      <c r="Q24" s="289" t="s">
        <v>3382</v>
      </c>
      <c r="R24" s="289"/>
      <c r="S24" s="306">
        <f>R24-M24</f>
        <v>-46055</v>
      </c>
      <c r="T24" s="270" t="s">
        <v>3362</v>
      </c>
      <c r="U24" s="289"/>
    </row>
    <row r="25" spans="1:21" customHeight="1" ht="15">
      <c r="A25" s="280" t="s">
        <v>3351</v>
      </c>
      <c r="B25" s="280" t="s">
        <v>3352</v>
      </c>
      <c r="C25" s="280" t="s">
        <v>128</v>
      </c>
      <c r="D25" s="280" t="s">
        <v>176</v>
      </c>
      <c r="E25" s="280" t="s">
        <v>552</v>
      </c>
      <c r="F25" s="280" t="s">
        <v>1233</v>
      </c>
      <c r="G25" s="280" t="s">
        <v>1239</v>
      </c>
      <c r="H25" s="282" t="s">
        <v>526</v>
      </c>
      <c r="I25" s="283" t="s">
        <v>551</v>
      </c>
      <c r="J25" s="282" t="s">
        <v>539</v>
      </c>
      <c r="K25" s="284">
        <v>46041</v>
      </c>
      <c r="L25" s="285">
        <f>K25+O25</f>
        <v>46083</v>
      </c>
      <c r="M25" s="285">
        <v>46077</v>
      </c>
      <c r="N25" s="286">
        <f>(M25-K25)</f>
        <v>36</v>
      </c>
      <c r="O25" s="287">
        <v>42</v>
      </c>
      <c r="P25" s="286">
        <f>O25-N25</f>
        <v>6</v>
      </c>
      <c r="Q25" s="289" t="s">
        <v>3383</v>
      </c>
      <c r="R25" s="289"/>
      <c r="S25" s="306">
        <f>R25-M25</f>
        <v>-46077</v>
      </c>
      <c r="T25" s="270" t="s">
        <v>3357</v>
      </c>
      <c r="U25" s="289"/>
    </row>
    <row r="26" spans="1:21" customHeight="1" ht="15">
      <c r="A26" s="280" t="s">
        <v>3351</v>
      </c>
      <c r="B26" s="280" t="s">
        <v>3352</v>
      </c>
      <c r="C26" s="280" t="s">
        <v>128</v>
      </c>
      <c r="D26" s="280" t="s">
        <v>182</v>
      </c>
      <c r="E26" s="280" t="s">
        <v>552</v>
      </c>
      <c r="F26" s="445" t="s">
        <v>180</v>
      </c>
      <c r="G26" s="445" t="s">
        <v>3384</v>
      </c>
      <c r="H26" s="282" t="s">
        <v>526</v>
      </c>
      <c r="I26" s="283" t="s">
        <v>551</v>
      </c>
      <c r="J26" s="282" t="s">
        <v>551</v>
      </c>
      <c r="K26" s="284">
        <v>46041</v>
      </c>
      <c r="L26" s="285">
        <f>K26+O26</f>
        <v>46083</v>
      </c>
      <c r="M26" s="285">
        <v>46113</v>
      </c>
      <c r="N26" s="286">
        <f>(M26-K26)</f>
        <v>72</v>
      </c>
      <c r="O26" s="287">
        <v>42</v>
      </c>
      <c r="P26" s="286">
        <f>O26-N26</f>
        <v>-30</v>
      </c>
      <c r="Q26" s="289" t="s">
        <v>3385</v>
      </c>
      <c r="R26" s="289"/>
      <c r="S26" s="306">
        <f>R26-M26</f>
        <v>-46113</v>
      </c>
      <c r="T26" s="270" t="s">
        <v>3357</v>
      </c>
      <c r="U26" s="289"/>
    </row>
    <row r="27" spans="1:21" customHeight="1" ht="15">
      <c r="A27" s="280" t="s">
        <v>3351</v>
      </c>
      <c r="B27" s="280" t="s">
        <v>3352</v>
      </c>
      <c r="C27" s="280" t="s">
        <v>128</v>
      </c>
      <c r="D27" s="280" t="s">
        <v>135</v>
      </c>
      <c r="E27" s="280" t="s">
        <v>567</v>
      </c>
      <c r="F27" s="280" t="s">
        <v>3386</v>
      </c>
      <c r="G27" s="280" t="s">
        <v>3387</v>
      </c>
      <c r="H27" s="282" t="s">
        <v>526</v>
      </c>
      <c r="I27" s="283" t="s">
        <v>539</v>
      </c>
      <c r="J27" s="282" t="s">
        <v>539</v>
      </c>
      <c r="K27" s="284">
        <v>46045</v>
      </c>
      <c r="L27" s="285">
        <f>K27+O27</f>
        <v>46080</v>
      </c>
      <c r="M27" s="285">
        <v>46057</v>
      </c>
      <c r="N27" s="286">
        <f>(M27-K27)</f>
        <v>12</v>
      </c>
      <c r="O27" s="287">
        <v>35</v>
      </c>
      <c r="P27" s="286">
        <f>O27-N27</f>
        <v>23</v>
      </c>
      <c r="Q27" s="289" t="s">
        <v>3388</v>
      </c>
      <c r="R27" s="289"/>
      <c r="S27" s="306">
        <f>R27-M27</f>
        <v>-46057</v>
      </c>
      <c r="T27" s="270" t="s">
        <v>3362</v>
      </c>
      <c r="U27" s="289"/>
    </row>
    <row r="28" spans="1:21" customHeight="1" ht="15">
      <c r="A28" s="280" t="s">
        <v>3351</v>
      </c>
      <c r="B28" s="280" t="s">
        <v>3352</v>
      </c>
      <c r="C28" s="280" t="s">
        <v>128</v>
      </c>
      <c r="D28" s="280" t="s">
        <v>135</v>
      </c>
      <c r="E28" s="280" t="s">
        <v>567</v>
      </c>
      <c r="F28" s="280" t="s">
        <v>422</v>
      </c>
      <c r="G28" s="280" t="s">
        <v>1665</v>
      </c>
      <c r="H28" s="282" t="s">
        <v>526</v>
      </c>
      <c r="I28" s="283" t="s">
        <v>551</v>
      </c>
      <c r="J28" s="282" t="s">
        <v>539</v>
      </c>
      <c r="K28" s="284">
        <v>46049</v>
      </c>
      <c r="L28" s="285">
        <f>K28+O28</f>
        <v>46084</v>
      </c>
      <c r="M28" s="285">
        <v>46062</v>
      </c>
      <c r="N28" s="286">
        <f>(M28-K28)</f>
        <v>13</v>
      </c>
      <c r="O28" s="287">
        <v>35</v>
      </c>
      <c r="P28" s="286">
        <f>O28-N28</f>
        <v>22</v>
      </c>
      <c r="Q28" s="289" t="s">
        <v>3389</v>
      </c>
      <c r="R28" s="289"/>
      <c r="S28" s="306">
        <f>R28-M28</f>
        <v>-46062</v>
      </c>
      <c r="T28" s="270" t="s">
        <v>3362</v>
      </c>
      <c r="U28" s="289"/>
    </row>
    <row r="29" spans="1:21" customHeight="1" ht="15">
      <c r="A29" s="280" t="s">
        <v>3351</v>
      </c>
      <c r="B29" s="280" t="s">
        <v>3352</v>
      </c>
      <c r="C29" s="280" t="s">
        <v>128</v>
      </c>
      <c r="D29" s="280" t="s">
        <v>135</v>
      </c>
      <c r="E29" s="280" t="s">
        <v>567</v>
      </c>
      <c r="F29" s="280" t="s">
        <v>217</v>
      </c>
      <c r="G29" s="280" t="s">
        <v>3390</v>
      </c>
      <c r="H29" s="282" t="s">
        <v>526</v>
      </c>
      <c r="I29" s="283" t="s">
        <v>551</v>
      </c>
      <c r="J29" s="282" t="s">
        <v>539</v>
      </c>
      <c r="K29" s="284">
        <v>46049</v>
      </c>
      <c r="L29" s="285">
        <f>K29+O29</f>
        <v>46084</v>
      </c>
      <c r="M29" s="285">
        <v>46064</v>
      </c>
      <c r="N29" s="286">
        <f>(M29-K29)</f>
        <v>15</v>
      </c>
      <c r="O29" s="287">
        <v>35</v>
      </c>
      <c r="P29" s="286">
        <f>O29-N29</f>
        <v>20</v>
      </c>
      <c r="Q29" s="289" t="s">
        <v>3391</v>
      </c>
      <c r="R29" s="289"/>
      <c r="S29" s="306">
        <f>R29-M29</f>
        <v>-46064</v>
      </c>
      <c r="T29" s="270" t="s">
        <v>3362</v>
      </c>
      <c r="U29" s="289"/>
    </row>
    <row r="30" spans="1:21" customHeight="1" ht="15">
      <c r="A30" s="280" t="s">
        <v>3374</v>
      </c>
      <c r="B30" s="280" t="s">
        <v>3352</v>
      </c>
      <c r="C30" s="280" t="s">
        <v>128</v>
      </c>
      <c r="D30" s="280" t="s">
        <v>402</v>
      </c>
      <c r="E30" s="280" t="s">
        <v>552</v>
      </c>
      <c r="F30" s="280" t="s">
        <v>400</v>
      </c>
      <c r="G30" s="280" t="s">
        <v>3370</v>
      </c>
      <c r="H30" s="282" t="s">
        <v>526</v>
      </c>
      <c r="I30" s="283" t="s">
        <v>561</v>
      </c>
      <c r="J30" s="282" t="s">
        <v>539</v>
      </c>
      <c r="K30" s="284">
        <v>46050</v>
      </c>
      <c r="L30" s="285">
        <f>K30+O30</f>
        <v>46134</v>
      </c>
      <c r="M30" s="285">
        <v>46065</v>
      </c>
      <c r="N30" s="286">
        <f>(M30-K30)</f>
        <v>15</v>
      </c>
      <c r="O30" s="287">
        <v>84</v>
      </c>
      <c r="P30" s="286">
        <f>O30-N30</f>
        <v>69</v>
      </c>
      <c r="Q30" s="289" t="s">
        <v>3392</v>
      </c>
      <c r="R30" s="289"/>
      <c r="S30" s="306">
        <f>R30-M30</f>
        <v>-46065</v>
      </c>
      <c r="T30" s="270" t="s">
        <v>3355</v>
      </c>
      <c r="U30" s="289"/>
    </row>
    <row r="31" spans="1:21" customHeight="1" ht="15">
      <c r="A31" s="280" t="s">
        <v>3351</v>
      </c>
      <c r="B31" s="280" t="s">
        <v>3352</v>
      </c>
      <c r="C31" s="280" t="s">
        <v>128</v>
      </c>
      <c r="D31" s="280" t="s">
        <v>135</v>
      </c>
      <c r="E31" s="280" t="s">
        <v>567</v>
      </c>
      <c r="F31" s="280" t="s">
        <v>464</v>
      </c>
      <c r="G31" s="280" t="s">
        <v>255</v>
      </c>
      <c r="H31" s="282" t="s">
        <v>539</v>
      </c>
      <c r="I31" s="283" t="s">
        <v>551</v>
      </c>
      <c r="J31" s="282" t="s">
        <v>539</v>
      </c>
      <c r="K31" s="284">
        <v>46055</v>
      </c>
      <c r="L31" s="285">
        <f>K31+O31</f>
        <v>46090</v>
      </c>
      <c r="M31" s="285">
        <v>46062</v>
      </c>
      <c r="N31" s="286">
        <f>(M31-K31)</f>
        <v>7</v>
      </c>
      <c r="O31" s="287">
        <v>35</v>
      </c>
      <c r="P31" s="286">
        <f>O31-N31</f>
        <v>28</v>
      </c>
      <c r="Q31" s="289" t="s">
        <v>3393</v>
      </c>
      <c r="R31" s="289"/>
      <c r="S31" s="306">
        <f>R31-M31</f>
        <v>-46062</v>
      </c>
      <c r="T31" s="270" t="s">
        <v>3362</v>
      </c>
      <c r="U31" s="289"/>
    </row>
    <row r="32" spans="1:21" customHeight="1" ht="14.25">
      <c r="A32" s="280" t="s">
        <v>3351</v>
      </c>
      <c r="B32" s="280" t="s">
        <v>3352</v>
      </c>
      <c r="C32" s="280" t="s">
        <v>128</v>
      </c>
      <c r="D32" s="280" t="s">
        <v>176</v>
      </c>
      <c r="E32" s="280" t="s">
        <v>552</v>
      </c>
      <c r="F32" s="280" t="s">
        <v>172</v>
      </c>
      <c r="G32" s="280" t="s">
        <v>177</v>
      </c>
      <c r="H32" s="282" t="s">
        <v>539</v>
      </c>
      <c r="I32" s="283" t="s">
        <v>561</v>
      </c>
      <c r="J32" s="282"/>
      <c r="K32" s="284">
        <v>46055</v>
      </c>
      <c r="L32" s="285">
        <f>K32+O32</f>
        <v>46139</v>
      </c>
      <c r="M32" s="285"/>
      <c r="N32" s="286">
        <f>(M32-K32)</f>
        <v>-46055</v>
      </c>
      <c r="O32" s="287">
        <v>84</v>
      </c>
      <c r="P32" s="286">
        <v>0.0</v>
      </c>
      <c r="Q32" s="289"/>
      <c r="R32" s="308"/>
      <c r="S32" s="309">
        <f>R32-M32</f>
        <v>0</v>
      </c>
      <c r="T32" s="270" t="s">
        <v>3394</v>
      </c>
      <c r="U32" s="289"/>
    </row>
    <row r="33" spans="1:21" customHeight="1" ht="15">
      <c r="A33" s="280" t="s">
        <v>3351</v>
      </c>
      <c r="B33" s="280" t="s">
        <v>3352</v>
      </c>
      <c r="C33" s="280" t="s">
        <v>128</v>
      </c>
      <c r="D33" s="280" t="s">
        <v>135</v>
      </c>
      <c r="E33" s="280" t="s">
        <v>567</v>
      </c>
      <c r="F33" s="280" t="s">
        <v>3386</v>
      </c>
      <c r="G33" s="280" t="s">
        <v>3387</v>
      </c>
      <c r="H33" s="282" t="s">
        <v>539</v>
      </c>
      <c r="I33" s="283" t="s">
        <v>551</v>
      </c>
      <c r="J33" s="282" t="s">
        <v>539</v>
      </c>
      <c r="K33" s="284">
        <v>46062</v>
      </c>
      <c r="L33" s="285">
        <f>K33+O33</f>
        <v>46097</v>
      </c>
      <c r="M33" s="285">
        <v>46066</v>
      </c>
      <c r="N33" s="286">
        <f>(M33-K33)</f>
        <v>4</v>
      </c>
      <c r="O33" s="287">
        <v>35</v>
      </c>
      <c r="P33" s="286">
        <f>O33-N33</f>
        <v>31</v>
      </c>
      <c r="Q33" s="289" t="s">
        <v>3395</v>
      </c>
      <c r="R33" s="289"/>
      <c r="S33" s="306">
        <f>R33-M33</f>
        <v>-46066</v>
      </c>
      <c r="T33" s="270" t="s">
        <v>3362</v>
      </c>
      <c r="U33" s="289"/>
    </row>
    <row r="34" spans="1:21" customHeight="1" ht="15">
      <c r="A34" s="280" t="s">
        <v>3351</v>
      </c>
      <c r="B34" s="280" t="s">
        <v>3352</v>
      </c>
      <c r="C34" s="280" t="s">
        <v>128</v>
      </c>
      <c r="D34" s="280" t="s">
        <v>176</v>
      </c>
      <c r="E34" s="280" t="s">
        <v>552</v>
      </c>
      <c r="F34" s="280" t="s">
        <v>3017</v>
      </c>
      <c r="G34" s="280" t="s">
        <v>256</v>
      </c>
      <c r="H34" s="282" t="s">
        <v>539</v>
      </c>
      <c r="I34" s="283" t="s">
        <v>551</v>
      </c>
      <c r="J34" s="282"/>
      <c r="K34" s="284">
        <v>46062</v>
      </c>
      <c r="L34" s="285">
        <f>K34+O34</f>
        <v>46104</v>
      </c>
      <c r="M34" s="285"/>
      <c r="N34" s="286">
        <f>(M34-K34)</f>
        <v>-46062</v>
      </c>
      <c r="O34" s="287">
        <v>42</v>
      </c>
      <c r="P34" s="444">
        <f>O34-N34</f>
        <v>46104</v>
      </c>
      <c r="Q34" s="289"/>
      <c r="R34" s="283"/>
      <c r="S34" s="309">
        <f>R34-M34</f>
        <v>0</v>
      </c>
      <c r="T34" s="270" t="s">
        <v>3355</v>
      </c>
      <c r="U34" s="289"/>
    </row>
    <row r="35" spans="1:21" customHeight="1" ht="15">
      <c r="A35" s="280" t="s">
        <v>3351</v>
      </c>
      <c r="B35" s="280" t="s">
        <v>3352</v>
      </c>
      <c r="C35" s="280" t="s">
        <v>128</v>
      </c>
      <c r="D35" s="280" t="s">
        <v>3396</v>
      </c>
      <c r="E35" s="280" t="s">
        <v>552</v>
      </c>
      <c r="F35" s="280" t="s">
        <v>3397</v>
      </c>
      <c r="G35" s="280" t="s">
        <v>3398</v>
      </c>
      <c r="H35" s="282" t="s">
        <v>539</v>
      </c>
      <c r="I35" s="283" t="s">
        <v>551</v>
      </c>
      <c r="J35" s="282" t="s">
        <v>539</v>
      </c>
      <c r="K35" s="284">
        <v>46063</v>
      </c>
      <c r="L35" s="285">
        <f>K35+O35</f>
        <v>46105</v>
      </c>
      <c r="M35" s="285">
        <v>46069</v>
      </c>
      <c r="N35" s="286">
        <f>(M35-K35)</f>
        <v>6</v>
      </c>
      <c r="O35" s="287">
        <v>42</v>
      </c>
      <c r="P35" s="444">
        <f>O35-N35</f>
        <v>36</v>
      </c>
      <c r="Q35" s="289" t="s">
        <v>3399</v>
      </c>
      <c r="R35" s="283"/>
      <c r="S35" s="309">
        <f>R35-M35</f>
        <v>-46069</v>
      </c>
      <c r="T35" s="270" t="s">
        <v>3362</v>
      </c>
      <c r="U35" s="289"/>
    </row>
    <row r="36" spans="1:21" customHeight="1" ht="15">
      <c r="A36" s="280" t="s">
        <v>3351</v>
      </c>
      <c r="B36" s="280" t="s">
        <v>3352</v>
      </c>
      <c r="C36" s="280" t="s">
        <v>128</v>
      </c>
      <c r="D36" s="280" t="s">
        <v>135</v>
      </c>
      <c r="E36" s="280" t="s">
        <v>567</v>
      </c>
      <c r="F36" s="280" t="s">
        <v>422</v>
      </c>
      <c r="G36" s="280" t="s">
        <v>1665</v>
      </c>
      <c r="H36" s="282" t="s">
        <v>539</v>
      </c>
      <c r="I36" s="283" t="s">
        <v>551</v>
      </c>
      <c r="J36" s="282" t="s">
        <v>551</v>
      </c>
      <c r="K36" s="284">
        <v>46063</v>
      </c>
      <c r="L36" s="285">
        <f>K36+O36</f>
        <v>46098</v>
      </c>
      <c r="M36" s="285">
        <v>46099</v>
      </c>
      <c r="N36" s="286">
        <f>(M36-K36)</f>
        <v>36</v>
      </c>
      <c r="O36" s="287">
        <v>35</v>
      </c>
      <c r="P36" s="286">
        <f>O36-N36</f>
        <v>-1</v>
      </c>
      <c r="Q36" s="289" t="s">
        <v>3400</v>
      </c>
      <c r="R36" s="289"/>
      <c r="S36" s="306">
        <f>R36-M36</f>
        <v>-46099</v>
      </c>
      <c r="T36" s="270" t="s">
        <v>3362</v>
      </c>
      <c r="U36" s="289"/>
    </row>
    <row r="37" spans="1:21" customHeight="1" ht="15">
      <c r="A37" s="280" t="s">
        <v>3374</v>
      </c>
      <c r="B37" s="280" t="s">
        <v>3401</v>
      </c>
      <c r="C37" s="280" t="s">
        <v>128</v>
      </c>
      <c r="D37" s="280" t="s">
        <v>130</v>
      </c>
      <c r="E37" s="280" t="s">
        <v>552</v>
      </c>
      <c r="F37" s="280" t="s">
        <v>1618</v>
      </c>
      <c r="G37" s="307" t="s">
        <v>3402</v>
      </c>
      <c r="H37" s="282" t="s">
        <v>539</v>
      </c>
      <c r="I37" s="283" t="s">
        <v>551</v>
      </c>
      <c r="J37" s="282" t="s">
        <v>551</v>
      </c>
      <c r="K37" s="284">
        <v>46064</v>
      </c>
      <c r="L37" s="285">
        <f>K37+O37</f>
        <v>46106</v>
      </c>
      <c r="M37" s="285">
        <v>46126</v>
      </c>
      <c r="N37" s="286">
        <f>(M37-K37)</f>
        <v>62</v>
      </c>
      <c r="O37" s="287">
        <v>42</v>
      </c>
      <c r="P37" s="286">
        <f>O37-N37</f>
        <v>-20</v>
      </c>
      <c r="Q37" s="289" t="s">
        <v>3403</v>
      </c>
      <c r="R37" s="289"/>
      <c r="S37" s="306">
        <f>R37-M37</f>
        <v>-46126</v>
      </c>
      <c r="T37" s="270" t="s">
        <v>3357</v>
      </c>
      <c r="U37" s="289"/>
    </row>
    <row r="38" spans="1:21" customHeight="1" ht="15">
      <c r="A38" s="280" t="s">
        <v>3351</v>
      </c>
      <c r="B38" s="280" t="s">
        <v>3352</v>
      </c>
      <c r="C38" s="280" t="s">
        <v>128</v>
      </c>
      <c r="D38" s="280" t="s">
        <v>176</v>
      </c>
      <c r="E38" s="280" t="s">
        <v>552</v>
      </c>
      <c r="F38" s="280" t="s">
        <v>3016</v>
      </c>
      <c r="G38" s="280" t="s">
        <v>254</v>
      </c>
      <c r="H38" s="282" t="s">
        <v>539</v>
      </c>
      <c r="I38" s="283" t="s">
        <v>551</v>
      </c>
      <c r="J38" s="282" t="s">
        <v>539</v>
      </c>
      <c r="K38" s="284">
        <v>46064</v>
      </c>
      <c r="L38" s="285">
        <f>K38+O38</f>
        <v>46106</v>
      </c>
      <c r="M38" s="285">
        <v>46077</v>
      </c>
      <c r="N38" s="286">
        <f>(M38-K38)</f>
        <v>13</v>
      </c>
      <c r="O38" s="287">
        <v>42</v>
      </c>
      <c r="P38" s="286">
        <f>O38-N38</f>
        <v>29</v>
      </c>
      <c r="Q38" s="289" t="s">
        <v>3404</v>
      </c>
      <c r="R38" s="289"/>
      <c r="S38" s="306">
        <f>R38-M38</f>
        <v>-46077</v>
      </c>
      <c r="T38" s="270" t="s">
        <v>3362</v>
      </c>
      <c r="U38" s="289"/>
    </row>
    <row r="39" spans="1:21" customHeight="1" ht="15">
      <c r="A39" s="280" t="s">
        <v>3351</v>
      </c>
      <c r="B39" s="280" t="s">
        <v>3352</v>
      </c>
      <c r="C39" s="280" t="s">
        <v>128</v>
      </c>
      <c r="D39" s="29" t="s">
        <v>592</v>
      </c>
      <c r="E39" s="280" t="s">
        <v>552</v>
      </c>
      <c r="F39" s="280" t="s">
        <v>1303</v>
      </c>
      <c r="G39" s="280" t="s">
        <v>1304</v>
      </c>
      <c r="H39" s="282" t="s">
        <v>539</v>
      </c>
      <c r="I39" s="283" t="s">
        <v>551</v>
      </c>
      <c r="J39" s="282" t="s">
        <v>551</v>
      </c>
      <c r="K39" s="284">
        <v>46064</v>
      </c>
      <c r="L39" s="285">
        <f>K39+O39</f>
        <v>46106</v>
      </c>
      <c r="M39" s="285">
        <v>46111</v>
      </c>
      <c r="N39" s="286">
        <f>(M39-K39)</f>
        <v>47</v>
      </c>
      <c r="O39" s="287">
        <v>42</v>
      </c>
      <c r="P39" s="286">
        <f>O39-N39</f>
        <v>-5</v>
      </c>
      <c r="Q39" s="289" t="s">
        <v>3405</v>
      </c>
      <c r="R39" s="289"/>
      <c r="S39" s="306">
        <f>R39-M39</f>
        <v>-46111</v>
      </c>
      <c r="T39" s="270" t="s">
        <v>3362</v>
      </c>
      <c r="U39" s="289"/>
    </row>
    <row r="40" spans="1:21" customHeight="1" ht="14.25">
      <c r="A40" s="280" t="s">
        <v>3351</v>
      </c>
      <c r="B40" s="280" t="s">
        <v>3352</v>
      </c>
      <c r="C40" s="280" t="s">
        <v>128</v>
      </c>
      <c r="D40" s="280" t="s">
        <v>130</v>
      </c>
      <c r="E40" s="280" t="s">
        <v>552</v>
      </c>
      <c r="F40" s="280" t="s">
        <v>378</v>
      </c>
      <c r="G40" s="280" t="s">
        <v>329</v>
      </c>
      <c r="H40" s="282" t="s">
        <v>539</v>
      </c>
      <c r="I40" s="283" t="s">
        <v>551</v>
      </c>
      <c r="J40" s="282" t="s">
        <v>551</v>
      </c>
      <c r="K40" s="284">
        <v>46069</v>
      </c>
      <c r="L40" s="285">
        <f>K40+O40</f>
        <v>46104</v>
      </c>
      <c r="M40" s="285">
        <v>46091</v>
      </c>
      <c r="N40" s="286">
        <f>(M40-K40)</f>
        <v>22</v>
      </c>
      <c r="O40" s="287">
        <v>35</v>
      </c>
      <c r="P40" s="286">
        <f>O40-N40</f>
        <v>13</v>
      </c>
      <c r="Q40" s="289" t="s">
        <v>3406</v>
      </c>
      <c r="R40" s="308"/>
      <c r="S40" s="309">
        <f>R40-M40</f>
        <v>-46091</v>
      </c>
      <c r="T40" s="270" t="s">
        <v>3362</v>
      </c>
      <c r="U40" s="289"/>
    </row>
    <row r="41" spans="1:21" customHeight="1" ht="14.25">
      <c r="A41" s="280" t="s">
        <v>3351</v>
      </c>
      <c r="B41" s="280" t="s">
        <v>3352</v>
      </c>
      <c r="C41" s="280" t="s">
        <v>128</v>
      </c>
      <c r="D41" s="280" t="s">
        <v>594</v>
      </c>
      <c r="E41" s="280" t="s">
        <v>552</v>
      </c>
      <c r="F41" s="280" t="s">
        <v>3358</v>
      </c>
      <c r="G41" s="280" t="s">
        <v>304</v>
      </c>
      <c r="H41" s="282" t="s">
        <v>539</v>
      </c>
      <c r="I41" s="283" t="s">
        <v>566</v>
      </c>
      <c r="J41" s="282" t="s">
        <v>571</v>
      </c>
      <c r="K41" s="284">
        <v>46070</v>
      </c>
      <c r="L41" s="285">
        <f>K41+O41</f>
        <v>46154</v>
      </c>
      <c r="M41" s="285">
        <v>46181</v>
      </c>
      <c r="N41" s="286">
        <f>(M41-K41)</f>
        <v>111</v>
      </c>
      <c r="O41" s="287">
        <v>84</v>
      </c>
      <c r="P41" s="286">
        <f>O41-N41</f>
        <v>-27</v>
      </c>
      <c r="Q41" s="289" t="s">
        <v>3407</v>
      </c>
      <c r="R41" s="308"/>
      <c r="S41" s="309">
        <f>R41-M41</f>
        <v>-46181</v>
      </c>
      <c r="T41" s="270" t="s">
        <v>3355</v>
      </c>
      <c r="U41" s="289"/>
    </row>
    <row r="42" spans="1:21" customHeight="1" ht="15">
      <c r="A42" s="280" t="s">
        <v>3351</v>
      </c>
      <c r="B42" s="280" t="s">
        <v>3352</v>
      </c>
      <c r="C42" s="280" t="s">
        <v>128</v>
      </c>
      <c r="D42" s="280" t="s">
        <v>250</v>
      </c>
      <c r="E42" s="280" t="s">
        <v>552</v>
      </c>
      <c r="F42" s="280" t="s">
        <v>3051</v>
      </c>
      <c r="G42" s="307" t="s">
        <v>3363</v>
      </c>
      <c r="H42" s="282" t="s">
        <v>539</v>
      </c>
      <c r="I42" s="283" t="s">
        <v>551</v>
      </c>
      <c r="J42" s="302" t="s">
        <v>551</v>
      </c>
      <c r="K42" s="284">
        <v>46070</v>
      </c>
      <c r="L42" s="285">
        <f>K42+O42</f>
        <v>46105</v>
      </c>
      <c r="M42" s="285">
        <v>46099</v>
      </c>
      <c r="N42" s="286">
        <f>(M42-K42)</f>
        <v>29</v>
      </c>
      <c r="O42" s="311">
        <v>35</v>
      </c>
      <c r="P42" s="286">
        <f>O42-N42</f>
        <v>6</v>
      </c>
      <c r="Q42" s="289" t="s">
        <v>3408</v>
      </c>
      <c r="R42" s="289"/>
      <c r="S42" s="309">
        <f>R42-M42</f>
        <v>-46099</v>
      </c>
      <c r="T42" s="270" t="s">
        <v>3365</v>
      </c>
      <c r="U42" s="289"/>
    </row>
    <row r="43" spans="1:21" customHeight="1" ht="15">
      <c r="A43" s="280" t="s">
        <v>3351</v>
      </c>
      <c r="B43" s="280" t="s">
        <v>3352</v>
      </c>
      <c r="C43" s="280" t="s">
        <v>128</v>
      </c>
      <c r="D43" s="280" t="s">
        <v>319</v>
      </c>
      <c r="E43" s="280" t="s">
        <v>552</v>
      </c>
      <c r="F43" s="291" t="s">
        <v>374</v>
      </c>
      <c r="G43" s="307" t="s">
        <v>375</v>
      </c>
      <c r="H43" s="282" t="s">
        <v>539</v>
      </c>
      <c r="I43" s="283" t="s">
        <v>561</v>
      </c>
      <c r="J43" s="302" t="s">
        <v>561</v>
      </c>
      <c r="K43" s="284">
        <v>46079</v>
      </c>
      <c r="L43" s="285">
        <f>K43+O43</f>
        <v>46121</v>
      </c>
      <c r="M43" s="285"/>
      <c r="N43" s="286">
        <f>(M43-K43)</f>
        <v>-46079</v>
      </c>
      <c r="O43" s="311">
        <v>42</v>
      </c>
      <c r="P43" s="286">
        <f>O43-N43</f>
        <v>46121</v>
      </c>
      <c r="Q43" s="289" t="s">
        <v>3409</v>
      </c>
      <c r="R43" s="289"/>
      <c r="S43" s="309">
        <f>R43-M43</f>
        <v>0</v>
      </c>
      <c r="T43" s="270" t="s">
        <v>3362</v>
      </c>
      <c r="U43" s="289"/>
    </row>
    <row r="44" spans="1:21" customHeight="1" ht="15">
      <c r="A44" s="280" t="s">
        <v>3351</v>
      </c>
      <c r="B44" s="280" t="s">
        <v>3352</v>
      </c>
      <c r="C44" s="280" t="s">
        <v>128</v>
      </c>
      <c r="D44" s="29" t="s">
        <v>280</v>
      </c>
      <c r="E44" s="280" t="s">
        <v>3410</v>
      </c>
      <c r="F44" s="280" t="s">
        <v>3411</v>
      </c>
      <c r="G44" s="280" t="s">
        <v>3412</v>
      </c>
      <c r="H44" s="282" t="s">
        <v>551</v>
      </c>
      <c r="I44" s="283" t="s">
        <v>561</v>
      </c>
      <c r="J44" s="282" t="s">
        <v>561</v>
      </c>
      <c r="K44" s="284">
        <v>46084</v>
      </c>
      <c r="L44" s="285">
        <f>K44+O44</f>
        <v>46119</v>
      </c>
      <c r="M44" s="285">
        <v>46142</v>
      </c>
      <c r="N44" s="286">
        <f>(M44-K44)</f>
        <v>58</v>
      </c>
      <c r="O44" s="287">
        <v>35</v>
      </c>
      <c r="P44" s="286">
        <f>O44-N44</f>
        <v>-23</v>
      </c>
      <c r="Q44" s="289" t="s">
        <v>3413</v>
      </c>
      <c r="R44" s="289"/>
      <c r="S44" s="306">
        <f>R44-M44</f>
        <v>-46142</v>
      </c>
      <c r="T44" s="270" t="s">
        <v>3362</v>
      </c>
      <c r="U44" s="289"/>
    </row>
    <row r="45" spans="1:21" customHeight="1" ht="15">
      <c r="A45" s="280" t="s">
        <v>3351</v>
      </c>
      <c r="B45" s="280" t="s">
        <v>3352</v>
      </c>
      <c r="C45" s="280" t="s">
        <v>128</v>
      </c>
      <c r="D45" s="280" t="s">
        <v>226</v>
      </c>
      <c r="E45" s="280" t="s">
        <v>552</v>
      </c>
      <c r="F45" s="280" t="s">
        <v>1812</v>
      </c>
      <c r="G45" s="280" t="s">
        <v>3414</v>
      </c>
      <c r="H45" s="282" t="s">
        <v>551</v>
      </c>
      <c r="I45" s="283" t="s">
        <v>561</v>
      </c>
      <c r="J45" s="282" t="s">
        <v>551</v>
      </c>
      <c r="K45" s="284">
        <v>46084</v>
      </c>
      <c r="L45" s="285">
        <f>K45+O45</f>
        <v>46119</v>
      </c>
      <c r="M45" s="285">
        <v>46098</v>
      </c>
      <c r="N45" s="286">
        <f>(M45-K45)</f>
        <v>14</v>
      </c>
      <c r="O45" s="287">
        <v>35</v>
      </c>
      <c r="P45" s="286">
        <f>O45-N45</f>
        <v>21</v>
      </c>
      <c r="Q45" s="289" t="s">
        <v>3415</v>
      </c>
      <c r="R45" s="289"/>
      <c r="S45" s="306">
        <f>R45-M45</f>
        <v>-46098</v>
      </c>
      <c r="T45" s="270" t="s">
        <v>3362</v>
      </c>
      <c r="U45" s="289"/>
    </row>
    <row r="46" spans="1:21" customHeight="1" ht="15">
      <c r="A46" s="280" t="s">
        <v>3351</v>
      </c>
      <c r="B46" s="280" t="s">
        <v>3401</v>
      </c>
      <c r="C46" s="280" t="s">
        <v>128</v>
      </c>
      <c r="D46" s="280" t="s">
        <v>135</v>
      </c>
      <c r="E46" s="280" t="s">
        <v>567</v>
      </c>
      <c r="F46" s="280" t="s">
        <v>422</v>
      </c>
      <c r="G46" s="280" t="s">
        <v>3416</v>
      </c>
      <c r="H46" s="282" t="s">
        <v>551</v>
      </c>
      <c r="I46" s="283" t="s">
        <v>561</v>
      </c>
      <c r="J46" s="282"/>
      <c r="K46" s="284">
        <v>46085</v>
      </c>
      <c r="L46" s="285">
        <f>K46+O46</f>
        <v>46120</v>
      </c>
      <c r="M46" s="285"/>
      <c r="N46" s="286">
        <f>(M46-K46)</f>
        <v>-46085</v>
      </c>
      <c r="O46" s="287">
        <v>35</v>
      </c>
      <c r="P46" s="286">
        <f>O46-N46</f>
        <v>46120</v>
      </c>
      <c r="Q46" s="289"/>
      <c r="R46" s="289"/>
      <c r="S46" s="306">
        <f>R46-M46</f>
        <v>0</v>
      </c>
      <c r="T46" s="270" t="s">
        <v>3362</v>
      </c>
      <c r="U46" s="289"/>
    </row>
    <row r="47" spans="1:21" customHeight="1" ht="15">
      <c r="A47" s="280" t="s">
        <v>3351</v>
      </c>
      <c r="B47" s="280" t="s">
        <v>3352</v>
      </c>
      <c r="C47" s="280" t="s">
        <v>128</v>
      </c>
      <c r="D47" s="280" t="s">
        <v>135</v>
      </c>
      <c r="E47" s="280" t="s">
        <v>567</v>
      </c>
      <c r="F47" s="280" t="s">
        <v>422</v>
      </c>
      <c r="G47" s="280" t="s">
        <v>3367</v>
      </c>
      <c r="H47" s="282" t="s">
        <v>551</v>
      </c>
      <c r="I47" s="283" t="s">
        <v>561</v>
      </c>
      <c r="J47" s="282" t="s">
        <v>561</v>
      </c>
      <c r="K47" s="284">
        <v>46086</v>
      </c>
      <c r="L47" s="285">
        <f>K47+O47</f>
        <v>46121</v>
      </c>
      <c r="M47" s="285">
        <v>46125</v>
      </c>
      <c r="N47" s="286">
        <f>(M47-K47)</f>
        <v>39</v>
      </c>
      <c r="O47" s="287">
        <v>35</v>
      </c>
      <c r="P47" s="286">
        <f>O47-N47</f>
        <v>-4</v>
      </c>
      <c r="Q47" s="289" t="s">
        <v>3417</v>
      </c>
      <c r="R47" s="289"/>
      <c r="S47" s="306">
        <f>R47-M47</f>
        <v>-46125</v>
      </c>
      <c r="T47" s="270" t="s">
        <v>3362</v>
      </c>
      <c r="U47" s="289"/>
    </row>
    <row r="48" spans="1:21" customHeight="1" ht="15">
      <c r="A48" s="280" t="s">
        <v>3351</v>
      </c>
      <c r="B48" s="280" t="s">
        <v>3352</v>
      </c>
      <c r="C48" s="280" t="s">
        <v>128</v>
      </c>
      <c r="D48" s="280" t="s">
        <v>250</v>
      </c>
      <c r="E48" s="280" t="s">
        <v>552</v>
      </c>
      <c r="F48" s="280" t="s">
        <v>391</v>
      </c>
      <c r="G48" s="307" t="s">
        <v>392</v>
      </c>
      <c r="H48" s="282" t="s">
        <v>551</v>
      </c>
      <c r="I48" s="283" t="s">
        <v>561</v>
      </c>
      <c r="J48" s="282" t="s">
        <v>551</v>
      </c>
      <c r="K48" s="284">
        <v>46086</v>
      </c>
      <c r="L48" s="285">
        <v>46121</v>
      </c>
      <c r="M48" s="285">
        <v>46100</v>
      </c>
      <c r="N48" s="286">
        <f>(M48-K48)</f>
        <v>14</v>
      </c>
      <c r="O48" s="287">
        <v>21</v>
      </c>
      <c r="P48" s="286">
        <f>O48-N48</f>
        <v>7</v>
      </c>
      <c r="Q48" s="270" t="s">
        <v>3418</v>
      </c>
      <c r="R48" s="289"/>
      <c r="S48" s="309">
        <f>R48-M48</f>
        <v>-46100</v>
      </c>
      <c r="T48" s="270" t="s">
        <v>3362</v>
      </c>
      <c r="U48" s="289"/>
    </row>
    <row r="49" spans="1:21" customHeight="1" ht="14.25">
      <c r="A49" s="280" t="s">
        <v>3351</v>
      </c>
      <c r="B49" s="280" t="s">
        <v>3352</v>
      </c>
      <c r="C49" s="280" t="s">
        <v>128</v>
      </c>
      <c r="D49" s="280" t="s">
        <v>130</v>
      </c>
      <c r="E49" s="280" t="s">
        <v>552</v>
      </c>
      <c r="F49" s="280" t="s">
        <v>378</v>
      </c>
      <c r="G49" s="280" t="s">
        <v>329</v>
      </c>
      <c r="H49" s="282" t="s">
        <v>551</v>
      </c>
      <c r="I49" s="283" t="s">
        <v>561</v>
      </c>
      <c r="J49" s="282"/>
      <c r="K49" s="284">
        <v>46086</v>
      </c>
      <c r="L49" s="285">
        <v>46121</v>
      </c>
      <c r="M49" s="285"/>
      <c r="N49" s="286">
        <f>(M49-K49)</f>
        <v>-46086</v>
      </c>
      <c r="O49" s="287">
        <v>35</v>
      </c>
      <c r="P49" s="286">
        <f>O49-N49</f>
        <v>46121</v>
      </c>
      <c r="Q49" s="289"/>
      <c r="R49" s="308"/>
      <c r="S49" s="309">
        <f>R49-M49</f>
        <v>0</v>
      </c>
      <c r="T49" s="270" t="s">
        <v>3362</v>
      </c>
      <c r="U49" s="289"/>
    </row>
    <row r="50" spans="1:21" customHeight="1" ht="15">
      <c r="A50" s="280" t="s">
        <v>3374</v>
      </c>
      <c r="B50" s="280" t="s">
        <v>3352</v>
      </c>
      <c r="C50" s="280" t="s">
        <v>128</v>
      </c>
      <c r="D50" s="280" t="s">
        <v>135</v>
      </c>
      <c r="E50" s="280" t="s">
        <v>567</v>
      </c>
      <c r="F50" s="280" t="s">
        <v>464</v>
      </c>
      <c r="G50" s="280" t="s">
        <v>255</v>
      </c>
      <c r="H50" s="282" t="s">
        <v>551</v>
      </c>
      <c r="I50" s="283" t="s">
        <v>561</v>
      </c>
      <c r="J50" s="282" t="s">
        <v>551</v>
      </c>
      <c r="K50" s="284">
        <v>46094</v>
      </c>
      <c r="L50" s="285">
        <f>K50+O50</f>
        <v>46129</v>
      </c>
      <c r="M50" s="285">
        <v>46111</v>
      </c>
      <c r="N50" s="286">
        <f>(M50-K50)</f>
        <v>17</v>
      </c>
      <c r="O50" s="287">
        <v>35</v>
      </c>
      <c r="P50" s="286">
        <f>O50-N50</f>
        <v>18</v>
      </c>
      <c r="Q50" s="289" t="s">
        <v>3419</v>
      </c>
      <c r="R50" s="289"/>
      <c r="S50" s="306">
        <f>R50-M50</f>
        <v>-46111</v>
      </c>
      <c r="T50" s="270" t="s">
        <v>3362</v>
      </c>
      <c r="U50" s="289"/>
    </row>
    <row r="51" spans="1:21" customHeight="1" ht="15">
      <c r="A51" s="280" t="s">
        <v>3351</v>
      </c>
      <c r="B51" s="280" t="s">
        <v>3352</v>
      </c>
      <c r="C51" s="280" t="s">
        <v>128</v>
      </c>
      <c r="D51" s="280" t="s">
        <v>250</v>
      </c>
      <c r="E51" s="280" t="s">
        <v>552</v>
      </c>
      <c r="F51" s="280" t="s">
        <v>391</v>
      </c>
      <c r="G51" s="280" t="s">
        <v>1034</v>
      </c>
      <c r="H51" s="282" t="s">
        <v>551</v>
      </c>
      <c r="I51" s="283" t="s">
        <v>561</v>
      </c>
      <c r="J51" s="282" t="s">
        <v>566</v>
      </c>
      <c r="K51" s="284">
        <v>46094</v>
      </c>
      <c r="L51" s="285">
        <f>K51+O51</f>
        <v>46139</v>
      </c>
      <c r="M51" s="285">
        <v>46149</v>
      </c>
      <c r="N51" s="286">
        <f>(M51-K51)</f>
        <v>55</v>
      </c>
      <c r="O51" s="287">
        <v>45</v>
      </c>
      <c r="P51" s="286">
        <f>O51-N51</f>
        <v>-10</v>
      </c>
      <c r="Q51" s="289" t="s">
        <v>3420</v>
      </c>
      <c r="R51" s="289"/>
      <c r="S51" s="306">
        <f>R51-M51</f>
        <v>-46149</v>
      </c>
      <c r="T51" s="270" t="s">
        <v>3362</v>
      </c>
      <c r="U51" s="289"/>
    </row>
    <row r="52" spans="1:21" customHeight="1" ht="15">
      <c r="A52" s="280" t="s">
        <v>3374</v>
      </c>
      <c r="B52" s="280" t="s">
        <v>3352</v>
      </c>
      <c r="C52" s="280" t="s">
        <v>128</v>
      </c>
      <c r="D52" s="280" t="s">
        <v>402</v>
      </c>
      <c r="E52" s="280" t="s">
        <v>552</v>
      </c>
      <c r="F52" s="280" t="s">
        <v>400</v>
      </c>
      <c r="G52" s="280" t="s">
        <v>3370</v>
      </c>
      <c r="H52" s="282" t="s">
        <v>551</v>
      </c>
      <c r="I52" s="283" t="s">
        <v>571</v>
      </c>
      <c r="J52" s="282" t="s">
        <v>566</v>
      </c>
      <c r="K52" s="284">
        <v>46094</v>
      </c>
      <c r="L52" s="285">
        <f>K52+O52</f>
        <v>46178</v>
      </c>
      <c r="M52" s="285">
        <v>46168</v>
      </c>
      <c r="N52" s="286">
        <f>(M52-K52)</f>
        <v>74</v>
      </c>
      <c r="O52" s="287">
        <v>84</v>
      </c>
      <c r="P52" s="286">
        <f>O52-N52</f>
        <v>10</v>
      </c>
      <c r="Q52" s="289" t="s">
        <v>3421</v>
      </c>
      <c r="R52" s="289"/>
      <c r="S52" s="306">
        <f>R52-M52</f>
        <v>-46168</v>
      </c>
      <c r="T52" s="270" t="s">
        <v>3355</v>
      </c>
      <c r="U52" s="289"/>
    </row>
    <row r="53" spans="1:21" customHeight="1" ht="15">
      <c r="A53" s="280" t="s">
        <v>3351</v>
      </c>
      <c r="B53" s="280" t="s">
        <v>3352</v>
      </c>
      <c r="C53" s="280" t="s">
        <v>128</v>
      </c>
      <c r="D53" s="29" t="s">
        <v>143</v>
      </c>
      <c r="E53" s="280" t="s">
        <v>540</v>
      </c>
      <c r="F53" s="280" t="s">
        <v>3422</v>
      </c>
      <c r="G53" s="280" t="s">
        <v>254</v>
      </c>
      <c r="H53" s="282" t="s">
        <v>551</v>
      </c>
      <c r="I53" s="283" t="s">
        <v>561</v>
      </c>
      <c r="J53" s="282" t="s">
        <v>551</v>
      </c>
      <c r="K53" s="284">
        <v>46094</v>
      </c>
      <c r="L53" s="285">
        <f>K53+O53</f>
        <v>46139</v>
      </c>
      <c r="M53" s="285">
        <v>46111</v>
      </c>
      <c r="N53" s="286"/>
      <c r="O53" s="287">
        <v>45</v>
      </c>
      <c r="P53" s="286">
        <f>O53-N53</f>
        <v>45</v>
      </c>
      <c r="Q53" t="s">
        <v>3423</v>
      </c>
      <c r="R53" s="289"/>
      <c r="S53" s="306">
        <f>R53-M53</f>
        <v>-46111</v>
      </c>
      <c r="T53" s="270" t="s">
        <v>3355</v>
      </c>
      <c r="U53" s="289"/>
    </row>
    <row r="54" spans="1:21" customHeight="1" ht="15">
      <c r="A54" s="280" t="s">
        <v>3351</v>
      </c>
      <c r="B54" s="280" t="s">
        <v>3352</v>
      </c>
      <c r="C54" s="280" t="s">
        <v>128</v>
      </c>
      <c r="D54" s="280" t="s">
        <v>130</v>
      </c>
      <c r="E54" s="280" t="s">
        <v>552</v>
      </c>
      <c r="F54" s="280" t="s">
        <v>422</v>
      </c>
      <c r="G54" s="280" t="s">
        <v>425</v>
      </c>
      <c r="H54" s="282" t="s">
        <v>551</v>
      </c>
      <c r="I54" s="283" t="s">
        <v>566</v>
      </c>
      <c r="J54" s="282" t="s">
        <v>561</v>
      </c>
      <c r="K54" s="284">
        <v>46098</v>
      </c>
      <c r="L54" s="285">
        <f>K54+O54</f>
        <v>46143</v>
      </c>
      <c r="M54" s="285">
        <v>46113</v>
      </c>
      <c r="N54" s="286">
        <f>(M54-K54)</f>
        <v>15</v>
      </c>
      <c r="O54" s="287">
        <v>45</v>
      </c>
      <c r="P54" s="286">
        <f>O54-N54</f>
        <v>30</v>
      </c>
      <c r="Q54" s="289" t="s">
        <v>3424</v>
      </c>
      <c r="R54" s="289"/>
      <c r="S54" s="306">
        <f>R54-M54</f>
        <v>-46113</v>
      </c>
      <c r="T54" s="270" t="s">
        <v>3362</v>
      </c>
      <c r="U54" s="289"/>
    </row>
    <row r="55" spans="1:21" customHeight="1" ht="15">
      <c r="A55" s="280" t="s">
        <v>3351</v>
      </c>
      <c r="B55" s="280" t="s">
        <v>3352</v>
      </c>
      <c r="C55" s="280" t="s">
        <v>128</v>
      </c>
      <c r="D55" s="280" t="s">
        <v>3425</v>
      </c>
      <c r="E55" s="280" t="s">
        <v>552</v>
      </c>
      <c r="F55" s="280" t="s">
        <v>429</v>
      </c>
      <c r="G55" s="280" t="s">
        <v>1025</v>
      </c>
      <c r="H55" s="282" t="s">
        <v>551</v>
      </c>
      <c r="I55" s="283" t="s">
        <v>566</v>
      </c>
      <c r="J55" s="282" t="s">
        <v>561</v>
      </c>
      <c r="K55" s="284">
        <v>46098</v>
      </c>
      <c r="L55" s="285">
        <f>K55+O55</f>
        <v>46143</v>
      </c>
      <c r="M55" s="285">
        <v>46113</v>
      </c>
      <c r="N55" s="286">
        <f>(M55-K55)</f>
        <v>15</v>
      </c>
      <c r="O55" s="287">
        <v>45</v>
      </c>
      <c r="P55" s="286">
        <f>O55-N55</f>
        <v>30</v>
      </c>
      <c r="Q55" s="289" t="s">
        <v>3426</v>
      </c>
      <c r="R55" s="289"/>
      <c r="S55" s="306">
        <f>R55-M55</f>
        <v>-46113</v>
      </c>
      <c r="T55" s="270" t="s">
        <v>3357</v>
      </c>
      <c r="U55" s="289"/>
    </row>
    <row r="56" spans="1:21" customHeight="1" ht="15">
      <c r="A56" s="280" t="s">
        <v>3374</v>
      </c>
      <c r="B56" s="280" t="s">
        <v>3401</v>
      </c>
      <c r="C56" s="280" t="s">
        <v>128</v>
      </c>
      <c r="D56" s="280" t="s">
        <v>135</v>
      </c>
      <c r="E56" s="280" t="s">
        <v>567</v>
      </c>
      <c r="F56" s="280" t="s">
        <v>464</v>
      </c>
      <c r="G56" s="280" t="s">
        <v>255</v>
      </c>
      <c r="H56" s="282" t="s">
        <v>551</v>
      </c>
      <c r="I56" s="283" t="s">
        <v>561</v>
      </c>
      <c r="J56" s="282" t="s">
        <v>566</v>
      </c>
      <c r="K56" s="284">
        <v>46100</v>
      </c>
      <c r="L56" s="285">
        <f>K56+O56</f>
        <v>46135</v>
      </c>
      <c r="M56" s="285">
        <v>46174</v>
      </c>
      <c r="N56" s="286">
        <f>(M56-K56)</f>
        <v>74</v>
      </c>
      <c r="O56" s="287">
        <v>35</v>
      </c>
      <c r="P56" s="286">
        <f>O56-N56</f>
        <v>-39</v>
      </c>
      <c r="Q56" s="289" t="s">
        <v>3427</v>
      </c>
      <c r="R56" s="289"/>
      <c r="S56" s="306">
        <f>R56-M56</f>
        <v>-46174</v>
      </c>
      <c r="T56" s="270" t="s">
        <v>3362</v>
      </c>
      <c r="U56" s="289"/>
    </row>
    <row r="57" spans="1:21" customHeight="1" ht="14.25">
      <c r="A57" s="280" t="s">
        <v>3351</v>
      </c>
      <c r="B57" s="280" t="s">
        <v>3352</v>
      </c>
      <c r="C57" s="280" t="s">
        <v>128</v>
      </c>
      <c r="D57" s="280" t="s">
        <v>226</v>
      </c>
      <c r="E57" s="280" t="s">
        <v>552</v>
      </c>
      <c r="F57" s="280" t="s">
        <v>1812</v>
      </c>
      <c r="G57" s="280" t="s">
        <v>3414</v>
      </c>
      <c r="H57" s="282" t="s">
        <v>551</v>
      </c>
      <c r="I57" s="283" t="s">
        <v>566</v>
      </c>
      <c r="J57" s="282" t="s">
        <v>561</v>
      </c>
      <c r="K57" s="284">
        <v>46108</v>
      </c>
      <c r="L57" s="285">
        <f>K57+O57</f>
        <v>46153</v>
      </c>
      <c r="M57" s="285">
        <v>46128</v>
      </c>
      <c r="N57" s="286">
        <f>(M57-K57)</f>
        <v>20</v>
      </c>
      <c r="O57" s="287">
        <v>45</v>
      </c>
      <c r="P57" s="286">
        <f>O57-N57</f>
        <v>25</v>
      </c>
      <c r="Q57" s="270" t="s">
        <v>3428</v>
      </c>
      <c r="R57" s="289"/>
      <c r="S57" s="306">
        <f>R57-M57</f>
        <v>-46128</v>
      </c>
      <c r="T57" s="270" t="s">
        <v>3362</v>
      </c>
      <c r="U57" s="289"/>
    </row>
    <row r="58" spans="1:21" customHeight="1" ht="14.25">
      <c r="A58" s="280" t="s">
        <v>3351</v>
      </c>
      <c r="B58" s="280" t="s">
        <v>3401</v>
      </c>
      <c r="C58" s="280" t="s">
        <v>141</v>
      </c>
      <c r="D58" s="29" t="s">
        <v>143</v>
      </c>
      <c r="E58" s="280" t="s">
        <v>540</v>
      </c>
      <c r="F58" s="280" t="s">
        <v>3429</v>
      </c>
      <c r="G58" s="280" t="s">
        <v>137</v>
      </c>
      <c r="H58" s="282" t="s">
        <v>551</v>
      </c>
      <c r="I58" s="283" t="s">
        <v>566</v>
      </c>
      <c r="J58" s="282" t="s">
        <v>566</v>
      </c>
      <c r="K58" s="284">
        <v>46108</v>
      </c>
      <c r="L58" s="285">
        <f>K58+O58</f>
        <v>46143</v>
      </c>
      <c r="M58" s="285">
        <v>46148</v>
      </c>
      <c r="N58" s="286">
        <f>(M58-K58)</f>
        <v>40</v>
      </c>
      <c r="O58" s="287">
        <v>35</v>
      </c>
      <c r="P58" s="286">
        <f>O58-N58</f>
        <v>-5</v>
      </c>
      <c r="Q58" s="289" t="s">
        <v>3430</v>
      </c>
      <c r="R58" s="289"/>
      <c r="S58" s="306">
        <f>R58-M58</f>
        <v>-46148</v>
      </c>
      <c r="T58" s="270" t="s">
        <v>3362</v>
      </c>
      <c r="U58" s="289"/>
    </row>
    <row r="59" spans="1:21" customHeight="1" ht="15">
      <c r="A59" s="280" t="s">
        <v>3351</v>
      </c>
      <c r="B59" s="280" t="s">
        <v>3352</v>
      </c>
      <c r="C59" s="280" t="s">
        <v>128</v>
      </c>
      <c r="D59" s="280" t="s">
        <v>3431</v>
      </c>
      <c r="E59" s="280" t="s">
        <v>552</v>
      </c>
      <c r="F59" s="280" t="s">
        <v>3432</v>
      </c>
      <c r="G59" s="280" t="s">
        <v>3433</v>
      </c>
      <c r="H59" s="282" t="s">
        <v>561</v>
      </c>
      <c r="I59" s="283" t="s">
        <v>566</v>
      </c>
      <c r="J59" s="282" t="s">
        <v>561</v>
      </c>
      <c r="K59" s="284">
        <v>46113</v>
      </c>
      <c r="L59" s="285">
        <f>K59+O59</f>
        <v>46158</v>
      </c>
      <c r="M59" s="285">
        <v>46139</v>
      </c>
      <c r="N59" s="286">
        <f>(M59-K59)</f>
        <v>26</v>
      </c>
      <c r="O59" s="287">
        <v>45</v>
      </c>
      <c r="P59" s="286">
        <f>O59-N59</f>
        <v>19</v>
      </c>
      <c r="Q59" s="289" t="s">
        <v>3434</v>
      </c>
      <c r="R59" s="289"/>
      <c r="S59" s="306">
        <f>R59-M59</f>
        <v>-46139</v>
      </c>
      <c r="T59" s="270" t="s">
        <v>3355</v>
      </c>
      <c r="U59" s="289"/>
    </row>
    <row r="60" spans="1:21" customHeight="1" ht="15">
      <c r="A60" s="280" t="s">
        <v>3351</v>
      </c>
      <c r="B60" s="280" t="s">
        <v>3401</v>
      </c>
      <c r="C60" s="280" t="s">
        <v>128</v>
      </c>
      <c r="D60" s="280" t="s">
        <v>3435</v>
      </c>
      <c r="E60" s="280" t="s">
        <v>552</v>
      </c>
      <c r="F60" s="280" t="s">
        <v>429</v>
      </c>
      <c r="G60" s="280" t="s">
        <v>431</v>
      </c>
      <c r="H60" s="282" t="s">
        <v>561</v>
      </c>
      <c r="I60" s="283" t="s">
        <v>566</v>
      </c>
      <c r="J60" s="282"/>
      <c r="K60" s="284">
        <v>46113</v>
      </c>
      <c r="L60" s="285">
        <f>K60+O60</f>
        <v>46158</v>
      </c>
      <c r="M60" s="285"/>
      <c r="N60" s="286">
        <f>(M60-K60)</f>
        <v>-46113</v>
      </c>
      <c r="O60" s="287">
        <v>45</v>
      </c>
      <c r="P60" s="286">
        <f>O60-N60</f>
        <v>46158</v>
      </c>
      <c r="Q60" s="289"/>
      <c r="R60" s="289"/>
      <c r="S60" s="306">
        <f>R60-M60</f>
        <v>0</v>
      </c>
      <c r="T60" s="270" t="s">
        <v>3355</v>
      </c>
      <c r="U60" s="289"/>
    </row>
    <row r="61" spans="1:21" customHeight="1" ht="15">
      <c r="A61" s="280" t="s">
        <v>3351</v>
      </c>
      <c r="B61" s="280" t="s">
        <v>3352</v>
      </c>
      <c r="C61" s="280" t="s">
        <v>128</v>
      </c>
      <c r="D61" s="280" t="s">
        <v>176</v>
      </c>
      <c r="E61" s="280" t="s">
        <v>552</v>
      </c>
      <c r="F61" s="280" t="s">
        <v>1244</v>
      </c>
      <c r="G61" s="280" t="s">
        <v>3436</v>
      </c>
      <c r="H61" s="282" t="s">
        <v>561</v>
      </c>
      <c r="I61" s="283" t="s">
        <v>566</v>
      </c>
      <c r="J61" s="282" t="s">
        <v>561</v>
      </c>
      <c r="K61" s="284">
        <v>46113</v>
      </c>
      <c r="L61" s="285">
        <f>K61+O61</f>
        <v>46158</v>
      </c>
      <c r="M61" s="285">
        <v>46132</v>
      </c>
      <c r="N61" s="286">
        <f>(M61-K61)</f>
        <v>19</v>
      </c>
      <c r="O61" s="287">
        <v>45</v>
      </c>
      <c r="P61" s="286">
        <f>O61-N61</f>
        <v>26</v>
      </c>
      <c r="Q61" s="289" t="s">
        <v>3437</v>
      </c>
      <c r="R61" s="289"/>
      <c r="S61" s="306">
        <f>R61-M61</f>
        <v>-46132</v>
      </c>
      <c r="T61" s="270" t="s">
        <v>3355</v>
      </c>
      <c r="U61" s="289"/>
    </row>
    <row r="62" spans="1:21" customHeight="1" ht="15">
      <c r="A62" s="280" t="s">
        <v>3351</v>
      </c>
      <c r="B62" s="280" t="s">
        <v>3352</v>
      </c>
      <c r="C62" s="280" t="s">
        <v>128</v>
      </c>
      <c r="D62" s="280" t="s">
        <v>3396</v>
      </c>
      <c r="E62" s="280" t="s">
        <v>552</v>
      </c>
      <c r="F62" s="280" t="s">
        <v>3397</v>
      </c>
      <c r="G62" s="280" t="s">
        <v>3398</v>
      </c>
      <c r="H62" s="282" t="s">
        <v>561</v>
      </c>
      <c r="I62" s="283" t="s">
        <v>566</v>
      </c>
      <c r="J62" s="282" t="s">
        <v>561</v>
      </c>
      <c r="K62" s="284">
        <v>46114</v>
      </c>
      <c r="L62" s="285">
        <f>K62+O62</f>
        <v>46156</v>
      </c>
      <c r="M62" s="285">
        <v>46160</v>
      </c>
      <c r="N62" s="286">
        <f>(M62-K62)</f>
        <v>46</v>
      </c>
      <c r="O62" s="287">
        <v>42</v>
      </c>
      <c r="P62" s="444">
        <f>O62-N62</f>
        <v>-4</v>
      </c>
      <c r="Q62" s="289" t="s">
        <v>3438</v>
      </c>
      <c r="R62" s="283"/>
      <c r="S62" s="309">
        <f>R62-M62</f>
        <v>-46160</v>
      </c>
      <c r="T62" s="270" t="s">
        <v>3362</v>
      </c>
      <c r="U62" s="289"/>
    </row>
    <row r="63" spans="1:21" customHeight="1" ht="15">
      <c r="A63" s="280" t="s">
        <v>3351</v>
      </c>
      <c r="B63" s="280" t="s">
        <v>3352</v>
      </c>
      <c r="C63" s="280" t="s">
        <v>128</v>
      </c>
      <c r="D63" s="280" t="s">
        <v>169</v>
      </c>
      <c r="E63" s="280" t="s">
        <v>3439</v>
      </c>
      <c r="F63" s="280" t="s">
        <v>396</v>
      </c>
      <c r="G63" s="280" t="s">
        <v>1583</v>
      </c>
      <c r="H63" s="282" t="s">
        <v>561</v>
      </c>
      <c r="I63" s="283" t="s">
        <v>566</v>
      </c>
      <c r="J63" s="282" t="s">
        <v>566</v>
      </c>
      <c r="K63" s="284">
        <v>46114</v>
      </c>
      <c r="L63" s="285">
        <f>K63+O63</f>
        <v>46156</v>
      </c>
      <c r="M63" s="285">
        <v>46155</v>
      </c>
      <c r="N63" s="286">
        <f>(M63-K63)</f>
        <v>41</v>
      </c>
      <c r="O63" s="287">
        <v>42</v>
      </c>
      <c r="P63" s="444">
        <f>O63-N63</f>
        <v>1</v>
      </c>
      <c r="Q63" s="289" t="s">
        <v>3440</v>
      </c>
      <c r="R63" s="283"/>
      <c r="S63" s="309">
        <f>R63-M63</f>
        <v>-46155</v>
      </c>
      <c r="T63" s="270" t="s">
        <v>3362</v>
      </c>
      <c r="U63" s="289"/>
    </row>
    <row r="64" spans="1:21" customHeight="1" ht="15">
      <c r="A64" s="280" t="s">
        <v>3351</v>
      </c>
      <c r="B64" s="280" t="s">
        <v>3352</v>
      </c>
      <c r="C64" s="280" t="s">
        <v>128</v>
      </c>
      <c r="D64" s="280" t="s">
        <v>3435</v>
      </c>
      <c r="E64" s="280" t="s">
        <v>552</v>
      </c>
      <c r="F64" s="280" t="s">
        <v>453</v>
      </c>
      <c r="G64" s="280" t="s">
        <v>454</v>
      </c>
      <c r="H64" s="282" t="s">
        <v>561</v>
      </c>
      <c r="I64" s="283" t="s">
        <v>566</v>
      </c>
      <c r="J64" s="282" t="s">
        <v>561</v>
      </c>
      <c r="K64" s="284">
        <v>46114</v>
      </c>
      <c r="L64" s="285">
        <f>K64+O64</f>
        <v>46156</v>
      </c>
      <c r="M64" s="285">
        <v>46121</v>
      </c>
      <c r="N64" s="286">
        <f>(M64-K64)</f>
        <v>7</v>
      </c>
      <c r="O64" s="287">
        <v>42</v>
      </c>
      <c r="P64" s="444">
        <f>O64-N64</f>
        <v>35</v>
      </c>
      <c r="Q64" s="289" t="s">
        <v>3424</v>
      </c>
      <c r="R64" s="289"/>
      <c r="S64" s="306">
        <f>R64-M64</f>
        <v>-46121</v>
      </c>
      <c r="T64" s="270" t="s">
        <v>3355</v>
      </c>
      <c r="U64" s="289"/>
    </row>
    <row r="65" spans="1:21" customHeight="1" ht="15">
      <c r="A65" s="280" t="s">
        <v>3351</v>
      </c>
      <c r="B65" s="280" t="s">
        <v>3401</v>
      </c>
      <c r="C65" s="280" t="s">
        <v>128</v>
      </c>
      <c r="D65" s="280" t="s">
        <v>226</v>
      </c>
      <c r="E65" s="280" t="s">
        <v>552</v>
      </c>
      <c r="F65" s="280" t="s">
        <v>333</v>
      </c>
      <c r="G65" s="280" t="s">
        <v>2303</v>
      </c>
      <c r="H65" s="282" t="s">
        <v>561</v>
      </c>
      <c r="I65" s="283" t="s">
        <v>566</v>
      </c>
      <c r="J65" s="282" t="s">
        <v>561</v>
      </c>
      <c r="K65" s="284">
        <v>46115</v>
      </c>
      <c r="L65" s="285">
        <f>K65+O65</f>
        <v>46160</v>
      </c>
      <c r="M65" s="285">
        <v>46142</v>
      </c>
      <c r="N65" s="286">
        <f>(M65-K65)</f>
        <v>27</v>
      </c>
      <c r="O65" s="287">
        <v>45</v>
      </c>
      <c r="P65" s="444">
        <f>O65-N65</f>
        <v>18</v>
      </c>
      <c r="Q65" s="289" t="s">
        <v>3441</v>
      </c>
      <c r="R65" s="289"/>
      <c r="S65" s="306">
        <f>R65-M65</f>
        <v>-46142</v>
      </c>
      <c r="T65" s="270" t="s">
        <v>3355</v>
      </c>
      <c r="U65" s="289"/>
    </row>
    <row r="66" spans="1:21" customHeight="1" ht="15">
      <c r="A66" s="280" t="s">
        <v>3351</v>
      </c>
      <c r="B66" s="280" t="s">
        <v>3352</v>
      </c>
      <c r="C66" s="280" t="s">
        <v>128</v>
      </c>
      <c r="D66" s="280" t="s">
        <v>226</v>
      </c>
      <c r="E66" s="280" t="s">
        <v>552</v>
      </c>
      <c r="F66" s="280" t="s">
        <v>228</v>
      </c>
      <c r="G66" s="280" t="s">
        <v>3442</v>
      </c>
      <c r="H66" s="282" t="s">
        <v>561</v>
      </c>
      <c r="I66" s="283" t="s">
        <v>566</v>
      </c>
      <c r="J66" s="282" t="s">
        <v>561</v>
      </c>
      <c r="K66" s="284">
        <v>46115</v>
      </c>
      <c r="L66" s="285">
        <f>K66+O66</f>
        <v>46162</v>
      </c>
      <c r="M66" s="285">
        <v>46132</v>
      </c>
      <c r="N66" s="286">
        <f>(M66-K66)</f>
        <v>17</v>
      </c>
      <c r="O66" s="287">
        <v>47</v>
      </c>
      <c r="P66" s="444">
        <f>O66-N66</f>
        <v>30</v>
      </c>
      <c r="Q66" s="270" t="s">
        <v>3443</v>
      </c>
      <c r="R66" s="289"/>
      <c r="S66" s="306">
        <f>R66-M66</f>
        <v>-46132</v>
      </c>
      <c r="T66" s="270" t="s">
        <v>3362</v>
      </c>
      <c r="U66" s="289"/>
    </row>
    <row r="67" spans="1:21" customHeight="1" ht="15">
      <c r="A67" s="280" t="s">
        <v>3351</v>
      </c>
      <c r="B67" s="280" t="s">
        <v>3352</v>
      </c>
      <c r="C67" s="280" t="s">
        <v>128</v>
      </c>
      <c r="D67" s="189" t="s">
        <v>182</v>
      </c>
      <c r="E67" s="280" t="s">
        <v>552</v>
      </c>
      <c r="F67" s="280" t="s">
        <v>180</v>
      </c>
      <c r="G67" s="280" t="s">
        <v>3444</v>
      </c>
      <c r="H67" s="282" t="s">
        <v>561</v>
      </c>
      <c r="I67" s="283" t="s">
        <v>566</v>
      </c>
      <c r="J67" s="282"/>
      <c r="K67" s="284">
        <v>46125</v>
      </c>
      <c r="L67" s="285">
        <f>K67+O67</f>
        <v>46170</v>
      </c>
      <c r="M67" s="285"/>
      <c r="N67" s="286">
        <f>(M67-K67)</f>
        <v>-46125</v>
      </c>
      <c r="O67" s="287">
        <v>45</v>
      </c>
      <c r="P67" s="444">
        <f>O67-N67</f>
        <v>46170</v>
      </c>
      <c r="Q67" s="289"/>
      <c r="R67" s="289"/>
      <c r="S67" s="306">
        <f>R67-M67</f>
        <v>0</v>
      </c>
      <c r="T67" s="270" t="s">
        <v>3362</v>
      </c>
      <c r="U67" s="289"/>
    </row>
    <row r="68" spans="1:21" customHeight="1" ht="15">
      <c r="A68" s="280" t="s">
        <v>3351</v>
      </c>
      <c r="B68" s="280" t="s">
        <v>3401</v>
      </c>
      <c r="C68" s="280" t="s">
        <v>128</v>
      </c>
      <c r="D68" s="189" t="s">
        <v>509</v>
      </c>
      <c r="E68" s="280" t="s">
        <v>508</v>
      </c>
      <c r="F68" s="280" t="s">
        <v>2493</v>
      </c>
      <c r="G68" s="280" t="s">
        <v>2494</v>
      </c>
      <c r="H68" s="282" t="s">
        <v>561</v>
      </c>
      <c r="I68" s="283" t="s">
        <v>566</v>
      </c>
      <c r="J68" s="282"/>
      <c r="K68" s="284">
        <v>46125</v>
      </c>
      <c r="L68" s="285">
        <f>K68+O68</f>
        <v>46160</v>
      </c>
      <c r="M68" s="285"/>
      <c r="N68" s="286">
        <f>(M68-K68)</f>
        <v>-46125</v>
      </c>
      <c r="O68" s="287">
        <v>35</v>
      </c>
      <c r="P68" s="444">
        <f>O68-N68</f>
        <v>46160</v>
      </c>
      <c r="Q68" s="289"/>
      <c r="R68" s="289"/>
      <c r="S68" s="306">
        <f>R68-M68</f>
        <v>0</v>
      </c>
      <c r="T68" s="270" t="s">
        <v>3355</v>
      </c>
      <c r="U68" s="289"/>
    </row>
    <row r="69" spans="1:21" customHeight="1" ht="15">
      <c r="A69" s="280" t="s">
        <v>3351</v>
      </c>
      <c r="B69" s="280" t="s">
        <v>3352</v>
      </c>
      <c r="C69" s="280" t="s">
        <v>128</v>
      </c>
      <c r="D69" s="189" t="s">
        <v>509</v>
      </c>
      <c r="E69" s="280" t="s">
        <v>508</v>
      </c>
      <c r="F69" s="280" t="s">
        <v>3020</v>
      </c>
      <c r="G69" s="280" t="s">
        <v>510</v>
      </c>
      <c r="H69" s="282" t="s">
        <v>561</v>
      </c>
      <c r="I69" s="283" t="s">
        <v>566</v>
      </c>
      <c r="J69" s="282" t="s">
        <v>561</v>
      </c>
      <c r="K69" s="284">
        <v>46126</v>
      </c>
      <c r="L69" s="285">
        <f>K69+O69</f>
        <v>46161</v>
      </c>
      <c r="M69" s="285">
        <v>46149</v>
      </c>
      <c r="N69" s="286">
        <f>(M69-K69)</f>
        <v>23</v>
      </c>
      <c r="O69" s="287">
        <v>35</v>
      </c>
      <c r="P69" s="444">
        <f>O69-N69</f>
        <v>12</v>
      </c>
      <c r="Q69" s="289" t="s">
        <v>3445</v>
      </c>
      <c r="R69" s="289"/>
      <c r="S69" s="306">
        <f>R69-M69</f>
        <v>-46149</v>
      </c>
      <c r="T69" s="291" t="s">
        <v>3394</v>
      </c>
      <c r="U69" s="289"/>
    </row>
    <row r="70" spans="1:21" customHeight="1" ht="15">
      <c r="A70" s="280" t="s">
        <v>3351</v>
      </c>
      <c r="B70" s="280" t="s">
        <v>3352</v>
      </c>
      <c r="C70" s="280" t="s">
        <v>128</v>
      </c>
      <c r="D70" s="280" t="s">
        <v>176</v>
      </c>
      <c r="E70" s="280" t="s">
        <v>552</v>
      </c>
      <c r="F70" s="280" t="s">
        <v>3353</v>
      </c>
      <c r="G70" s="307" t="s">
        <v>254</v>
      </c>
      <c r="H70" s="282" t="s">
        <v>561</v>
      </c>
      <c r="I70" s="283" t="s">
        <v>566</v>
      </c>
      <c r="J70" s="302" t="s">
        <v>566</v>
      </c>
      <c r="K70" s="284">
        <v>46125</v>
      </c>
      <c r="L70" s="285">
        <f>K70+O70</f>
        <v>46167</v>
      </c>
      <c r="M70" s="285">
        <v>46181</v>
      </c>
      <c r="N70" s="286">
        <f>(M70-K70)</f>
        <v>56</v>
      </c>
      <c r="O70" s="287">
        <v>42</v>
      </c>
      <c r="P70" s="444">
        <f>O70-N70</f>
        <v>-14</v>
      </c>
      <c r="Q70" s="289" t="s">
        <v>3446</v>
      </c>
      <c r="R70" s="289"/>
      <c r="S70" s="309">
        <f>R70-M70</f>
        <v>-46181</v>
      </c>
      <c r="T70" s="270" t="s">
        <v>3355</v>
      </c>
      <c r="U70" s="289"/>
    </row>
    <row r="71" spans="1:21" customHeight="1" ht="15">
      <c r="A71" s="280" t="s">
        <v>3351</v>
      </c>
      <c r="B71" s="280" t="s">
        <v>3352</v>
      </c>
      <c r="C71" s="280" t="s">
        <v>128</v>
      </c>
      <c r="D71" s="280" t="s">
        <v>176</v>
      </c>
      <c r="E71" s="280" t="s">
        <v>552</v>
      </c>
      <c r="F71" s="280" t="s">
        <v>3353</v>
      </c>
      <c r="G71" s="307" t="s">
        <v>255</v>
      </c>
      <c r="H71" s="282" t="s">
        <v>561</v>
      </c>
      <c r="I71" s="283" t="s">
        <v>566</v>
      </c>
      <c r="J71" s="282" t="s">
        <v>566</v>
      </c>
      <c r="K71" s="284">
        <v>46125</v>
      </c>
      <c r="L71" s="285">
        <f>K71+O71</f>
        <v>46167</v>
      </c>
      <c r="M71" s="285">
        <v>46164</v>
      </c>
      <c r="N71" s="286">
        <f>(M71-K71)</f>
        <v>39</v>
      </c>
      <c r="O71" s="287">
        <v>42</v>
      </c>
      <c r="P71" s="444">
        <f>O71-N71</f>
        <v>3</v>
      </c>
      <c r="Q71" s="289" t="s">
        <v>3447</v>
      </c>
      <c r="R71" s="289"/>
      <c r="S71" s="309">
        <f>R71-M71</f>
        <v>-46164</v>
      </c>
      <c r="T71" s="270" t="s">
        <v>3355</v>
      </c>
      <c r="U71" s="289"/>
    </row>
    <row r="72" spans="1:21" customHeight="1" ht="15">
      <c r="A72" s="280" t="s">
        <v>3351</v>
      </c>
      <c r="B72" s="280" t="s">
        <v>3352</v>
      </c>
      <c r="C72" s="280" t="s">
        <v>128</v>
      </c>
      <c r="D72" s="280" t="s">
        <v>176</v>
      </c>
      <c r="E72" s="280" t="s">
        <v>552</v>
      </c>
      <c r="F72" s="280" t="s">
        <v>1233</v>
      </c>
      <c r="G72" s="280" t="s">
        <v>1239</v>
      </c>
      <c r="H72" s="282" t="s">
        <v>561</v>
      </c>
      <c r="I72" s="283" t="s">
        <v>566</v>
      </c>
      <c r="J72" s="282" t="s">
        <v>561</v>
      </c>
      <c r="K72" s="284">
        <v>46125</v>
      </c>
      <c r="L72" s="285">
        <f>K72+O72</f>
        <v>46167</v>
      </c>
      <c r="M72" s="285">
        <v>46146</v>
      </c>
      <c r="N72" s="286">
        <f>(M72-K72)</f>
        <v>21</v>
      </c>
      <c r="O72" s="287">
        <v>42</v>
      </c>
      <c r="P72" s="286">
        <f>O72-N72</f>
        <v>21</v>
      </c>
      <c r="Q72" s="289" t="s">
        <v>3448</v>
      </c>
      <c r="R72" s="289"/>
      <c r="S72" s="306">
        <f>R72-M72</f>
        <v>-46146</v>
      </c>
      <c r="T72" s="270" t="s">
        <v>3355</v>
      </c>
      <c r="U72" s="289"/>
    </row>
    <row r="73" spans="1:21" customHeight="1" ht="15">
      <c r="A73" s="280" t="s">
        <v>3351</v>
      </c>
      <c r="B73" s="280" t="s">
        <v>3352</v>
      </c>
      <c r="C73" s="280" t="s">
        <v>128</v>
      </c>
      <c r="D73" s="189" t="s">
        <v>280</v>
      </c>
      <c r="E73" s="280" t="s">
        <v>3410</v>
      </c>
      <c r="F73" s="280" t="s">
        <v>3411</v>
      </c>
      <c r="G73" s="280" t="s">
        <v>3412</v>
      </c>
      <c r="H73" s="282" t="s">
        <v>561</v>
      </c>
      <c r="I73" s="283" t="s">
        <v>566</v>
      </c>
      <c r="J73" s="282" t="s">
        <v>561</v>
      </c>
      <c r="K73" s="284">
        <v>46132</v>
      </c>
      <c r="L73" s="285">
        <v>46137</v>
      </c>
      <c r="M73" s="285">
        <v>46141</v>
      </c>
      <c r="N73" s="286">
        <f>(M73-K73)</f>
        <v>9</v>
      </c>
      <c r="O73" s="287">
        <v>35</v>
      </c>
      <c r="P73" s="286">
        <f>O73-N73</f>
        <v>26</v>
      </c>
      <c r="Q73" s="289" t="s">
        <v>3449</v>
      </c>
      <c r="R73" s="289"/>
      <c r="S73" s="306">
        <f>R73-M73</f>
        <v>-46141</v>
      </c>
      <c r="T73" s="270" t="s">
        <v>3362</v>
      </c>
      <c r="U73" s="289"/>
    </row>
    <row r="74" spans="1:21" customHeight="1" ht="15">
      <c r="A74" s="280" t="s">
        <v>3351</v>
      </c>
      <c r="B74" s="280" t="s">
        <v>3352</v>
      </c>
      <c r="C74" s="280" t="s">
        <v>128</v>
      </c>
      <c r="D74" s="189" t="s">
        <v>280</v>
      </c>
      <c r="E74" s="280" t="s">
        <v>552</v>
      </c>
      <c r="F74" s="280" t="s">
        <v>3411</v>
      </c>
      <c r="G74" s="280" t="s">
        <v>3450</v>
      </c>
      <c r="H74" s="282" t="s">
        <v>561</v>
      </c>
      <c r="I74" s="283" t="s">
        <v>566</v>
      </c>
      <c r="J74" s="282" t="s">
        <v>561</v>
      </c>
      <c r="K74" s="284">
        <v>46132</v>
      </c>
      <c r="L74" s="285">
        <f>K74+O74</f>
        <v>46167</v>
      </c>
      <c r="M74" s="285">
        <v>46140</v>
      </c>
      <c r="N74" s="286">
        <f>(M74-K74)</f>
        <v>8</v>
      </c>
      <c r="O74" s="287">
        <v>35</v>
      </c>
      <c r="P74" s="286">
        <f>O74-N74</f>
        <v>27</v>
      </c>
      <c r="Q74" s="289" t="s">
        <v>3451</v>
      </c>
      <c r="R74" s="289"/>
      <c r="S74" s="306">
        <f>R74-M74</f>
        <v>-46140</v>
      </c>
      <c r="T74" s="270" t="s">
        <v>3362</v>
      </c>
      <c r="U74" s="289"/>
    </row>
    <row r="75" spans="1:21" customHeight="1" ht="15">
      <c r="A75" s="280" t="s">
        <v>3351</v>
      </c>
      <c r="B75" s="280" t="s">
        <v>3401</v>
      </c>
      <c r="C75" s="280" t="s">
        <v>128</v>
      </c>
      <c r="D75" s="280" t="s">
        <v>135</v>
      </c>
      <c r="E75" s="280" t="s">
        <v>567</v>
      </c>
      <c r="F75" s="280" t="s">
        <v>422</v>
      </c>
      <c r="G75" s="280" t="s">
        <v>1665</v>
      </c>
      <c r="H75" s="283" t="s">
        <v>561</v>
      </c>
      <c r="I75" s="283" t="s">
        <v>566</v>
      </c>
      <c r="J75" s="282"/>
      <c r="K75" s="284">
        <v>46134</v>
      </c>
      <c r="L75" s="285">
        <f>K75+O75</f>
        <v>46169</v>
      </c>
      <c r="M75" s="285"/>
      <c r="N75" s="286">
        <f>(M75-K75)</f>
        <v>-46134</v>
      </c>
      <c r="O75" s="287">
        <v>35</v>
      </c>
      <c r="P75" s="286">
        <f>O75-N75</f>
        <v>46169</v>
      </c>
      <c r="Q75" s="289"/>
      <c r="R75" s="289"/>
      <c r="S75" s="306">
        <f>R75-M75</f>
        <v>0</v>
      </c>
      <c r="T75" s="270" t="s">
        <v>3362</v>
      </c>
      <c r="U75" s="289"/>
    </row>
    <row r="76" spans="1:21" customHeight="1" ht="15">
      <c r="A76" s="280" t="s">
        <v>3351</v>
      </c>
      <c r="B76" s="280" t="s">
        <v>3401</v>
      </c>
      <c r="C76" s="280" t="s">
        <v>128</v>
      </c>
      <c r="D76" s="280" t="s">
        <v>135</v>
      </c>
      <c r="E76" s="280" t="s">
        <v>567</v>
      </c>
      <c r="F76" s="280" t="s">
        <v>422</v>
      </c>
      <c r="G76" s="280" t="s">
        <v>1665</v>
      </c>
      <c r="H76" s="283" t="s">
        <v>561</v>
      </c>
      <c r="I76" s="283" t="s">
        <v>566</v>
      </c>
      <c r="J76" s="282"/>
      <c r="K76" s="284">
        <v>46134</v>
      </c>
      <c r="L76" s="285">
        <f>K76+O76</f>
        <v>46169</v>
      </c>
      <c r="M76" s="285"/>
      <c r="N76" s="286">
        <f>(M76-K76)</f>
        <v>-46134</v>
      </c>
      <c r="O76" s="287">
        <v>35</v>
      </c>
      <c r="P76" s="286">
        <f>O76-N76</f>
        <v>46169</v>
      </c>
      <c r="Q76" s="289"/>
      <c r="R76" s="289"/>
      <c r="S76" s="306">
        <f>R76-M76</f>
        <v>0</v>
      </c>
      <c r="T76" s="270" t="s">
        <v>3362</v>
      </c>
      <c r="U76" s="289"/>
    </row>
    <row r="77" spans="1:21" customHeight="1" ht="15">
      <c r="A77" s="280" t="s">
        <v>3374</v>
      </c>
      <c r="B77" s="280" t="s">
        <v>3352</v>
      </c>
      <c r="C77" s="280" t="s">
        <v>128</v>
      </c>
      <c r="D77" s="189" t="s">
        <v>3452</v>
      </c>
      <c r="E77" s="280" t="s">
        <v>552</v>
      </c>
      <c r="F77" s="280" t="s">
        <v>1812</v>
      </c>
      <c r="G77" s="280" t="s">
        <v>235</v>
      </c>
      <c r="H77" s="283" t="s">
        <v>561</v>
      </c>
      <c r="I77" s="283" t="s">
        <v>571</v>
      </c>
      <c r="J77" s="282" t="s">
        <v>561</v>
      </c>
      <c r="K77" s="284">
        <v>46136</v>
      </c>
      <c r="L77" s="285">
        <f>K77+O77</f>
        <v>46178</v>
      </c>
      <c r="M77" s="285">
        <v>46148</v>
      </c>
      <c r="N77" s="286">
        <f>(M77-K77)</f>
        <v>12</v>
      </c>
      <c r="O77" s="287">
        <v>42</v>
      </c>
      <c r="P77" s="286">
        <f>O77-N77</f>
        <v>30</v>
      </c>
      <c r="Q77" s="289" t="s">
        <v>3453</v>
      </c>
      <c r="R77" s="289"/>
      <c r="S77" s="306">
        <f>R77-M77</f>
        <v>-46148</v>
      </c>
      <c r="T77" s="270" t="s">
        <v>3362</v>
      </c>
      <c r="U77" s="289"/>
    </row>
    <row r="78" spans="1:21" customHeight="1" ht="15">
      <c r="A78" s="280" t="s">
        <v>3374</v>
      </c>
      <c r="B78" s="280" t="s">
        <v>3352</v>
      </c>
      <c r="C78" s="280" t="s">
        <v>128</v>
      </c>
      <c r="D78" s="189" t="s">
        <v>3452</v>
      </c>
      <c r="E78" s="280" t="s">
        <v>552</v>
      </c>
      <c r="F78" s="280" t="s">
        <v>1812</v>
      </c>
      <c r="G78" s="280" t="s">
        <v>235</v>
      </c>
      <c r="H78" s="283" t="s">
        <v>561</v>
      </c>
      <c r="I78" s="283" t="s">
        <v>571</v>
      </c>
      <c r="J78" s="282" t="s">
        <v>561</v>
      </c>
      <c r="K78" s="284">
        <v>46136</v>
      </c>
      <c r="L78" s="285">
        <f>K78+O78</f>
        <v>46178</v>
      </c>
      <c r="M78" s="285">
        <v>46148</v>
      </c>
      <c r="N78" s="286">
        <f>(M78-K78)</f>
        <v>12</v>
      </c>
      <c r="O78" s="287">
        <v>42</v>
      </c>
      <c r="P78" s="286">
        <f>O78-N78</f>
        <v>30</v>
      </c>
      <c r="Q78" s="289" t="s">
        <v>3454</v>
      </c>
      <c r="R78" s="289"/>
      <c r="S78" s="306">
        <f>R78-M78</f>
        <v>-46148</v>
      </c>
      <c r="T78" s="270" t="s">
        <v>3362</v>
      </c>
      <c r="U78" s="289"/>
    </row>
    <row r="79" spans="1:21" customHeight="1" ht="15">
      <c r="A79" s="280" t="s">
        <v>3374</v>
      </c>
      <c r="B79" s="280" t="s">
        <v>3352</v>
      </c>
      <c r="C79" s="280" t="s">
        <v>128</v>
      </c>
      <c r="D79" s="189" t="s">
        <v>3452</v>
      </c>
      <c r="E79" s="280" t="s">
        <v>552</v>
      </c>
      <c r="F79" s="280" t="s">
        <v>1812</v>
      </c>
      <c r="G79" s="280" t="s">
        <v>235</v>
      </c>
      <c r="H79" s="283" t="s">
        <v>561</v>
      </c>
      <c r="I79" s="283" t="s">
        <v>571</v>
      </c>
      <c r="J79" s="282" t="s">
        <v>566</v>
      </c>
      <c r="K79" s="284">
        <v>46136</v>
      </c>
      <c r="L79" s="285">
        <f>K79+O79</f>
        <v>46178</v>
      </c>
      <c r="M79" s="285">
        <v>46146</v>
      </c>
      <c r="N79" s="286">
        <f>(M79-K79)</f>
        <v>10</v>
      </c>
      <c r="O79" s="287">
        <v>42</v>
      </c>
      <c r="P79" s="286">
        <f>O79-N79</f>
        <v>32</v>
      </c>
      <c r="Q79" s="289" t="s">
        <v>3455</v>
      </c>
      <c r="R79" s="289"/>
      <c r="S79" s="306">
        <f>R79-M79</f>
        <v>-46146</v>
      </c>
      <c r="T79" s="270" t="s">
        <v>3362</v>
      </c>
      <c r="U79" s="289"/>
    </row>
    <row r="80" spans="1:21" customHeight="1" ht="15">
      <c r="A80" s="280" t="s">
        <v>3374</v>
      </c>
      <c r="B80" s="280" t="s">
        <v>3401</v>
      </c>
      <c r="C80" s="280" t="s">
        <v>128</v>
      </c>
      <c r="D80" s="189" t="s">
        <v>3452</v>
      </c>
      <c r="E80" s="280" t="s">
        <v>552</v>
      </c>
      <c r="F80" s="280" t="s">
        <v>1812</v>
      </c>
      <c r="G80" s="280" t="s">
        <v>235</v>
      </c>
      <c r="H80" s="283" t="s">
        <v>561</v>
      </c>
      <c r="I80" s="283" t="s">
        <v>571</v>
      </c>
      <c r="J80" s="282"/>
      <c r="K80" s="284">
        <v>46136</v>
      </c>
      <c r="L80" s="285">
        <f>K80+O80</f>
        <v>46178</v>
      </c>
      <c r="M80" s="285">
        <v>46182</v>
      </c>
      <c r="N80" s="286">
        <f>(M80-K80)</f>
        <v>46</v>
      </c>
      <c r="O80" s="287">
        <v>42</v>
      </c>
      <c r="P80" s="286">
        <f>O80-N80</f>
        <v>-4</v>
      </c>
      <c r="Q80" s="289" t="s">
        <v>3456</v>
      </c>
      <c r="R80" s="289"/>
      <c r="S80" s="306">
        <f>R80-M80</f>
        <v>-46182</v>
      </c>
      <c r="T80" s="270" t="s">
        <v>3362</v>
      </c>
      <c r="U80" s="289"/>
    </row>
    <row r="81" spans="1:21" customHeight="1" ht="15">
      <c r="A81" s="280" t="s">
        <v>3374</v>
      </c>
      <c r="B81" s="280" t="s">
        <v>3401</v>
      </c>
      <c r="C81" s="280" t="s">
        <v>128</v>
      </c>
      <c r="D81" s="189" t="s">
        <v>3452</v>
      </c>
      <c r="E81" s="280" t="s">
        <v>552</v>
      </c>
      <c r="F81" s="280" t="s">
        <v>1812</v>
      </c>
      <c r="G81" s="280" t="s">
        <v>235</v>
      </c>
      <c r="H81" s="283" t="s">
        <v>561</v>
      </c>
      <c r="I81" s="283" t="s">
        <v>571</v>
      </c>
      <c r="J81" s="282"/>
      <c r="K81" s="284">
        <v>46136</v>
      </c>
      <c r="L81" s="285">
        <f>K81+O81</f>
        <v>46178</v>
      </c>
      <c r="M81" s="285"/>
      <c r="N81" s="286">
        <f>(M81-K81)</f>
        <v>-46136</v>
      </c>
      <c r="O81" s="287">
        <v>42</v>
      </c>
      <c r="P81" s="286">
        <f>O81-N81</f>
        <v>46178</v>
      </c>
      <c r="Q81" s="289"/>
      <c r="R81" s="289"/>
      <c r="S81" s="306">
        <f>R81-M81</f>
        <v>0</v>
      </c>
      <c r="T81" s="270" t="s">
        <v>3362</v>
      </c>
      <c r="U81" s="289"/>
    </row>
    <row r="82" spans="1:21" customHeight="1" ht="15">
      <c r="A82" s="280" t="s">
        <v>3374</v>
      </c>
      <c r="B82" s="280" t="s">
        <v>3401</v>
      </c>
      <c r="C82" s="280" t="s">
        <v>128</v>
      </c>
      <c r="D82" s="189" t="s">
        <v>3452</v>
      </c>
      <c r="E82" s="280" t="s">
        <v>552</v>
      </c>
      <c r="F82" s="280" t="s">
        <v>1812</v>
      </c>
      <c r="G82" s="280" t="s">
        <v>3414</v>
      </c>
      <c r="H82" s="283" t="s">
        <v>561</v>
      </c>
      <c r="I82" s="283" t="s">
        <v>571</v>
      </c>
      <c r="J82" s="282"/>
      <c r="K82" s="284">
        <v>46136</v>
      </c>
      <c r="L82" s="285">
        <f>K82+O82</f>
        <v>46178</v>
      </c>
      <c r="M82" s="285">
        <v>46177</v>
      </c>
      <c r="N82" s="286">
        <f>(M82-K82)</f>
        <v>41</v>
      </c>
      <c r="O82" s="287">
        <v>42</v>
      </c>
      <c r="P82" s="286">
        <f>O82-N82</f>
        <v>1</v>
      </c>
      <c r="Q82" s="289" t="s">
        <v>3457</v>
      </c>
      <c r="R82" s="289"/>
      <c r="S82" s="306">
        <f>R82-M82</f>
        <v>-46177</v>
      </c>
      <c r="T82" s="270" t="s">
        <v>3362</v>
      </c>
      <c r="U82" s="289"/>
    </row>
    <row r="83" spans="1:21" customHeight="1" ht="15">
      <c r="A83" s="280" t="s">
        <v>3374</v>
      </c>
      <c r="B83" s="280" t="s">
        <v>3352</v>
      </c>
      <c r="C83" s="280" t="s">
        <v>128</v>
      </c>
      <c r="D83" s="189" t="s">
        <v>3452</v>
      </c>
      <c r="E83" s="280" t="s">
        <v>552</v>
      </c>
      <c r="F83" s="280" t="s">
        <v>1812</v>
      </c>
      <c r="G83" s="280" t="s">
        <v>1842</v>
      </c>
      <c r="H83" s="283" t="s">
        <v>561</v>
      </c>
      <c r="I83" s="283" t="s">
        <v>571</v>
      </c>
      <c r="J83" s="282" t="s">
        <v>561</v>
      </c>
      <c r="K83" s="284">
        <v>46136</v>
      </c>
      <c r="L83" s="285">
        <f>K83+O83</f>
        <v>46178</v>
      </c>
      <c r="M83" s="285">
        <v>46156</v>
      </c>
      <c r="N83" s="286">
        <f>(M83-K83)</f>
        <v>20</v>
      </c>
      <c r="O83" s="287">
        <v>42</v>
      </c>
      <c r="P83" s="286">
        <f>O83-N83</f>
        <v>22</v>
      </c>
      <c r="Q83" s="289" t="s">
        <v>3458</v>
      </c>
      <c r="R83" s="289"/>
      <c r="S83" s="306">
        <f>R83-M83</f>
        <v>-46156</v>
      </c>
      <c r="T83" s="270" t="s">
        <v>3362</v>
      </c>
      <c r="U83" s="289"/>
    </row>
    <row r="84" spans="1:21" customHeight="1" ht="15">
      <c r="A84" s="280" t="s">
        <v>3374</v>
      </c>
      <c r="B84" s="280" t="s">
        <v>3401</v>
      </c>
      <c r="C84" s="280" t="s">
        <v>128</v>
      </c>
      <c r="D84" s="189" t="s">
        <v>3452</v>
      </c>
      <c r="E84" s="280" t="s">
        <v>552</v>
      </c>
      <c r="F84" s="280" t="s">
        <v>1812</v>
      </c>
      <c r="G84" s="280" t="s">
        <v>3459</v>
      </c>
      <c r="H84" s="283" t="s">
        <v>561</v>
      </c>
      <c r="I84" s="283" t="s">
        <v>571</v>
      </c>
      <c r="J84" s="282" t="s">
        <v>566</v>
      </c>
      <c r="K84" s="284">
        <v>46136</v>
      </c>
      <c r="L84" s="285">
        <f>K84+O84</f>
        <v>46178</v>
      </c>
      <c r="M84" s="285">
        <v>46146</v>
      </c>
      <c r="N84" s="286">
        <f>(M84-K84)</f>
        <v>10</v>
      </c>
      <c r="O84" s="287">
        <v>42</v>
      </c>
      <c r="P84" s="286">
        <f>O84-N84</f>
        <v>32</v>
      </c>
      <c r="Q84" s="289" t="s">
        <v>3460</v>
      </c>
      <c r="R84" s="289"/>
      <c r="S84" s="306">
        <f>R84-M84</f>
        <v>-46146</v>
      </c>
      <c r="T84" s="270" t="s">
        <v>3362</v>
      </c>
      <c r="U84" s="289"/>
    </row>
    <row r="85" spans="1:21" customHeight="1" ht="15">
      <c r="A85" s="280" t="s">
        <v>3351</v>
      </c>
      <c r="B85" s="280" t="s">
        <v>3352</v>
      </c>
      <c r="C85" s="280" t="s">
        <v>128</v>
      </c>
      <c r="D85" s="189" t="s">
        <v>280</v>
      </c>
      <c r="E85" s="280" t="s">
        <v>3410</v>
      </c>
      <c r="F85" s="280" t="s">
        <v>3411</v>
      </c>
      <c r="G85" s="280" t="s">
        <v>3412</v>
      </c>
      <c r="H85" s="283" t="s">
        <v>561</v>
      </c>
      <c r="I85" s="283" t="s">
        <v>571</v>
      </c>
      <c r="J85" s="282" t="s">
        <v>561</v>
      </c>
      <c r="K85" s="284">
        <v>46136</v>
      </c>
      <c r="L85" s="285">
        <v>46142</v>
      </c>
      <c r="M85" s="285">
        <f>L85+O85</f>
        <v>46177</v>
      </c>
      <c r="N85" s="286">
        <f>(M85-K85)</f>
        <v>41</v>
      </c>
      <c r="O85" s="287">
        <v>35</v>
      </c>
      <c r="P85" s="286">
        <f>O85-N85</f>
        <v>-6</v>
      </c>
      <c r="Q85" s="289" t="s">
        <v>3461</v>
      </c>
      <c r="R85" s="289"/>
      <c r="S85" s="306">
        <f>R85-M85</f>
        <v>-46177</v>
      </c>
      <c r="T85" s="270" t="s">
        <v>3362</v>
      </c>
      <c r="U85" s="289" t="s">
        <v>3462</v>
      </c>
    </row>
    <row r="86" spans="1:21" customHeight="1" ht="15">
      <c r="A86" s="280" t="s">
        <v>3351</v>
      </c>
      <c r="B86" s="280" t="s">
        <v>3401</v>
      </c>
      <c r="C86" s="280" t="s">
        <v>128</v>
      </c>
      <c r="D86" s="189" t="s">
        <v>280</v>
      </c>
      <c r="E86" s="280" t="s">
        <v>552</v>
      </c>
      <c r="F86" s="280" t="s">
        <v>429</v>
      </c>
      <c r="G86" s="280" t="s">
        <v>356</v>
      </c>
      <c r="H86" s="283" t="s">
        <v>561</v>
      </c>
      <c r="I86" s="283" t="s">
        <v>571</v>
      </c>
      <c r="J86" s="282" t="s">
        <v>571</v>
      </c>
      <c r="K86" s="284">
        <v>46139</v>
      </c>
      <c r="L86" s="285">
        <f>K86+O86</f>
        <v>46181</v>
      </c>
      <c r="M86" s="285">
        <v>46174</v>
      </c>
      <c r="N86" s="286">
        <f>(M86-K86)</f>
        <v>35</v>
      </c>
      <c r="O86" s="287">
        <v>42</v>
      </c>
      <c r="P86" s="286">
        <f>O86-N86</f>
        <v>7</v>
      </c>
      <c r="Q86" s="289" t="s">
        <v>3441</v>
      </c>
      <c r="R86" s="289"/>
      <c r="S86" s="306">
        <f>R86-M86</f>
        <v>-46174</v>
      </c>
      <c r="T86" s="270" t="s">
        <v>3355</v>
      </c>
      <c r="U86" s="289"/>
    </row>
    <row r="87" spans="1:21" customHeight="1" ht="15">
      <c r="A87" s="280" t="s">
        <v>3351</v>
      </c>
      <c r="B87" s="280" t="s">
        <v>3401</v>
      </c>
      <c r="C87" s="280" t="s">
        <v>128</v>
      </c>
      <c r="D87" s="189" t="s">
        <v>280</v>
      </c>
      <c r="E87" s="280" t="s">
        <v>3410</v>
      </c>
      <c r="F87" s="280" t="s">
        <v>3411</v>
      </c>
      <c r="G87" s="280" t="s">
        <v>235</v>
      </c>
      <c r="H87" s="283" t="s">
        <v>566</v>
      </c>
      <c r="I87" s="283" t="s">
        <v>571</v>
      </c>
      <c r="J87" s="282" t="s">
        <v>566</v>
      </c>
      <c r="K87" s="284">
        <v>46147</v>
      </c>
      <c r="L87" s="285">
        <v>46148</v>
      </c>
      <c r="M87" s="285">
        <v>46160</v>
      </c>
      <c r="N87" s="286">
        <f>(M87-K87)</f>
        <v>13</v>
      </c>
      <c r="O87" s="287">
        <v>35</v>
      </c>
      <c r="P87" s="286">
        <f>O87-N87</f>
        <v>22</v>
      </c>
      <c r="Q87" s="289" t="s">
        <v>3463</v>
      </c>
      <c r="R87" s="289"/>
      <c r="S87" s="306">
        <f>R87-M87</f>
        <v>-46160</v>
      </c>
      <c r="T87" s="270" t="s">
        <v>3362</v>
      </c>
      <c r="U87" s="289"/>
    </row>
    <row r="88" spans="1:21" customHeight="1" ht="15">
      <c r="A88" s="280" t="s">
        <v>3351</v>
      </c>
      <c r="B88" s="280" t="s">
        <v>3401</v>
      </c>
      <c r="C88" s="280" t="s">
        <v>128</v>
      </c>
      <c r="D88" s="189" t="s">
        <v>3452</v>
      </c>
      <c r="E88" s="280" t="s">
        <v>552</v>
      </c>
      <c r="F88" s="280" t="s">
        <v>437</v>
      </c>
      <c r="G88" s="280" t="s">
        <v>232</v>
      </c>
      <c r="H88" s="282" t="s">
        <v>566</v>
      </c>
      <c r="I88" s="283" t="s">
        <v>571</v>
      </c>
      <c r="J88" s="282" t="s">
        <v>566</v>
      </c>
      <c r="K88" s="284">
        <v>46150</v>
      </c>
      <c r="L88" s="285">
        <f>K88+O88</f>
        <v>46185</v>
      </c>
      <c r="M88" s="285">
        <v>46169</v>
      </c>
      <c r="N88" s="286">
        <f>(M88-K88)</f>
        <v>19</v>
      </c>
      <c r="O88" s="287">
        <v>35</v>
      </c>
      <c r="P88" s="286">
        <f>O88-N88</f>
        <v>16</v>
      </c>
      <c r="Q88" s="289" t="s">
        <v>3464</v>
      </c>
      <c r="R88" s="289"/>
      <c r="S88" s="306">
        <f>R88-M88</f>
        <v>-46169</v>
      </c>
      <c r="T88" s="270" t="s">
        <v>3362</v>
      </c>
      <c r="U88" s="289"/>
    </row>
    <row r="89" spans="1:21" customHeight="1" ht="15">
      <c r="A89" s="280" t="s">
        <v>3351</v>
      </c>
      <c r="B89" s="280" t="s">
        <v>3465</v>
      </c>
      <c r="C89" s="280" t="s">
        <v>128</v>
      </c>
      <c r="D89" s="280" t="s">
        <v>3396</v>
      </c>
      <c r="E89" s="280" t="s">
        <v>552</v>
      </c>
      <c r="F89" s="280" t="s">
        <v>3397</v>
      </c>
      <c r="G89" s="280" t="s">
        <v>3398</v>
      </c>
      <c r="H89" s="282" t="s">
        <v>566</v>
      </c>
      <c r="I89" s="283" t="s">
        <v>571</v>
      </c>
      <c r="J89" s="282"/>
      <c r="K89" s="284">
        <v>46150</v>
      </c>
      <c r="L89" s="285">
        <f>K89+O89</f>
        <v>46192</v>
      </c>
      <c r="M89" s="285"/>
      <c r="N89" s="286">
        <f>(M89-K89)</f>
        <v>-46150</v>
      </c>
      <c r="O89" s="287">
        <v>42</v>
      </c>
      <c r="P89" s="444">
        <f>O89-N89</f>
        <v>46192</v>
      </c>
      <c r="Q89" s="289"/>
      <c r="R89" s="283"/>
      <c r="S89" s="306">
        <f>R89-M89</f>
        <v>0</v>
      </c>
      <c r="T89" s="270" t="s">
        <v>3362</v>
      </c>
      <c r="U89" s="289"/>
    </row>
    <row r="90" spans="1:21" customHeight="1" ht="15">
      <c r="A90" s="280" t="s">
        <v>3351</v>
      </c>
      <c r="B90" s="280" t="s">
        <v>3352</v>
      </c>
      <c r="C90" s="280" t="s">
        <v>128</v>
      </c>
      <c r="D90" s="189" t="s">
        <v>182</v>
      </c>
      <c r="E90" s="280" t="s">
        <v>552</v>
      </c>
      <c r="F90" s="61" t="s">
        <v>3466</v>
      </c>
      <c r="G90" s="280" t="s">
        <v>203</v>
      </c>
      <c r="H90" s="282" t="s">
        <v>566</v>
      </c>
      <c r="I90" s="283" t="s">
        <v>581</v>
      </c>
      <c r="J90" s="282"/>
      <c r="K90" s="284">
        <v>46160</v>
      </c>
      <c r="L90" s="285">
        <f>K90+O90</f>
        <v>46244</v>
      </c>
      <c r="M90" s="285"/>
      <c r="N90" s="286">
        <f>(M90-K90)</f>
        <v>-46160</v>
      </c>
      <c r="O90" s="287">
        <v>84</v>
      </c>
      <c r="P90" s="286">
        <f>O90-N90</f>
        <v>46244</v>
      </c>
      <c r="Q90" s="289"/>
      <c r="R90" s="289"/>
      <c r="S90" s="306">
        <f>R90-M90</f>
        <v>0</v>
      </c>
      <c r="T90" s="270" t="s">
        <v>3362</v>
      </c>
      <c r="U90" s="289"/>
    </row>
    <row r="91" spans="1:21" customHeight="1" ht="15">
      <c r="A91" s="280" t="s">
        <v>3351</v>
      </c>
      <c r="B91" s="280" t="s">
        <v>3352</v>
      </c>
      <c r="C91" s="280" t="s">
        <v>128</v>
      </c>
      <c r="D91" s="280" t="s">
        <v>130</v>
      </c>
      <c r="E91" s="280" t="s">
        <v>552</v>
      </c>
      <c r="F91" s="280" t="s">
        <v>378</v>
      </c>
      <c r="G91" s="307" t="s">
        <v>382</v>
      </c>
      <c r="H91" s="282" t="s">
        <v>571</v>
      </c>
      <c r="I91" s="283" t="s">
        <v>577</v>
      </c>
      <c r="J91" s="302"/>
      <c r="K91" s="284">
        <v>46174</v>
      </c>
      <c r="L91" s="285">
        <f>K91+O91</f>
        <v>46209</v>
      </c>
      <c r="M91" s="285"/>
      <c r="N91" s="286">
        <f>(M91-K91)</f>
        <v>-46174</v>
      </c>
      <c r="O91" s="311">
        <v>35</v>
      </c>
      <c r="P91" s="286">
        <f>O91-N91</f>
        <v>46209</v>
      </c>
      <c r="Q91" s="289"/>
      <c r="R91" s="289"/>
      <c r="S91" s="306">
        <f>R91-M91</f>
        <v>0</v>
      </c>
      <c r="T91" s="270" t="s">
        <v>3362</v>
      </c>
      <c r="U91" s="289"/>
    </row>
    <row r="92" spans="1:21" customHeight="1" ht="14.25">
      <c r="A92" s="280" t="s">
        <v>3351</v>
      </c>
      <c r="B92" s="280" t="s">
        <v>3352</v>
      </c>
      <c r="C92" s="280" t="s">
        <v>128</v>
      </c>
      <c r="D92" s="280" t="s">
        <v>130</v>
      </c>
      <c r="E92" s="280" t="s">
        <v>552</v>
      </c>
      <c r="F92" s="280" t="s">
        <v>378</v>
      </c>
      <c r="G92" s="280" t="s">
        <v>329</v>
      </c>
      <c r="H92" s="282" t="s">
        <v>571</v>
      </c>
      <c r="I92" s="283" t="s">
        <v>577</v>
      </c>
      <c r="J92" s="282"/>
      <c r="K92" s="284">
        <v>46174</v>
      </c>
      <c r="L92" s="285">
        <f>K92+O92</f>
        <v>46209</v>
      </c>
      <c r="M92" s="285"/>
      <c r="N92" s="286">
        <f>(M92-K92)</f>
        <v>-46174</v>
      </c>
      <c r="O92" s="287">
        <v>35</v>
      </c>
      <c r="P92" s="286">
        <f>O92-N92</f>
        <v>46209</v>
      </c>
      <c r="Q92" s="289"/>
      <c r="R92" s="308"/>
      <c r="S92" s="306">
        <f>R92-M92</f>
        <v>0</v>
      </c>
      <c r="T92" s="270" t="s">
        <v>3362</v>
      </c>
      <c r="U92" s="289"/>
    </row>
    <row r="93" spans="1:21" customHeight="1" ht="15">
      <c r="A93" s="280" t="s">
        <v>3351</v>
      </c>
      <c r="B93" s="280" t="s">
        <v>3352</v>
      </c>
      <c r="C93" s="280" t="s">
        <v>128</v>
      </c>
      <c r="D93" s="280" t="s">
        <v>226</v>
      </c>
      <c r="E93" s="280" t="s">
        <v>552</v>
      </c>
      <c r="F93" s="280" t="s">
        <v>333</v>
      </c>
      <c r="G93" s="280" t="s">
        <v>2303</v>
      </c>
      <c r="H93" s="282" t="s">
        <v>571</v>
      </c>
      <c r="I93" s="283" t="s">
        <v>577</v>
      </c>
      <c r="J93" s="282"/>
      <c r="K93" s="284">
        <v>46174</v>
      </c>
      <c r="L93" s="285">
        <f>K93+O93</f>
        <v>46219</v>
      </c>
      <c r="M93" s="285"/>
      <c r="N93" s="286">
        <f>(M93-K93)</f>
        <v>-46174</v>
      </c>
      <c r="O93" s="287">
        <v>45</v>
      </c>
      <c r="P93" s="444">
        <f>O93-N93</f>
        <v>46219</v>
      </c>
      <c r="Q93" s="289" t="s">
        <v>3467</v>
      </c>
      <c r="R93" s="289"/>
      <c r="S93" s="306">
        <f>R93-M93</f>
        <v>0</v>
      </c>
      <c r="T93" s="270" t="s">
        <v>3355</v>
      </c>
      <c r="U93" s="289"/>
    </row>
    <row r="94" spans="1:21" customHeight="1" ht="15">
      <c r="A94" s="280" t="s">
        <v>3351</v>
      </c>
      <c r="B94" s="280" t="s">
        <v>3352</v>
      </c>
      <c r="C94" s="280" t="s">
        <v>128</v>
      </c>
      <c r="D94" s="280" t="s">
        <v>3435</v>
      </c>
      <c r="E94" s="280" t="s">
        <v>552</v>
      </c>
      <c r="F94" s="280" t="s">
        <v>453</v>
      </c>
      <c r="G94" s="280" t="s">
        <v>454</v>
      </c>
      <c r="H94" s="282" t="s">
        <v>571</v>
      </c>
      <c r="I94" s="283" t="s">
        <v>577</v>
      </c>
      <c r="J94" s="282"/>
      <c r="K94" s="284">
        <v>46174</v>
      </c>
      <c r="L94" s="285">
        <f>K94+O94</f>
        <v>46216</v>
      </c>
      <c r="M94" s="285"/>
      <c r="N94" s="286">
        <f>(M94-K94)</f>
        <v>-46174</v>
      </c>
      <c r="O94" s="287">
        <v>42</v>
      </c>
      <c r="P94" s="444">
        <f>O94-N94</f>
        <v>46216</v>
      </c>
      <c r="Q94" s="289"/>
      <c r="R94" s="289"/>
      <c r="S94" s="306">
        <f>R94-M94</f>
        <v>0</v>
      </c>
      <c r="T94" s="270" t="s">
        <v>3355</v>
      </c>
      <c r="U94" s="289"/>
    </row>
    <row r="95" spans="1:21" customHeight="1" ht="15">
      <c r="A95" s="280"/>
      <c r="B95" s="280"/>
      <c r="C95" s="280"/>
      <c r="D95" s="280"/>
      <c r="E95" s="280"/>
      <c r="F95" s="280"/>
      <c r="G95" s="280"/>
      <c r="H95" s="282"/>
      <c r="I95" s="283"/>
      <c r="J95" s="282"/>
      <c r="K95" s="284"/>
      <c r="L95" s="285">
        <f>K95+O95</f>
        <v>0</v>
      </c>
      <c r="M95" s="285"/>
      <c r="N95" s="286">
        <f>(M95-K95)</f>
        <v>0</v>
      </c>
      <c r="O95" s="287"/>
      <c r="P95" s="286">
        <v>0.0</v>
      </c>
      <c r="Q95" s="289"/>
      <c r="R95" s="289"/>
      <c r="S95" s="306">
        <f>R95-M95</f>
        <v>0</v>
      </c>
      <c r="T95" s="270"/>
      <c r="U95" s="289"/>
    </row>
    <row r="96" spans="1:21" customHeight="1" ht="15">
      <c r="A96" s="280"/>
      <c r="B96" s="280"/>
      <c r="C96" s="280"/>
      <c r="D96" s="280"/>
      <c r="E96" s="280"/>
      <c r="F96" s="280"/>
      <c r="G96" s="280"/>
      <c r="H96" s="282"/>
      <c r="I96" s="283"/>
      <c r="J96" s="282"/>
      <c r="K96" s="284"/>
      <c r="L96" s="285">
        <f>K96+O96</f>
        <v>0</v>
      </c>
      <c r="M96" s="285"/>
      <c r="N96" s="286">
        <f>(M96-K96)</f>
        <v>0</v>
      </c>
      <c r="O96" s="287"/>
      <c r="P96" s="286">
        <v>0.0</v>
      </c>
      <c r="Q96" s="289"/>
      <c r="R96" s="289"/>
      <c r="S96" s="306">
        <f>R96-M96</f>
        <v>0</v>
      </c>
      <c r="T96" s="270"/>
      <c r="U96" s="289"/>
    </row>
    <row r="97" spans="1:21" customHeight="1" ht="15">
      <c r="A97" s="280"/>
      <c r="B97" s="280"/>
      <c r="C97" s="280"/>
      <c r="D97" s="280"/>
      <c r="E97" s="280"/>
      <c r="F97" s="280"/>
      <c r="G97" s="280"/>
      <c r="H97" s="282"/>
      <c r="I97" s="283"/>
      <c r="J97" s="282"/>
      <c r="K97" s="284"/>
      <c r="L97" s="285">
        <f>K97+O97</f>
        <v>0</v>
      </c>
      <c r="M97" s="285"/>
      <c r="N97" s="286">
        <f>(M97-K97)</f>
        <v>0</v>
      </c>
      <c r="O97" s="287"/>
      <c r="P97" s="286">
        <v>0.0</v>
      </c>
      <c r="Q97" s="289"/>
      <c r="R97" s="289"/>
      <c r="S97" s="306">
        <f>R97-M97</f>
        <v>0</v>
      </c>
      <c r="T97" s="270"/>
      <c r="U97" s="289"/>
    </row>
    <row r="98" spans="1:21" customHeight="1" ht="15">
      <c r="A98" s="280"/>
      <c r="B98" s="280"/>
      <c r="C98" s="280"/>
      <c r="D98" s="280"/>
      <c r="E98" s="280"/>
      <c r="F98" s="280"/>
      <c r="G98" s="280"/>
      <c r="H98" s="282"/>
      <c r="I98" s="283"/>
      <c r="J98" s="282"/>
      <c r="K98" s="284"/>
      <c r="L98" s="285">
        <f>K98+O98</f>
        <v>0</v>
      </c>
      <c r="M98" s="285"/>
      <c r="N98" s="286">
        <f>(M98-K98)</f>
        <v>0</v>
      </c>
      <c r="O98" s="287"/>
      <c r="P98" s="286">
        <v>0.0</v>
      </c>
      <c r="Q98" s="289"/>
      <c r="R98" s="289"/>
      <c r="S98" s="306">
        <f>R98-M98</f>
        <v>0</v>
      </c>
      <c r="T98" s="270"/>
      <c r="U98" s="289"/>
    </row>
    <row r="99" spans="1:21" customHeight="1" ht="15">
      <c r="A99" s="280"/>
      <c r="B99" s="280"/>
      <c r="C99" s="280"/>
      <c r="D99" s="280"/>
      <c r="E99" s="280"/>
      <c r="F99" s="280"/>
      <c r="G99" s="280"/>
      <c r="H99" s="282"/>
      <c r="I99" s="283"/>
      <c r="J99" s="282"/>
      <c r="K99" s="284"/>
      <c r="L99" s="285">
        <f>K99+O99</f>
        <v>0</v>
      </c>
      <c r="M99" s="285"/>
      <c r="N99" s="286">
        <f>(M99-K99)</f>
        <v>0</v>
      </c>
      <c r="O99" s="287"/>
      <c r="P99" s="286">
        <v>0.0</v>
      </c>
      <c r="Q99" s="289"/>
      <c r="R99" s="289"/>
      <c r="S99" s="306">
        <f>R99-M99</f>
        <v>0</v>
      </c>
      <c r="T99" s="270"/>
      <c r="U99" s="289"/>
    </row>
    <row r="100" spans="1:21" customHeight="1" ht="15">
      <c r="A100" s="280"/>
      <c r="B100" s="280"/>
      <c r="C100" s="280"/>
      <c r="D100" s="280"/>
      <c r="E100" s="280"/>
      <c r="F100" s="280"/>
      <c r="G100" s="280"/>
      <c r="H100" s="282"/>
      <c r="I100" s="283"/>
      <c r="J100" s="282"/>
      <c r="K100" s="284"/>
      <c r="L100" s="285">
        <f>K100+O100</f>
        <v>0</v>
      </c>
      <c r="M100" s="285"/>
      <c r="N100" s="286">
        <f>(M100-K100)</f>
        <v>0</v>
      </c>
      <c r="O100" s="287"/>
      <c r="P100" s="286">
        <v>0.0</v>
      </c>
      <c r="Q100" s="289"/>
      <c r="R100" s="289"/>
      <c r="S100" s="306">
        <f>R100-M100</f>
        <v>0</v>
      </c>
      <c r="T100" s="270"/>
      <c r="U100" s="289"/>
    </row>
    <row r="101" spans="1:21" customHeight="1" ht="15">
      <c r="A101" s="280"/>
      <c r="B101" s="280"/>
      <c r="C101" s="280"/>
      <c r="D101" s="280"/>
      <c r="E101" s="280"/>
      <c r="F101" s="280"/>
      <c r="G101" s="280"/>
      <c r="H101" s="282"/>
      <c r="I101" s="283"/>
      <c r="J101" s="282"/>
      <c r="K101" s="284"/>
      <c r="L101" s="285">
        <f>K101+O101</f>
        <v>0</v>
      </c>
      <c r="M101" s="285"/>
      <c r="N101" s="286">
        <f>(M101-K101)</f>
        <v>0</v>
      </c>
      <c r="O101" s="287"/>
      <c r="P101" s="286">
        <v>0.0</v>
      </c>
      <c r="Q101" s="289"/>
      <c r="R101" s="289"/>
      <c r="S101" s="306">
        <f>R101-M101</f>
        <v>0</v>
      </c>
      <c r="T101" s="270"/>
      <c r="U101" s="289"/>
    </row>
    <row r="102" spans="1:21" customHeight="1" ht="15">
      <c r="A102" s="280"/>
      <c r="B102" s="280"/>
      <c r="C102" s="280"/>
      <c r="D102" s="280"/>
      <c r="E102" s="280"/>
      <c r="F102" s="280"/>
      <c r="G102" s="280"/>
      <c r="H102" s="282"/>
      <c r="I102" s="283"/>
      <c r="J102" s="282"/>
      <c r="K102" s="284"/>
      <c r="L102" s="285">
        <f>K102+O102</f>
        <v>0</v>
      </c>
      <c r="M102" s="285"/>
      <c r="N102" s="286">
        <f>(M102-K102)</f>
        <v>0</v>
      </c>
      <c r="O102" s="287"/>
      <c r="P102" s="286">
        <v>0.0</v>
      </c>
      <c r="Q102" s="289"/>
      <c r="R102" s="289"/>
      <c r="S102" s="306">
        <f>R102-M102</f>
        <v>0</v>
      </c>
      <c r="T102" s="270"/>
      <c r="U102" s="289"/>
    </row>
    <row r="103" spans="1:21" customHeight="1" ht="15">
      <c r="A103" s="280"/>
      <c r="B103" s="280"/>
      <c r="C103" s="280"/>
      <c r="D103" s="280"/>
      <c r="E103" s="280"/>
      <c r="F103" s="280"/>
      <c r="G103" s="280"/>
      <c r="H103" s="282"/>
      <c r="I103" s="283"/>
      <c r="J103" s="282"/>
      <c r="K103" s="284"/>
      <c r="L103" s="285">
        <f>K103+O103</f>
        <v>0</v>
      </c>
      <c r="M103" s="285"/>
      <c r="N103" s="286">
        <f>(M103-K103)</f>
        <v>0</v>
      </c>
      <c r="O103" s="287"/>
      <c r="P103" s="286">
        <v>0.0</v>
      </c>
      <c r="Q103" s="289"/>
      <c r="R103" s="289"/>
      <c r="S103" s="306">
        <f>R103-M103</f>
        <v>0</v>
      </c>
      <c r="T103" s="270"/>
      <c r="U103" s="289"/>
    </row>
    <row r="104" spans="1:21" customHeight="1" ht="15">
      <c r="A104" s="280"/>
      <c r="B104" s="280"/>
      <c r="C104" s="280"/>
      <c r="D104" s="280"/>
      <c r="E104" s="280"/>
      <c r="F104" s="280"/>
      <c r="G104" s="280"/>
      <c r="H104" s="282"/>
      <c r="I104" s="283"/>
      <c r="J104" s="282"/>
      <c r="K104" s="284"/>
      <c r="L104" s="285">
        <f>K104+O104</f>
        <v>0</v>
      </c>
      <c r="M104" s="285"/>
      <c r="N104" s="286">
        <f>(M104-K104)</f>
        <v>0</v>
      </c>
      <c r="O104" s="287"/>
      <c r="P104" s="286">
        <v>0.0</v>
      </c>
      <c r="Q104" s="289"/>
      <c r="R104" s="289"/>
      <c r="S104" s="306">
        <f>R104-M104</f>
        <v>0</v>
      </c>
      <c r="T104" s="270"/>
      <c r="U104" s="289"/>
    </row>
    <row r="105" spans="1:21" customHeight="1" ht="15">
      <c r="A105" s="280"/>
      <c r="B105" s="280"/>
      <c r="C105" s="280"/>
      <c r="D105" s="280"/>
      <c r="E105" s="280"/>
      <c r="F105" s="280"/>
      <c r="G105" s="280"/>
      <c r="H105" s="282"/>
      <c r="I105" s="283"/>
      <c r="J105" s="282"/>
      <c r="K105" s="284"/>
      <c r="L105" s="285">
        <f>K105+O105</f>
        <v>0</v>
      </c>
      <c r="M105" s="285"/>
      <c r="N105" s="286">
        <f>(M105-K105)</f>
        <v>0</v>
      </c>
      <c r="O105" s="287"/>
      <c r="P105" s="286">
        <v>0.0</v>
      </c>
      <c r="Q105" s="289"/>
      <c r="R105" s="289"/>
      <c r="S105" s="306">
        <f>R105-M105</f>
        <v>0</v>
      </c>
      <c r="T105" s="270"/>
      <c r="U105" s="289"/>
    </row>
    <row r="106" spans="1:21" customHeight="1" ht="15">
      <c r="A106" s="280"/>
      <c r="B106" s="280"/>
      <c r="C106" s="280"/>
      <c r="D106" s="280"/>
      <c r="E106" s="280"/>
      <c r="F106" s="280"/>
      <c r="G106" s="280"/>
      <c r="H106" s="282"/>
      <c r="I106" s="283"/>
      <c r="J106" s="282"/>
      <c r="K106" s="284"/>
      <c r="L106" s="285">
        <f>K106+O106</f>
        <v>0</v>
      </c>
      <c r="M106" s="285"/>
      <c r="N106" s="286">
        <f>(M106-K106)</f>
        <v>0</v>
      </c>
      <c r="O106" s="287"/>
      <c r="P106" s="286">
        <v>0.0</v>
      </c>
      <c r="Q106" s="289"/>
      <c r="R106" s="289"/>
      <c r="S106" s="306">
        <f>R106-M106</f>
        <v>0</v>
      </c>
      <c r="T106" s="270"/>
      <c r="U106" s="289"/>
    </row>
    <row r="107" spans="1:21" customHeight="1" ht="15">
      <c r="A107" s="280"/>
      <c r="B107" s="280"/>
      <c r="C107" s="280"/>
      <c r="D107" s="280"/>
      <c r="E107" s="280"/>
      <c r="F107" s="280"/>
      <c r="G107" s="280"/>
      <c r="H107" s="282"/>
      <c r="I107" s="283"/>
      <c r="J107" s="282"/>
      <c r="K107" s="284"/>
      <c r="L107" s="285">
        <f>K107+O107</f>
        <v>0</v>
      </c>
      <c r="M107" s="285"/>
      <c r="N107" s="286">
        <f>(M107-K107)</f>
        <v>0</v>
      </c>
      <c r="O107" s="287"/>
      <c r="P107" s="286">
        <v>0.0</v>
      </c>
      <c r="Q107" s="289"/>
      <c r="R107" s="289"/>
      <c r="S107" s="306">
        <f>R107-M107</f>
        <v>0</v>
      </c>
      <c r="T107" s="270"/>
      <c r="U107" s="289"/>
    </row>
    <row r="108" spans="1:21" customHeight="1" ht="15">
      <c r="A108" s="280"/>
      <c r="B108" s="280"/>
      <c r="C108" s="280"/>
      <c r="D108" s="280"/>
      <c r="E108" s="280"/>
      <c r="F108" s="280"/>
      <c r="G108" s="280"/>
      <c r="H108" s="282"/>
      <c r="I108" s="283"/>
      <c r="J108" s="282"/>
      <c r="K108" s="284"/>
      <c r="L108" s="285">
        <f>K108+O108</f>
        <v>0</v>
      </c>
      <c r="M108" s="285"/>
      <c r="N108" s="286">
        <f>(M108-K108)</f>
        <v>0</v>
      </c>
      <c r="O108" s="287"/>
      <c r="P108" s="286">
        <v>0.0</v>
      </c>
      <c r="Q108" s="289"/>
      <c r="R108" s="289"/>
      <c r="S108" s="306">
        <f>R108-M108</f>
        <v>0</v>
      </c>
      <c r="T108" s="270"/>
      <c r="U108" s="289"/>
    </row>
    <row r="109" spans="1:21" customHeight="1" ht="15">
      <c r="A109" s="280"/>
      <c r="B109" s="280"/>
      <c r="C109" s="280"/>
      <c r="D109" s="280"/>
      <c r="E109" s="280"/>
      <c r="F109" s="280"/>
      <c r="G109" s="280"/>
      <c r="H109" s="282"/>
      <c r="I109" s="283"/>
      <c r="J109" s="282"/>
      <c r="K109" s="284"/>
      <c r="L109" s="285">
        <f>K109+O109</f>
        <v>0</v>
      </c>
      <c r="M109" s="285"/>
      <c r="N109" s="286">
        <f>(M109-K109)</f>
        <v>0</v>
      </c>
      <c r="O109" s="287"/>
      <c r="P109" s="286">
        <v>0.0</v>
      </c>
      <c r="Q109" s="289"/>
      <c r="R109" s="289"/>
      <c r="S109" s="306">
        <f>R109-M109</f>
        <v>0</v>
      </c>
      <c r="T109" s="270"/>
      <c r="U109" s="289"/>
    </row>
    <row r="110" spans="1:21" customHeight="1" ht="15">
      <c r="A110" s="280"/>
      <c r="B110" s="280"/>
      <c r="C110" s="280"/>
      <c r="D110" s="280"/>
      <c r="E110" s="280"/>
      <c r="F110" s="280"/>
      <c r="G110" s="280"/>
      <c r="H110" s="282"/>
      <c r="I110" s="283"/>
      <c r="J110" s="282"/>
      <c r="K110" s="284"/>
      <c r="L110" s="285">
        <f>K110+O110</f>
        <v>0</v>
      </c>
      <c r="M110" s="285"/>
      <c r="N110" s="286">
        <f>(M110-K110)</f>
        <v>0</v>
      </c>
      <c r="O110" s="287"/>
      <c r="P110" s="286">
        <v>0.0</v>
      </c>
      <c r="Q110" s="289"/>
      <c r="R110" s="289"/>
      <c r="S110" s="306">
        <f>R110-M110</f>
        <v>0</v>
      </c>
      <c r="T110" s="270"/>
      <c r="U110" s="289"/>
    </row>
    <row r="111" spans="1:21" customHeight="1" ht="15">
      <c r="A111" s="280"/>
      <c r="B111" s="280"/>
      <c r="C111" s="280"/>
      <c r="D111" s="280"/>
      <c r="E111" s="280"/>
      <c r="F111" s="280"/>
      <c r="G111" s="280"/>
      <c r="H111" s="282"/>
      <c r="I111" s="283"/>
      <c r="J111" s="282"/>
      <c r="K111" s="284"/>
      <c r="L111" s="285">
        <f>K111+O111</f>
        <v>0</v>
      </c>
      <c r="M111" s="285"/>
      <c r="N111" s="286">
        <f>(M111-K111)</f>
        <v>0</v>
      </c>
      <c r="O111" s="287"/>
      <c r="P111" s="286">
        <v>0.0</v>
      </c>
      <c r="Q111" s="289"/>
      <c r="R111" s="289"/>
      <c r="S111" s="306">
        <f>R111-M111</f>
        <v>0</v>
      </c>
      <c r="T111" s="270"/>
      <c r="U111" s="289"/>
    </row>
    <row r="112" spans="1:21" customHeight="1" ht="15">
      <c r="A112" s="280"/>
      <c r="B112" s="280"/>
      <c r="C112" s="280"/>
      <c r="D112" s="280"/>
      <c r="E112" s="280"/>
      <c r="F112" s="280"/>
      <c r="G112" s="280"/>
      <c r="H112" s="282"/>
      <c r="I112" s="283"/>
      <c r="J112" s="282"/>
      <c r="K112" s="284"/>
      <c r="L112" s="285">
        <f>K112+O112</f>
        <v>0</v>
      </c>
      <c r="M112" s="285"/>
      <c r="N112" s="286">
        <f>(M112-K112)</f>
        <v>0</v>
      </c>
      <c r="O112" s="287"/>
      <c r="P112" s="286">
        <v>0.0</v>
      </c>
      <c r="Q112" s="289"/>
      <c r="R112" s="289"/>
      <c r="S112" s="306">
        <f>R112-M112</f>
        <v>0</v>
      </c>
      <c r="T112" s="270"/>
      <c r="U112" s="289"/>
    </row>
    <row r="113" spans="1:21" customHeight="1" ht="15">
      <c r="A113" s="280"/>
      <c r="B113" s="280"/>
      <c r="C113" s="280"/>
      <c r="D113" s="280"/>
      <c r="E113" s="280"/>
      <c r="F113" s="280"/>
      <c r="G113" s="280"/>
      <c r="H113" s="282"/>
      <c r="I113" s="283"/>
      <c r="J113" s="282"/>
      <c r="K113" s="284"/>
      <c r="L113" s="285">
        <f>K113+O113</f>
        <v>0</v>
      </c>
      <c r="M113" s="285"/>
      <c r="N113" s="286">
        <f>(M113-K113)</f>
        <v>0</v>
      </c>
      <c r="O113" s="287"/>
      <c r="P113" s="286">
        <v>0.0</v>
      </c>
      <c r="Q113" s="289"/>
      <c r="R113" s="289"/>
      <c r="S113" s="306">
        <f>R113-M113</f>
        <v>0</v>
      </c>
      <c r="T113" s="270"/>
      <c r="U113" s="289"/>
    </row>
    <row r="114" spans="1:21" customHeight="1" ht="15">
      <c r="A114" s="280"/>
      <c r="B114" s="280"/>
      <c r="C114" s="280"/>
      <c r="D114" s="280"/>
      <c r="E114" s="280"/>
      <c r="F114" s="280"/>
      <c r="G114" s="280"/>
      <c r="H114" s="282"/>
      <c r="I114" s="283"/>
      <c r="J114" s="282"/>
      <c r="K114" s="284"/>
      <c r="L114" s="285">
        <f>K114+O114</f>
        <v>0</v>
      </c>
      <c r="M114" s="285"/>
      <c r="N114" s="286">
        <f>(M114-K114)</f>
        <v>0</v>
      </c>
      <c r="O114" s="287"/>
      <c r="P114" s="286">
        <v>0.0</v>
      </c>
      <c r="Q114" s="289"/>
      <c r="R114" s="289"/>
      <c r="S114" s="306">
        <f>R114-M114</f>
        <v>0</v>
      </c>
      <c r="T114" s="270"/>
      <c r="U114" s="289"/>
    </row>
    <row r="115" spans="1:21" customHeight="1" ht="15">
      <c r="A115" s="280"/>
      <c r="B115" s="280"/>
      <c r="C115" s="280"/>
      <c r="D115" s="280"/>
      <c r="E115" s="280"/>
      <c r="F115" s="280"/>
      <c r="G115" s="280"/>
      <c r="H115" s="282"/>
      <c r="I115" s="283"/>
      <c r="J115" s="282"/>
      <c r="K115" s="284"/>
      <c r="L115" s="285">
        <f>K115+O115</f>
        <v>0</v>
      </c>
      <c r="M115" s="285"/>
      <c r="N115" s="286">
        <f>(M115-K115)</f>
        <v>0</v>
      </c>
      <c r="O115" s="287"/>
      <c r="P115" s="286">
        <v>0.0</v>
      </c>
      <c r="Q115" s="289"/>
      <c r="R115" s="289"/>
      <c r="S115" s="306">
        <f>R115-M115</f>
        <v>0</v>
      </c>
      <c r="T115" s="270"/>
      <c r="U115" s="289"/>
    </row>
    <row r="116" spans="1:21" customHeight="1" ht="15">
      <c r="A116" s="280"/>
      <c r="B116" s="280"/>
      <c r="C116" s="280"/>
      <c r="D116" s="280"/>
      <c r="E116" s="280"/>
      <c r="F116" s="280"/>
      <c r="G116" s="280"/>
      <c r="H116" s="282"/>
      <c r="I116" s="283"/>
      <c r="J116" s="282"/>
      <c r="K116" s="284"/>
      <c r="L116" s="285">
        <f>K116+O116</f>
        <v>0</v>
      </c>
      <c r="M116" s="285"/>
      <c r="N116" s="286">
        <f>(M116-K116)</f>
        <v>0</v>
      </c>
      <c r="O116" s="287"/>
      <c r="P116" s="286">
        <v>0.0</v>
      </c>
      <c r="Q116" s="289"/>
      <c r="R116" s="289"/>
      <c r="S116" s="306">
        <f>R116-M116</f>
        <v>0</v>
      </c>
      <c r="T116" s="270"/>
      <c r="U116" s="289"/>
    </row>
    <row r="117" spans="1:21" customHeight="1" ht="15">
      <c r="A117" s="280"/>
      <c r="B117" s="280"/>
      <c r="C117" s="280"/>
      <c r="D117" s="280"/>
      <c r="E117" s="280"/>
      <c r="F117" s="280"/>
      <c r="G117" s="280"/>
      <c r="H117" s="282"/>
      <c r="I117" s="283"/>
      <c r="J117" s="282"/>
      <c r="K117" s="284"/>
      <c r="L117" s="285">
        <f>K117+O117</f>
        <v>0</v>
      </c>
      <c r="M117" s="285"/>
      <c r="N117" s="286">
        <f>(M117-K117)</f>
        <v>0</v>
      </c>
      <c r="O117" s="287"/>
      <c r="P117" s="286">
        <v>0.0</v>
      </c>
      <c r="Q117" s="289"/>
      <c r="R117" s="289"/>
      <c r="S117" s="306">
        <f>R117-M117</f>
        <v>0</v>
      </c>
      <c r="T117" s="270"/>
      <c r="U117" s="289"/>
    </row>
    <row r="118" spans="1:21" customHeight="1" ht="15">
      <c r="A118" s="280"/>
      <c r="B118" s="280"/>
      <c r="C118" s="280"/>
      <c r="D118" s="280"/>
      <c r="E118" s="280"/>
      <c r="F118" s="280"/>
      <c r="G118" s="280"/>
      <c r="H118" s="282"/>
      <c r="I118" s="283"/>
      <c r="J118" s="282"/>
      <c r="K118" s="284"/>
      <c r="L118" s="285">
        <f>K118+O118</f>
        <v>0</v>
      </c>
      <c r="M118" s="285"/>
      <c r="N118" s="286">
        <f>(M118-K118)</f>
        <v>0</v>
      </c>
      <c r="O118" s="287"/>
      <c r="P118" s="286">
        <v>0.0</v>
      </c>
      <c r="Q118" s="289"/>
      <c r="R118" s="289"/>
      <c r="S118" s="306">
        <f>R118-M118</f>
        <v>0</v>
      </c>
      <c r="T118" s="270"/>
      <c r="U118" s="289"/>
    </row>
    <row r="119" spans="1:21" customHeight="1" ht="15">
      <c r="A119" s="280"/>
      <c r="B119" s="280"/>
      <c r="C119" s="280"/>
      <c r="D119" s="280"/>
      <c r="E119" s="280"/>
      <c r="F119" s="280"/>
      <c r="G119" s="280"/>
      <c r="H119" s="282"/>
      <c r="I119" s="283"/>
      <c r="J119" s="282"/>
      <c r="K119" s="284"/>
      <c r="L119" s="285">
        <f>K119+O119</f>
        <v>0</v>
      </c>
      <c r="M119" s="285"/>
      <c r="N119" s="286">
        <f>(M119-K119)</f>
        <v>0</v>
      </c>
      <c r="O119" s="287"/>
      <c r="P119" s="286">
        <v>0.0</v>
      </c>
      <c r="Q119" s="289"/>
      <c r="R119" s="289"/>
      <c r="S119" s="306">
        <f>R119-M119</f>
        <v>0</v>
      </c>
      <c r="T119" s="270"/>
      <c r="U119" s="289"/>
    </row>
    <row r="120" spans="1:21" customHeight="1" ht="15">
      <c r="A120" s="280"/>
      <c r="B120" s="280"/>
      <c r="C120" s="280"/>
      <c r="D120" s="280"/>
      <c r="E120" s="280"/>
      <c r="F120" s="280"/>
      <c r="G120" s="280"/>
      <c r="H120" s="282"/>
      <c r="I120" s="283"/>
      <c r="J120" s="282"/>
      <c r="K120" s="284"/>
      <c r="L120" s="285">
        <f>K120+O120</f>
        <v>0</v>
      </c>
      <c r="M120" s="285"/>
      <c r="N120" s="286">
        <f>(M120-K120)</f>
        <v>0</v>
      </c>
      <c r="O120" s="287"/>
      <c r="P120" s="286">
        <v>0.0</v>
      </c>
      <c r="Q120" s="289"/>
      <c r="R120" s="289"/>
      <c r="S120" s="306">
        <f>R120-M120</f>
        <v>0</v>
      </c>
      <c r="T120" s="270"/>
      <c r="U120" s="289"/>
    </row>
    <row r="121" spans="1:21" customHeight="1" ht="15">
      <c r="A121" s="280"/>
      <c r="B121" s="280"/>
      <c r="C121" s="280"/>
      <c r="D121" s="280"/>
      <c r="E121" s="280"/>
      <c r="F121" s="280"/>
      <c r="G121" s="280"/>
      <c r="H121" s="282"/>
      <c r="I121" s="283"/>
      <c r="J121" s="282"/>
      <c r="K121" s="284"/>
      <c r="L121" s="285">
        <f>K121+O121</f>
        <v>0</v>
      </c>
      <c r="M121" s="285"/>
      <c r="N121" s="286">
        <f>(M121-K121)</f>
        <v>0</v>
      </c>
      <c r="O121" s="287"/>
      <c r="P121" s="286">
        <v>0.0</v>
      </c>
      <c r="Q121" s="289"/>
      <c r="R121" s="289"/>
      <c r="S121" s="306">
        <f>R121-M121</f>
        <v>0</v>
      </c>
      <c r="T121" s="270"/>
      <c r="U121" s="289"/>
    </row>
    <row r="122" spans="1:21" customHeight="1" ht="15">
      <c r="A122" s="280"/>
      <c r="B122" s="280"/>
      <c r="C122" s="280"/>
      <c r="D122" s="280"/>
      <c r="E122" s="280"/>
      <c r="F122" s="280"/>
      <c r="G122" s="280"/>
      <c r="H122" s="282"/>
      <c r="I122" s="283"/>
      <c r="J122" s="282"/>
      <c r="K122" s="284"/>
      <c r="L122" s="285">
        <f>K122+O122</f>
        <v>0</v>
      </c>
      <c r="M122" s="285"/>
      <c r="N122" s="286">
        <f>(M122-K122)</f>
        <v>0</v>
      </c>
      <c r="O122" s="287"/>
      <c r="P122" s="286">
        <v>0.0</v>
      </c>
      <c r="Q122" s="289"/>
      <c r="R122" s="289"/>
      <c r="S122" s="306">
        <f>R122-M122</f>
        <v>0</v>
      </c>
      <c r="T122" s="270"/>
      <c r="U122" s="289"/>
    </row>
    <row r="123" spans="1:21" customHeight="1" ht="15">
      <c r="A123" s="280"/>
      <c r="B123" s="280"/>
      <c r="C123" s="280"/>
      <c r="D123" s="280"/>
      <c r="E123" s="280"/>
      <c r="F123" s="280"/>
      <c r="G123" s="280"/>
      <c r="H123" s="282"/>
      <c r="I123" s="283"/>
      <c r="J123" s="282"/>
      <c r="K123" s="284"/>
      <c r="L123" s="285">
        <f>K123+O123</f>
        <v>0</v>
      </c>
      <c r="M123" s="285"/>
      <c r="N123" s="286">
        <f>(M123-K123)</f>
        <v>0</v>
      </c>
      <c r="O123" s="287"/>
      <c r="P123" s="286">
        <v>0.0</v>
      </c>
      <c r="Q123" s="289"/>
      <c r="R123" s="289"/>
      <c r="S123" s="306">
        <f>R123-M123</f>
        <v>0</v>
      </c>
      <c r="T123" s="270"/>
      <c r="U123" s="289"/>
    </row>
    <row r="124" spans="1:21" customHeight="1" ht="15">
      <c r="A124" s="280"/>
      <c r="B124" s="280"/>
      <c r="C124" s="280"/>
      <c r="D124" s="280"/>
      <c r="E124" s="280"/>
      <c r="F124" s="280"/>
      <c r="G124" s="280"/>
      <c r="H124" s="282"/>
      <c r="I124" s="283"/>
      <c r="J124" s="282"/>
      <c r="K124" s="284"/>
      <c r="L124" s="285">
        <f>K124+O124</f>
        <v>0</v>
      </c>
      <c r="M124" s="285"/>
      <c r="N124" s="286">
        <f>(M124-K124)</f>
        <v>0</v>
      </c>
      <c r="O124" s="287"/>
      <c r="P124" s="286">
        <v>0.0</v>
      </c>
      <c r="Q124" s="289"/>
      <c r="R124" s="289"/>
      <c r="S124" s="306">
        <f>R124-M124</f>
        <v>0</v>
      </c>
      <c r="T124" s="270"/>
      <c r="U124" s="289"/>
    </row>
    <row r="125" spans="1:21" customHeight="1" ht="15">
      <c r="A125" s="280"/>
      <c r="B125" s="280"/>
      <c r="C125" s="280"/>
      <c r="D125" s="280"/>
      <c r="E125" s="280"/>
      <c r="F125" s="280"/>
      <c r="G125" s="280"/>
      <c r="H125" s="282"/>
      <c r="I125" s="283"/>
      <c r="J125" s="282"/>
      <c r="K125" s="284"/>
      <c r="L125" s="285">
        <f>K125+O125</f>
        <v>0</v>
      </c>
      <c r="M125" s="285"/>
      <c r="N125" s="286">
        <f>(M125-K125)</f>
        <v>0</v>
      </c>
      <c r="O125" s="287"/>
      <c r="P125" s="286">
        <v>0.0</v>
      </c>
      <c r="Q125" s="289"/>
      <c r="R125" s="289"/>
      <c r="S125" s="306">
        <f>R125-M125</f>
        <v>0</v>
      </c>
      <c r="T125" s="270"/>
      <c r="U125" s="289"/>
    </row>
    <row r="126" spans="1:21" customHeight="1" ht="15">
      <c r="A126" s="280"/>
      <c r="B126" s="280"/>
      <c r="C126" s="280"/>
      <c r="D126" s="280"/>
      <c r="E126" s="280"/>
      <c r="F126" s="280"/>
      <c r="G126" s="280"/>
      <c r="H126" s="282"/>
      <c r="I126" s="283"/>
      <c r="J126" s="282"/>
      <c r="K126" s="284"/>
      <c r="L126" s="285">
        <f>K126+O126</f>
        <v>0</v>
      </c>
      <c r="M126" s="285"/>
      <c r="N126" s="286">
        <f>(M126-K126)</f>
        <v>0</v>
      </c>
      <c r="O126" s="287"/>
      <c r="P126" s="286">
        <v>0.0</v>
      </c>
      <c r="Q126" s="289"/>
      <c r="R126" s="289"/>
      <c r="S126" s="306">
        <f>R126-M126</f>
        <v>0</v>
      </c>
      <c r="T126" s="270"/>
      <c r="U126" s="289"/>
    </row>
    <row r="127" spans="1:21" customHeight="1" ht="15">
      <c r="A127" s="280"/>
      <c r="B127" s="280"/>
      <c r="C127" s="280"/>
      <c r="D127" s="280"/>
      <c r="E127" s="280"/>
      <c r="F127" s="280"/>
      <c r="G127" s="280"/>
      <c r="H127" s="282"/>
      <c r="I127" s="283"/>
      <c r="J127" s="282"/>
      <c r="K127" s="284"/>
      <c r="L127" s="285">
        <f>K127+O127</f>
        <v>0</v>
      </c>
      <c r="M127" s="285"/>
      <c r="N127" s="286">
        <f>(M127-K127)</f>
        <v>0</v>
      </c>
      <c r="O127" s="287"/>
      <c r="P127" s="286">
        <v>0.0</v>
      </c>
      <c r="Q127" s="289"/>
      <c r="R127" s="289"/>
      <c r="S127" s="306">
        <f>R127-M127</f>
        <v>0</v>
      </c>
      <c r="T127" s="270"/>
      <c r="U127" s="289"/>
    </row>
    <row r="128" spans="1:21" customHeight="1" ht="15">
      <c r="A128" s="280"/>
      <c r="B128" s="280"/>
      <c r="C128" s="280"/>
      <c r="D128" s="280"/>
      <c r="E128" s="280"/>
      <c r="F128" s="280"/>
      <c r="G128" s="280"/>
      <c r="H128" s="282"/>
      <c r="I128" s="283"/>
      <c r="J128" s="282"/>
      <c r="K128" s="284"/>
      <c r="L128" s="285">
        <f>K128+O128</f>
        <v>0</v>
      </c>
      <c r="M128" s="285"/>
      <c r="N128" s="286">
        <f>(M128-K128)</f>
        <v>0</v>
      </c>
      <c r="O128" s="287"/>
      <c r="P128" s="286">
        <v>0.0</v>
      </c>
      <c r="Q128" s="289"/>
      <c r="R128" s="289"/>
      <c r="S128" s="306">
        <f>R128-M128</f>
        <v>0</v>
      </c>
      <c r="T128" s="270"/>
      <c r="U128" s="289"/>
    </row>
    <row r="129" spans="1:21" customHeight="1" ht="15">
      <c r="A129" s="280"/>
      <c r="B129" s="280"/>
      <c r="C129" s="280"/>
      <c r="D129" s="280"/>
      <c r="E129" s="280"/>
      <c r="F129" s="280"/>
      <c r="G129" s="280"/>
      <c r="H129" s="282"/>
      <c r="I129" s="283"/>
      <c r="J129" s="282"/>
      <c r="K129" s="284"/>
      <c r="L129" s="285">
        <f>K129+O129</f>
        <v>0</v>
      </c>
      <c r="M129" s="285"/>
      <c r="N129" s="286">
        <f>(M129-K129)</f>
        <v>0</v>
      </c>
      <c r="O129" s="287"/>
      <c r="P129" s="286">
        <v>0.0</v>
      </c>
      <c r="Q129" s="289"/>
      <c r="R129" s="289"/>
      <c r="S129" s="306">
        <f>R129-M129</f>
        <v>0</v>
      </c>
      <c r="T129" s="270"/>
      <c r="U129" s="289"/>
    </row>
    <row r="130" spans="1:21" customHeight="1" ht="15">
      <c r="A130" s="280"/>
      <c r="B130" s="280"/>
      <c r="C130" s="280"/>
      <c r="D130" s="280"/>
      <c r="E130" s="280"/>
      <c r="F130" s="280"/>
      <c r="G130" s="280"/>
      <c r="H130" s="282"/>
      <c r="I130" s="283"/>
      <c r="J130" s="282"/>
      <c r="K130" s="284"/>
      <c r="L130" s="285">
        <f>K130+O130</f>
        <v>0</v>
      </c>
      <c r="M130" s="285"/>
      <c r="N130" s="286">
        <f>(M130-K130)</f>
        <v>0</v>
      </c>
      <c r="O130" s="287"/>
      <c r="P130" s="286">
        <v>0.0</v>
      </c>
      <c r="Q130" s="289"/>
      <c r="R130" s="289"/>
      <c r="S130" s="306">
        <f>R130-M130</f>
        <v>0</v>
      </c>
      <c r="T130" s="270"/>
      <c r="U130" s="289"/>
    </row>
    <row r="131" spans="1:21" customHeight="1" ht="15">
      <c r="A131" s="280"/>
      <c r="B131" s="280"/>
      <c r="C131" s="280"/>
      <c r="D131" s="280"/>
      <c r="E131" s="280"/>
      <c r="F131" s="280"/>
      <c r="G131" s="280"/>
      <c r="H131" s="282"/>
      <c r="I131" s="283"/>
      <c r="J131" s="282"/>
      <c r="K131" s="284"/>
      <c r="L131" s="285">
        <f>K131+O131</f>
        <v>0</v>
      </c>
      <c r="M131" s="285"/>
      <c r="N131" s="286">
        <f>(M131-K131)</f>
        <v>0</v>
      </c>
      <c r="O131" s="287"/>
      <c r="P131" s="286">
        <v>0.0</v>
      </c>
      <c r="Q131" s="289"/>
      <c r="R131" s="289"/>
      <c r="S131" s="306">
        <f>R131-M131</f>
        <v>0</v>
      </c>
      <c r="T131" s="270"/>
      <c r="U131" s="289"/>
    </row>
    <row r="132" spans="1:21" customHeight="1" ht="15">
      <c r="A132" s="280"/>
      <c r="B132" s="280"/>
      <c r="C132" s="280"/>
      <c r="D132" s="280"/>
      <c r="E132" s="280"/>
      <c r="F132" s="280"/>
      <c r="G132" s="280"/>
      <c r="H132" s="282"/>
      <c r="I132" s="283"/>
      <c r="J132" s="282"/>
      <c r="K132" s="284"/>
      <c r="L132" s="285">
        <f>K132+O132</f>
        <v>0</v>
      </c>
      <c r="M132" s="285"/>
      <c r="N132" s="286">
        <f>(M132-K132)</f>
        <v>0</v>
      </c>
      <c r="O132" s="287"/>
      <c r="P132" s="286">
        <v>0.0</v>
      </c>
      <c r="Q132" s="289"/>
      <c r="R132" s="289"/>
      <c r="S132" s="306">
        <f>R132-M132</f>
        <v>0</v>
      </c>
      <c r="T132" s="270"/>
      <c r="U132" s="289"/>
    </row>
    <row r="133" spans="1:21" customHeight="1" ht="15">
      <c r="A133" s="280"/>
      <c r="B133" s="280"/>
      <c r="C133" s="280"/>
      <c r="D133" s="280"/>
      <c r="E133" s="280"/>
      <c r="F133" s="280"/>
      <c r="G133" s="280"/>
      <c r="H133" s="282"/>
      <c r="I133" s="283"/>
      <c r="J133" s="282"/>
      <c r="K133" s="284"/>
      <c r="L133" s="285">
        <f>K133+O133</f>
        <v>0</v>
      </c>
      <c r="M133" s="285"/>
      <c r="N133" s="286">
        <f>(M133-K133)</f>
        <v>0</v>
      </c>
      <c r="O133" s="287"/>
      <c r="P133" s="286">
        <v>0.0</v>
      </c>
      <c r="Q133" s="289"/>
      <c r="R133" s="289"/>
      <c r="S133" s="306">
        <f>R133-M133</f>
        <v>0</v>
      </c>
      <c r="T133" s="270"/>
      <c r="U133" s="289"/>
    </row>
    <row r="134" spans="1:21" customHeight="1" ht="15">
      <c r="A134" s="280"/>
      <c r="B134" s="280"/>
      <c r="C134" s="280"/>
      <c r="D134" s="280"/>
      <c r="E134" s="280"/>
      <c r="F134" s="280"/>
      <c r="G134" s="280"/>
      <c r="H134" s="282"/>
      <c r="I134" s="283"/>
      <c r="J134" s="282"/>
      <c r="K134" s="284"/>
      <c r="L134" s="285">
        <f>K134+O134</f>
        <v>0</v>
      </c>
      <c r="M134" s="285"/>
      <c r="N134" s="286">
        <f>(M134-K134)</f>
        <v>0</v>
      </c>
      <c r="O134" s="287"/>
      <c r="P134" s="286">
        <v>0.0</v>
      </c>
      <c r="Q134" s="289"/>
      <c r="R134" s="289"/>
      <c r="S134" s="306">
        <f>R134-M134</f>
        <v>0</v>
      </c>
      <c r="T134" s="270"/>
      <c r="U134" s="289"/>
    </row>
    <row r="135" spans="1:21" customHeight="1" ht="15">
      <c r="A135" s="280"/>
      <c r="B135" s="280"/>
      <c r="C135" s="280"/>
      <c r="D135" s="280"/>
      <c r="E135" s="280"/>
      <c r="F135" s="280"/>
      <c r="G135" s="280"/>
      <c r="H135" s="282"/>
      <c r="I135" s="283"/>
      <c r="J135" s="282"/>
      <c r="K135" s="284"/>
      <c r="L135" s="285">
        <f>K135+O135</f>
        <v>0</v>
      </c>
      <c r="M135" s="285"/>
      <c r="N135" s="286">
        <f>(M135-K135)</f>
        <v>0</v>
      </c>
      <c r="O135" s="287"/>
      <c r="P135" s="286">
        <v>0.0</v>
      </c>
      <c r="Q135" s="289"/>
      <c r="R135" s="289"/>
      <c r="S135" s="306">
        <f>R135-M135</f>
        <v>0</v>
      </c>
      <c r="T135" s="270"/>
      <c r="U135" s="289"/>
    </row>
    <row r="136" spans="1:21" customHeight="1" ht="15">
      <c r="A136" s="280"/>
      <c r="B136" s="280"/>
      <c r="C136" s="280"/>
      <c r="D136" s="280"/>
      <c r="E136" s="280"/>
      <c r="F136" s="280"/>
      <c r="G136" s="280"/>
      <c r="H136" s="282"/>
      <c r="I136" s="283"/>
      <c r="J136" s="282"/>
      <c r="K136" s="284"/>
      <c r="L136" s="285">
        <f>K136+O136</f>
        <v>0</v>
      </c>
      <c r="M136" s="285"/>
      <c r="N136" s="286">
        <f>(M136-K136)</f>
        <v>0</v>
      </c>
      <c r="O136" s="287"/>
      <c r="P136" s="286">
        <v>0.0</v>
      </c>
      <c r="Q136" s="289"/>
      <c r="R136" s="289"/>
      <c r="S136" s="306">
        <f>R136-M136</f>
        <v>0</v>
      </c>
      <c r="T136" s="270"/>
      <c r="U136" s="289"/>
    </row>
    <row r="137" spans="1:21" customHeight="1" ht="15">
      <c r="A137" s="280"/>
      <c r="B137" s="280"/>
      <c r="C137" s="280"/>
      <c r="D137" s="280"/>
      <c r="E137" s="280"/>
      <c r="F137" s="280"/>
      <c r="G137" s="280"/>
      <c r="H137" s="282"/>
      <c r="I137" s="283"/>
      <c r="J137" s="282"/>
      <c r="K137" s="284"/>
      <c r="L137" s="285">
        <f>K137+O137</f>
        <v>0</v>
      </c>
      <c r="M137" s="285"/>
      <c r="N137" s="286">
        <f>(M137-K137)</f>
        <v>0</v>
      </c>
      <c r="O137" s="287"/>
      <c r="P137" s="286">
        <v>0.0</v>
      </c>
      <c r="Q137" s="289"/>
      <c r="R137" s="289"/>
      <c r="S137" s="306">
        <f>R137-M137</f>
        <v>0</v>
      </c>
      <c r="T137" s="270"/>
      <c r="U137" s="289"/>
    </row>
    <row r="138" spans="1:21" customHeight="1" ht="15">
      <c r="A138" s="280"/>
      <c r="B138" s="280"/>
      <c r="C138" s="280"/>
      <c r="D138" s="280"/>
      <c r="E138" s="280"/>
      <c r="F138" s="280"/>
      <c r="G138" s="280"/>
      <c r="H138" s="282"/>
      <c r="I138" s="283"/>
      <c r="J138" s="282"/>
      <c r="K138" s="284"/>
      <c r="L138" s="285">
        <f>K138+O138</f>
        <v>0</v>
      </c>
      <c r="M138" s="285"/>
      <c r="N138" s="286">
        <f>(M138-K138)</f>
        <v>0</v>
      </c>
      <c r="O138" s="287"/>
      <c r="P138" s="286">
        <v>0.0</v>
      </c>
      <c r="Q138" s="289"/>
      <c r="R138" s="289"/>
      <c r="S138" s="306">
        <f>R138-M138</f>
        <v>0</v>
      </c>
      <c r="T138" s="270"/>
      <c r="U138" s="289"/>
    </row>
    <row r="139" spans="1:21" customHeight="1" ht="15">
      <c r="A139" s="280"/>
      <c r="B139" s="280"/>
      <c r="C139" s="280"/>
      <c r="D139" s="280"/>
      <c r="E139" s="280"/>
      <c r="F139" s="280"/>
      <c r="G139" s="280"/>
      <c r="H139" s="282"/>
      <c r="I139" s="283"/>
      <c r="J139" s="282"/>
      <c r="K139" s="284"/>
      <c r="L139" s="285">
        <f>K139+O139</f>
        <v>0</v>
      </c>
      <c r="M139" s="285"/>
      <c r="N139" s="286">
        <f>(M139-K139)</f>
        <v>0</v>
      </c>
      <c r="O139" s="287"/>
      <c r="P139" s="286">
        <v>0.0</v>
      </c>
      <c r="Q139" s="289"/>
      <c r="R139" s="289"/>
      <c r="S139" s="306">
        <f>R139-M139</f>
        <v>0</v>
      </c>
      <c r="T139" s="270"/>
      <c r="U139" s="289"/>
    </row>
    <row r="140" spans="1:21" customHeight="1" ht="15">
      <c r="A140" s="280"/>
      <c r="B140" s="280"/>
      <c r="C140" s="280"/>
      <c r="D140" s="280"/>
      <c r="E140" s="280"/>
      <c r="F140" s="280"/>
      <c r="G140" s="280"/>
      <c r="H140" s="282"/>
      <c r="I140" s="283"/>
      <c r="J140" s="282"/>
      <c r="K140" s="284"/>
      <c r="L140" s="285">
        <f>K140+O140</f>
        <v>0</v>
      </c>
      <c r="M140" s="285"/>
      <c r="N140" s="286">
        <f>(M140-K140)</f>
        <v>0</v>
      </c>
      <c r="O140" s="287"/>
      <c r="P140" s="286">
        <v>0.0</v>
      </c>
      <c r="Q140" s="289"/>
      <c r="R140" s="289"/>
      <c r="S140" s="306">
        <f>R140-M140</f>
        <v>0</v>
      </c>
      <c r="T140" s="270"/>
      <c r="U140" s="289"/>
    </row>
    <row r="141" spans="1:21" customHeight="1" ht="15">
      <c r="A141" s="280"/>
      <c r="B141" s="280"/>
      <c r="C141" s="280"/>
      <c r="D141" s="280"/>
      <c r="E141" s="280"/>
      <c r="F141" s="280"/>
      <c r="G141" s="280"/>
      <c r="H141" s="282"/>
      <c r="I141" s="283"/>
      <c r="J141" s="282"/>
      <c r="K141" s="284"/>
      <c r="L141" s="285">
        <f>K141+O141</f>
        <v>0</v>
      </c>
      <c r="M141" s="285"/>
      <c r="N141" s="286">
        <f>(M141-K141)</f>
        <v>0</v>
      </c>
      <c r="O141" s="287"/>
      <c r="P141" s="286">
        <v>0.0</v>
      </c>
      <c r="Q141" s="289"/>
      <c r="R141" s="289"/>
      <c r="S141" s="306">
        <f>R141-M141</f>
        <v>0</v>
      </c>
      <c r="T141" s="270"/>
      <c r="U141" s="289"/>
    </row>
    <row r="142" spans="1:21" customHeight="1" ht="15">
      <c r="A142" s="280"/>
      <c r="B142" s="280"/>
      <c r="C142" s="280"/>
      <c r="D142" s="280"/>
      <c r="E142" s="280"/>
      <c r="F142" s="280"/>
      <c r="G142" s="280"/>
      <c r="H142" s="282"/>
      <c r="I142" s="283"/>
      <c r="J142" s="282"/>
      <c r="K142" s="284"/>
      <c r="L142" s="285">
        <f>K142+O142</f>
        <v>0</v>
      </c>
      <c r="M142" s="285"/>
      <c r="N142" s="286">
        <f>(M142-K142)</f>
        <v>0</v>
      </c>
      <c r="O142" s="287"/>
      <c r="P142" s="286">
        <v>0.0</v>
      </c>
      <c r="Q142" s="289"/>
      <c r="R142" s="289"/>
      <c r="S142" s="306">
        <f>R142-M142</f>
        <v>0</v>
      </c>
      <c r="T142" s="270"/>
      <c r="U142" s="289"/>
    </row>
    <row r="143" spans="1:21" customHeight="1" ht="15">
      <c r="A143" s="280"/>
      <c r="B143" s="280"/>
      <c r="C143" s="280"/>
      <c r="D143" s="280"/>
      <c r="E143" s="280"/>
      <c r="F143" s="280"/>
      <c r="G143" s="280"/>
      <c r="H143" s="282"/>
      <c r="I143" s="283"/>
      <c r="J143" s="282"/>
      <c r="K143" s="284"/>
      <c r="L143" s="285">
        <f>K143+O143</f>
        <v>0</v>
      </c>
      <c r="M143" s="285"/>
      <c r="N143" s="286">
        <f>(M143-K143)</f>
        <v>0</v>
      </c>
      <c r="O143" s="287"/>
      <c r="P143" s="286">
        <v>0.0</v>
      </c>
      <c r="Q143" s="289"/>
      <c r="R143" s="289"/>
      <c r="S143" s="306">
        <f>R143-M143</f>
        <v>0</v>
      </c>
      <c r="T143" s="270"/>
      <c r="U143" s="289"/>
    </row>
    <row r="144" spans="1:21" customHeight="1" ht="15">
      <c r="A144" s="280"/>
      <c r="B144" s="280"/>
      <c r="C144" s="280"/>
      <c r="D144" s="280"/>
      <c r="E144" s="280"/>
      <c r="F144" s="280"/>
      <c r="G144" s="280"/>
      <c r="H144" s="282"/>
      <c r="I144" s="283"/>
      <c r="J144" s="282"/>
      <c r="K144" s="284"/>
      <c r="L144" s="285">
        <f>K144+O144</f>
        <v>0</v>
      </c>
      <c r="M144" s="285"/>
      <c r="N144" s="286">
        <f>(M144-K144)</f>
        <v>0</v>
      </c>
      <c r="O144" s="287"/>
      <c r="P144" s="286">
        <v>0.0</v>
      </c>
      <c r="Q144" s="289"/>
      <c r="R144" s="289"/>
      <c r="S144" s="306">
        <f>R144-M144</f>
        <v>0</v>
      </c>
      <c r="T144" s="270"/>
      <c r="U144" s="289"/>
    </row>
    <row r="145" spans="1:21" customHeight="1" ht="15">
      <c r="A145" s="280"/>
      <c r="B145" s="280"/>
      <c r="C145" s="280"/>
      <c r="D145" s="280"/>
      <c r="E145" s="280"/>
      <c r="F145" s="280"/>
      <c r="G145" s="280"/>
      <c r="H145" s="282"/>
      <c r="I145" s="283"/>
      <c r="J145" s="282"/>
      <c r="K145" s="284"/>
      <c r="L145" s="285">
        <f>K145+O145</f>
        <v>0</v>
      </c>
      <c r="M145" s="285"/>
      <c r="N145" s="286">
        <f>(M145-K145)</f>
        <v>0</v>
      </c>
      <c r="O145" s="287"/>
      <c r="P145" s="286">
        <v>0.0</v>
      </c>
      <c r="Q145" s="289"/>
      <c r="R145" s="289"/>
      <c r="S145" s="306">
        <f>R145-M145</f>
        <v>0</v>
      </c>
      <c r="T145" s="270"/>
      <c r="U145" s="289"/>
    </row>
    <row r="146" spans="1:21" customHeight="1" ht="15">
      <c r="A146" s="280"/>
      <c r="B146" s="280"/>
      <c r="C146" s="280"/>
      <c r="D146" s="280"/>
      <c r="E146" s="280"/>
      <c r="F146" s="280"/>
      <c r="G146" s="280"/>
      <c r="H146" s="282"/>
      <c r="I146" s="283"/>
      <c r="J146" s="282"/>
      <c r="K146" s="284"/>
      <c r="L146" s="285">
        <f>K146+O146</f>
        <v>0</v>
      </c>
      <c r="M146" s="285"/>
      <c r="N146" s="286">
        <f>(M146-K146)</f>
        <v>0</v>
      </c>
      <c r="O146" s="287"/>
      <c r="P146" s="286">
        <v>0.0</v>
      </c>
      <c r="Q146" s="289"/>
      <c r="R146" s="289"/>
      <c r="S146" s="306">
        <f>R146-M146</f>
        <v>0</v>
      </c>
      <c r="T146" s="270"/>
      <c r="U146" s="289"/>
    </row>
    <row r="147" spans="1:21" customHeight="1" ht="15">
      <c r="A147" s="280"/>
      <c r="B147" s="280"/>
      <c r="C147" s="280"/>
      <c r="D147" s="280"/>
      <c r="E147" s="280"/>
      <c r="F147" s="280"/>
      <c r="G147" s="280"/>
      <c r="H147" s="282"/>
      <c r="I147" s="283"/>
      <c r="J147" s="282"/>
      <c r="K147" s="284"/>
      <c r="L147" s="285">
        <f>K147+O147</f>
        <v>0</v>
      </c>
      <c r="M147" s="285"/>
      <c r="N147" s="286">
        <f>(M147-K147)</f>
        <v>0</v>
      </c>
      <c r="O147" s="287"/>
      <c r="P147" s="286">
        <v>0.0</v>
      </c>
      <c r="Q147" s="289"/>
      <c r="R147" s="289"/>
      <c r="S147" s="306">
        <f>R147-M147</f>
        <v>0</v>
      </c>
      <c r="T147" s="270"/>
      <c r="U147" s="289"/>
    </row>
    <row r="148" spans="1:21" customHeight="1" ht="15">
      <c r="A148" s="280"/>
      <c r="B148" s="280"/>
      <c r="C148" s="280"/>
      <c r="D148" s="280"/>
      <c r="E148" s="280"/>
      <c r="F148" s="280"/>
      <c r="G148" s="280"/>
      <c r="H148" s="282"/>
      <c r="I148" s="283"/>
      <c r="J148" s="282"/>
      <c r="K148" s="284"/>
      <c r="L148" s="285">
        <f>K148+O148</f>
        <v>0</v>
      </c>
      <c r="M148" s="285"/>
      <c r="N148" s="286">
        <f>(M148-K148)</f>
        <v>0</v>
      </c>
      <c r="O148" s="287"/>
      <c r="P148" s="286">
        <v>0.0</v>
      </c>
      <c r="Q148" s="289"/>
      <c r="R148" s="289"/>
      <c r="S148" s="306">
        <f>R148-M148</f>
        <v>0</v>
      </c>
      <c r="T148" s="270"/>
      <c r="U148" s="289"/>
    </row>
    <row r="149" spans="1:21" customHeight="1" ht="15">
      <c r="A149" s="280"/>
      <c r="B149" s="280"/>
      <c r="C149" s="280"/>
      <c r="D149" s="280"/>
      <c r="E149" s="280"/>
      <c r="F149" s="280"/>
      <c r="G149" s="280"/>
      <c r="H149" s="282"/>
      <c r="I149" s="283"/>
      <c r="J149" s="282"/>
      <c r="K149" s="284"/>
      <c r="L149" s="285">
        <f>K149+O149</f>
        <v>0</v>
      </c>
      <c r="M149" s="285"/>
      <c r="N149" s="286">
        <f>(M149-K149)</f>
        <v>0</v>
      </c>
      <c r="O149" s="287"/>
      <c r="P149" s="286">
        <v>0.0</v>
      </c>
      <c r="Q149" s="289"/>
      <c r="R149" s="289"/>
      <c r="S149" s="306">
        <f>R149-M149</f>
        <v>0</v>
      </c>
      <c r="T149" s="270"/>
      <c r="U149" s="289"/>
    </row>
    <row r="150" spans="1:21" customHeight="1" ht="15">
      <c r="A150" s="280"/>
      <c r="B150" s="280"/>
      <c r="C150" s="280"/>
      <c r="D150" s="280"/>
      <c r="E150" s="280"/>
      <c r="F150" s="280"/>
      <c r="G150" s="280"/>
      <c r="H150" s="282"/>
      <c r="I150" s="283"/>
      <c r="J150" s="282"/>
      <c r="K150" s="284"/>
      <c r="L150" s="285">
        <f>K150+O150</f>
        <v>0</v>
      </c>
      <c r="M150" s="285"/>
      <c r="N150" s="286">
        <f>(M150-K150)</f>
        <v>0</v>
      </c>
      <c r="O150" s="287"/>
      <c r="P150" s="286">
        <v>0.0</v>
      </c>
      <c r="Q150" s="289"/>
      <c r="R150" s="289"/>
      <c r="S150" s="306">
        <f>R150-M150</f>
        <v>0</v>
      </c>
      <c r="T150" s="270"/>
      <c r="U150" s="289"/>
    </row>
    <row r="151" spans="1:21" customHeight="1" ht="15">
      <c r="A151" s="280"/>
      <c r="B151" s="280"/>
      <c r="C151" s="280"/>
      <c r="D151" s="280"/>
      <c r="E151" s="280"/>
      <c r="F151" s="280"/>
      <c r="G151" s="280"/>
      <c r="H151" s="282"/>
      <c r="I151" s="283"/>
      <c r="J151" s="282"/>
      <c r="K151" s="284"/>
      <c r="L151" s="285">
        <f>K151+O151</f>
        <v>0</v>
      </c>
      <c r="M151" s="285"/>
      <c r="N151" s="286">
        <f>(M151-K151)</f>
        <v>0</v>
      </c>
      <c r="O151" s="287"/>
      <c r="P151" s="286">
        <v>0.0</v>
      </c>
      <c r="Q151" s="289"/>
      <c r="R151" s="289"/>
      <c r="S151" s="306">
        <f>R151-M151</f>
        <v>0</v>
      </c>
      <c r="T151" s="270"/>
      <c r="U151" s="289"/>
    </row>
    <row r="152" spans="1:21" customHeight="1" ht="15">
      <c r="A152" s="280"/>
      <c r="B152" s="280"/>
      <c r="C152" s="280"/>
      <c r="D152" s="280"/>
      <c r="E152" s="280"/>
      <c r="F152" s="280"/>
      <c r="G152" s="280"/>
      <c r="H152" s="282"/>
      <c r="I152" s="283"/>
      <c r="J152" s="282"/>
      <c r="K152" s="284"/>
      <c r="L152" s="285">
        <f>K152+O152</f>
        <v>0</v>
      </c>
      <c r="M152" s="285"/>
      <c r="N152" s="286">
        <f>(M152-K152)</f>
        <v>0</v>
      </c>
      <c r="O152" s="287"/>
      <c r="P152" s="286">
        <v>0.0</v>
      </c>
      <c r="Q152" s="289"/>
      <c r="R152" s="289"/>
      <c r="S152" s="306">
        <f>R152-M152</f>
        <v>0</v>
      </c>
      <c r="T152" s="270"/>
      <c r="U152" s="289"/>
    </row>
    <row r="153" spans="1:21" customHeight="1" ht="15">
      <c r="A153" s="280"/>
      <c r="B153" s="280"/>
      <c r="C153" s="280"/>
      <c r="D153" s="280"/>
      <c r="E153" s="280"/>
      <c r="F153" s="280"/>
      <c r="G153" s="280"/>
      <c r="H153" s="282"/>
      <c r="I153" s="283"/>
      <c r="J153" s="282"/>
      <c r="K153" s="284"/>
      <c r="L153" s="285">
        <f>K153+O153</f>
        <v>0</v>
      </c>
      <c r="M153" s="285"/>
      <c r="N153" s="286">
        <f>(M153-K153)</f>
        <v>0</v>
      </c>
      <c r="O153" s="287"/>
      <c r="P153" s="286">
        <v>0.0</v>
      </c>
      <c r="Q153" s="289"/>
      <c r="R153" s="289"/>
      <c r="S153" s="306">
        <f>R153-M153</f>
        <v>0</v>
      </c>
      <c r="T153" s="270"/>
      <c r="U153" s="289"/>
    </row>
    <row r="154" spans="1:21" customHeight="1" ht="15">
      <c r="A154" s="280"/>
      <c r="B154" s="280"/>
      <c r="C154" s="280"/>
      <c r="D154" s="280"/>
      <c r="E154" s="280"/>
      <c r="F154" s="280"/>
      <c r="G154" s="280"/>
      <c r="H154" s="282"/>
      <c r="I154" s="283"/>
      <c r="J154" s="282"/>
      <c r="K154" s="284"/>
      <c r="L154" s="285">
        <f>K154+O154</f>
        <v>0</v>
      </c>
      <c r="M154" s="285"/>
      <c r="N154" s="286">
        <f>(M154-K154)</f>
        <v>0</v>
      </c>
      <c r="O154" s="287"/>
      <c r="P154" s="286">
        <v>0.0</v>
      </c>
      <c r="Q154" s="289"/>
      <c r="R154" s="289"/>
      <c r="S154" s="306">
        <f>R154-M154</f>
        <v>0</v>
      </c>
      <c r="T154" s="270"/>
      <c r="U154" s="289"/>
    </row>
    <row r="155" spans="1:21" customHeight="1" ht="15">
      <c r="A155" s="280"/>
      <c r="B155" s="280"/>
      <c r="C155" s="280"/>
      <c r="D155" s="280"/>
      <c r="E155" s="280"/>
      <c r="F155" s="280"/>
      <c r="G155" s="280"/>
      <c r="H155" s="282"/>
      <c r="I155" s="283"/>
      <c r="J155" s="282"/>
      <c r="K155" s="284"/>
      <c r="L155" s="285">
        <f>K155+O155</f>
        <v>0</v>
      </c>
      <c r="M155" s="285"/>
      <c r="N155" s="286">
        <f>(M155-K155)</f>
        <v>0</v>
      </c>
      <c r="O155" s="287"/>
      <c r="P155" s="286">
        <v>0.0</v>
      </c>
      <c r="Q155" s="289"/>
      <c r="R155" s="289"/>
      <c r="S155" s="306">
        <f>R155-M155</f>
        <v>0</v>
      </c>
      <c r="T155" s="270"/>
      <c r="U155" s="289"/>
    </row>
    <row r="156" spans="1:21" customHeight="1" ht="15">
      <c r="A156" s="280"/>
      <c r="B156" s="280"/>
      <c r="C156" s="280"/>
      <c r="D156" s="280"/>
      <c r="E156" s="280"/>
      <c r="F156" s="280"/>
      <c r="G156" s="280"/>
      <c r="H156" s="282"/>
      <c r="I156" s="283"/>
      <c r="J156" s="282"/>
      <c r="K156" s="284"/>
      <c r="L156" s="285">
        <f>K156+O156</f>
        <v>0</v>
      </c>
      <c r="M156" s="285"/>
      <c r="N156" s="286">
        <f>(M156-K156)</f>
        <v>0</v>
      </c>
      <c r="O156" s="287"/>
      <c r="P156" s="286">
        <v>0.0</v>
      </c>
      <c r="Q156" s="289"/>
      <c r="R156" s="289"/>
      <c r="S156" s="306">
        <f>R156-M156</f>
        <v>0</v>
      </c>
      <c r="T156" s="270"/>
      <c r="U156" s="289"/>
    </row>
    <row r="157" spans="1:21" customHeight="1" ht="15">
      <c r="A157" s="280"/>
      <c r="B157" s="280"/>
      <c r="C157" s="280"/>
      <c r="D157" s="280"/>
      <c r="E157" s="280"/>
      <c r="F157" s="280"/>
      <c r="G157" s="280"/>
      <c r="H157" s="282"/>
      <c r="I157" s="283"/>
      <c r="J157" s="282"/>
      <c r="K157" s="284"/>
      <c r="L157" s="285">
        <f>K157+O157</f>
        <v>0</v>
      </c>
      <c r="M157" s="285"/>
      <c r="N157" s="286">
        <f>(M157-K157)</f>
        <v>0</v>
      </c>
      <c r="O157" s="287"/>
      <c r="P157" s="286">
        <v>0.0</v>
      </c>
      <c r="Q157" s="289"/>
      <c r="R157" s="289"/>
      <c r="S157" s="306">
        <f>R157-M157</f>
        <v>0</v>
      </c>
      <c r="T157" s="270"/>
      <c r="U157" s="289"/>
    </row>
    <row r="158" spans="1:21" customHeight="1" ht="15">
      <c r="A158" s="280"/>
      <c r="B158" s="280"/>
      <c r="C158" s="280"/>
      <c r="D158" s="280"/>
      <c r="E158" s="280"/>
      <c r="F158" s="280"/>
      <c r="G158" s="280"/>
      <c r="H158" s="282"/>
      <c r="I158" s="283"/>
      <c r="J158" s="282"/>
      <c r="K158" s="284"/>
      <c r="L158" s="285">
        <f>K158+O158</f>
        <v>0</v>
      </c>
      <c r="M158" s="285"/>
      <c r="N158" s="286">
        <f>(M158-K158)</f>
        <v>0</v>
      </c>
      <c r="O158" s="287"/>
      <c r="P158" s="286">
        <v>0.0</v>
      </c>
      <c r="Q158" s="289"/>
      <c r="R158" s="289"/>
      <c r="S158" s="306">
        <f>R158-M158</f>
        <v>0</v>
      </c>
      <c r="T158" s="270"/>
      <c r="U158" s="289"/>
    </row>
    <row r="159" spans="1:21" customHeight="1" ht="15">
      <c r="A159" s="280"/>
      <c r="B159" s="280"/>
      <c r="C159" s="280"/>
      <c r="D159" s="280"/>
      <c r="E159" s="280"/>
      <c r="F159" s="280"/>
      <c r="G159" s="280"/>
      <c r="H159" s="282"/>
      <c r="I159" s="283"/>
      <c r="J159" s="282"/>
      <c r="K159" s="284"/>
      <c r="L159" s="285">
        <f>K159+O159</f>
        <v>0</v>
      </c>
      <c r="M159" s="285"/>
      <c r="N159" s="286">
        <f>(M159-K159)</f>
        <v>0</v>
      </c>
      <c r="O159" s="287"/>
      <c r="P159" s="286">
        <v>0.0</v>
      </c>
      <c r="Q159" s="289"/>
      <c r="R159" s="289"/>
      <c r="S159" s="306">
        <f>R159-M159</f>
        <v>0</v>
      </c>
      <c r="T159" s="270"/>
      <c r="U159" s="289"/>
    </row>
    <row r="160" spans="1:21" customHeight="1" ht="15">
      <c r="A160" s="280"/>
      <c r="B160" s="280"/>
      <c r="C160" s="280"/>
      <c r="D160" s="280"/>
      <c r="E160" s="280"/>
      <c r="F160" s="280"/>
      <c r="G160" s="280"/>
      <c r="H160" s="282"/>
      <c r="I160" s="283"/>
      <c r="J160" s="282"/>
      <c r="K160" s="284"/>
      <c r="L160" s="285">
        <f>K160+O160</f>
        <v>0</v>
      </c>
      <c r="M160" s="285"/>
      <c r="N160" s="286">
        <f>(M160-K160)</f>
        <v>0</v>
      </c>
      <c r="O160" s="287"/>
      <c r="P160" s="286">
        <v>0.0</v>
      </c>
      <c r="Q160" s="289"/>
      <c r="R160" s="289"/>
      <c r="S160" s="289"/>
      <c r="T160" s="270"/>
      <c r="U160" s="289"/>
    </row>
    <row r="161" spans="1:21" customHeight="1" ht="15">
      <c r="A161" s="280"/>
      <c r="B161" s="280"/>
      <c r="C161" s="280"/>
      <c r="D161" s="280"/>
      <c r="E161" s="280"/>
      <c r="F161" s="280"/>
      <c r="G161" s="280"/>
      <c r="H161" s="282"/>
      <c r="I161" s="283"/>
      <c r="J161" s="282"/>
      <c r="K161" s="284"/>
      <c r="L161" s="285">
        <f>K161+O161</f>
        <v>0</v>
      </c>
      <c r="M161" s="285"/>
      <c r="N161" s="286">
        <f>(M161-K161)</f>
        <v>0</v>
      </c>
      <c r="O161" s="287"/>
      <c r="P161" s="286">
        <v>0.0</v>
      </c>
      <c r="Q161" s="289"/>
      <c r="R161" s="289"/>
      <c r="S161" s="289"/>
      <c r="T161" s="270"/>
      <c r="U161" s="289"/>
    </row>
    <row r="162" spans="1:21" customHeight="1" ht="15">
      <c r="A162" s="280"/>
      <c r="B162" s="280"/>
      <c r="C162" s="280"/>
      <c r="D162" s="280"/>
      <c r="E162" s="280"/>
      <c r="F162" s="280"/>
      <c r="G162" s="280"/>
      <c r="H162" s="282"/>
      <c r="I162" s="283"/>
      <c r="J162" s="282"/>
      <c r="K162" s="284"/>
      <c r="L162" s="285">
        <f>K162+O162</f>
        <v>0</v>
      </c>
      <c r="M162" s="285"/>
      <c r="N162" s="286">
        <f>(M162-K162)</f>
        <v>0</v>
      </c>
      <c r="O162" s="287"/>
      <c r="P162" s="286">
        <v>0.0</v>
      </c>
      <c r="Q162" s="289"/>
      <c r="R162" s="289"/>
      <c r="S162" s="289"/>
      <c r="T162" s="270"/>
      <c r="U162" s="289"/>
    </row>
    <row r="163" spans="1:21" customHeight="1" ht="15">
      <c r="A163" s="280"/>
      <c r="B163" s="280"/>
      <c r="C163" s="280"/>
      <c r="D163" s="280"/>
      <c r="E163" s="280"/>
      <c r="F163" s="280"/>
      <c r="G163" s="280"/>
      <c r="H163" s="282"/>
      <c r="I163" s="283"/>
      <c r="J163" s="282"/>
      <c r="K163" s="284"/>
      <c r="L163" s="285">
        <f>K163+O163</f>
        <v>0</v>
      </c>
      <c r="M163" s="285"/>
      <c r="N163" s="286">
        <f>(M163-K163)</f>
        <v>0</v>
      </c>
      <c r="O163" s="287"/>
      <c r="P163" s="286">
        <v>0.0</v>
      </c>
      <c r="Q163" s="289"/>
      <c r="R163" s="289"/>
      <c r="S163" s="289"/>
      <c r="T163" s="270"/>
      <c r="U163" s="289"/>
    </row>
    <row r="164" spans="1:21" customHeight="1" ht="15">
      <c r="A164" s="280"/>
      <c r="B164" s="280"/>
      <c r="C164" s="280"/>
      <c r="D164" s="280"/>
      <c r="E164" s="280"/>
      <c r="F164" s="280"/>
      <c r="G164" s="280"/>
      <c r="H164" s="282"/>
      <c r="I164" s="283"/>
      <c r="J164" s="282"/>
      <c r="K164" s="284"/>
      <c r="L164" s="285">
        <f>K164+O164</f>
        <v>0</v>
      </c>
      <c r="M164" s="285"/>
      <c r="N164" s="286">
        <f>(M164-K164)</f>
        <v>0</v>
      </c>
      <c r="O164" s="287"/>
      <c r="P164" s="286">
        <v>0.0</v>
      </c>
      <c r="Q164" s="289"/>
      <c r="R164" s="289"/>
      <c r="S164" s="289"/>
      <c r="T164" s="270"/>
      <c r="U164" s="289"/>
    </row>
    <row r="165" spans="1:21" customHeight="1" ht="15">
      <c r="A165" s="280"/>
      <c r="B165" s="280"/>
      <c r="C165" s="280"/>
      <c r="D165" s="280"/>
      <c r="E165" s="280"/>
      <c r="F165" s="280"/>
      <c r="G165" s="280"/>
      <c r="H165" s="282"/>
      <c r="I165" s="283"/>
      <c r="J165" s="282"/>
      <c r="K165" s="284"/>
      <c r="L165" s="285">
        <f>K165+O165</f>
        <v>0</v>
      </c>
      <c r="M165" s="285"/>
      <c r="N165" s="286">
        <f>(M165-K165)</f>
        <v>0</v>
      </c>
      <c r="O165" s="287"/>
      <c r="P165" s="286">
        <v>0.0</v>
      </c>
      <c r="Q165" s="289"/>
      <c r="R165" s="289"/>
      <c r="S165" s="289"/>
      <c r="T165" s="270"/>
      <c r="U165" s="289"/>
    </row>
    <row r="166" spans="1:21" customHeight="1" ht="15">
      <c r="A166" s="280"/>
      <c r="B166" s="280"/>
      <c r="C166" s="280"/>
      <c r="D166" s="280"/>
      <c r="E166" s="280"/>
      <c r="F166" s="280"/>
      <c r="G166" s="280"/>
      <c r="H166" s="282"/>
      <c r="I166" s="283"/>
      <c r="J166" s="282"/>
      <c r="K166" s="284"/>
      <c r="L166" s="285">
        <f>K166+O166</f>
        <v>0</v>
      </c>
      <c r="M166" s="285"/>
      <c r="N166" s="286">
        <f>(M166-K166)</f>
        <v>0</v>
      </c>
      <c r="O166" s="287"/>
      <c r="P166" s="286">
        <v>0.0</v>
      </c>
      <c r="Q166" s="289"/>
      <c r="R166" s="289"/>
      <c r="S166" s="289"/>
      <c r="T166" s="270"/>
      <c r="U166" s="289"/>
    </row>
    <row r="167" spans="1:21" customHeight="1" ht="15">
      <c r="A167" s="280"/>
      <c r="B167" s="280"/>
      <c r="C167" s="280"/>
      <c r="D167" s="280"/>
      <c r="E167" s="280"/>
      <c r="F167" s="280"/>
      <c r="G167" s="280"/>
      <c r="H167" s="282"/>
      <c r="I167" s="283"/>
      <c r="J167" s="282"/>
      <c r="K167" s="284"/>
      <c r="L167" s="285">
        <f>K167+O167</f>
        <v>0</v>
      </c>
      <c r="M167" s="285"/>
      <c r="N167" s="286">
        <f>(M167-K167)</f>
        <v>0</v>
      </c>
      <c r="O167" s="287"/>
      <c r="P167" s="286">
        <v>0.0</v>
      </c>
      <c r="Q167" s="289"/>
      <c r="R167" s="289"/>
      <c r="S167" s="289"/>
      <c r="T167" s="270"/>
      <c r="U167" s="289"/>
    </row>
    <row r="168" spans="1:21" customHeight="1" ht="15">
      <c r="A168" s="280"/>
      <c r="B168" s="280"/>
      <c r="C168" s="280"/>
      <c r="D168" s="280"/>
      <c r="E168" s="280"/>
      <c r="F168" s="280"/>
      <c r="G168" s="280"/>
      <c r="H168" s="282"/>
      <c r="I168" s="283"/>
      <c r="J168" s="282"/>
      <c r="K168" s="284"/>
      <c r="L168" s="285">
        <f>K168+O168</f>
        <v>0</v>
      </c>
      <c r="M168" s="285"/>
      <c r="N168" s="286">
        <f>(M168-K168)</f>
        <v>0</v>
      </c>
      <c r="O168" s="287"/>
      <c r="P168" s="286">
        <v>0.0</v>
      </c>
      <c r="Q168" s="289"/>
      <c r="R168" s="289"/>
      <c r="S168" s="289"/>
      <c r="T168" s="270"/>
      <c r="U168" s="289"/>
    </row>
    <row r="169" spans="1:21" customHeight="1" ht="15">
      <c r="A169" s="280"/>
      <c r="B169" s="280"/>
      <c r="C169" s="280"/>
      <c r="D169" s="280"/>
      <c r="E169" s="280"/>
      <c r="F169" s="280"/>
      <c r="G169" s="280"/>
      <c r="H169" s="282"/>
      <c r="I169" s="283"/>
      <c r="J169" s="282"/>
      <c r="K169" s="284"/>
      <c r="L169" s="285">
        <f>K169+O169</f>
        <v>0</v>
      </c>
      <c r="M169" s="285"/>
      <c r="N169" s="286">
        <f>(M169-K169)</f>
        <v>0</v>
      </c>
      <c r="O169" s="287"/>
      <c r="P169" s="286">
        <v>0.0</v>
      </c>
      <c r="Q169" s="289"/>
      <c r="R169" s="289"/>
      <c r="S169" s="289"/>
      <c r="T169" s="270"/>
      <c r="U169" s="289"/>
    </row>
    <row r="170" spans="1:21" customHeight="1" ht="15">
      <c r="A170" s="280"/>
      <c r="B170" s="280"/>
      <c r="C170" s="280"/>
      <c r="D170" s="280"/>
      <c r="E170" s="280"/>
      <c r="F170" s="280"/>
      <c r="G170" s="280"/>
      <c r="H170" s="282"/>
      <c r="I170" s="283"/>
      <c r="J170" s="282"/>
      <c r="K170" s="284"/>
      <c r="L170" s="285">
        <f>K170+O170</f>
        <v>0</v>
      </c>
      <c r="M170" s="285"/>
      <c r="N170" s="286">
        <f>(M170-K170)</f>
        <v>0</v>
      </c>
      <c r="O170" s="287"/>
      <c r="P170" s="286">
        <v>0.0</v>
      </c>
      <c r="Q170" s="289"/>
      <c r="R170" s="289"/>
      <c r="S170" s="289"/>
      <c r="T170" s="270"/>
      <c r="U170" s="289"/>
    </row>
    <row r="171" spans="1:21" customHeight="1" ht="15">
      <c r="A171" s="280"/>
      <c r="B171" s="280"/>
      <c r="C171" s="280"/>
      <c r="D171" s="280"/>
      <c r="E171" s="280"/>
      <c r="F171" s="280"/>
      <c r="G171" s="280"/>
      <c r="H171" s="282"/>
      <c r="I171" s="283"/>
      <c r="J171" s="282"/>
      <c r="K171" s="284"/>
      <c r="L171" s="285">
        <f>K171+O171</f>
        <v>0</v>
      </c>
      <c r="M171" s="285"/>
      <c r="N171" s="286">
        <f>(M171-K171)</f>
        <v>0</v>
      </c>
      <c r="O171" s="287"/>
      <c r="P171" s="286">
        <v>0.0</v>
      </c>
      <c r="Q171" s="289"/>
      <c r="R171" s="289"/>
      <c r="S171" s="289"/>
      <c r="T171" s="270"/>
      <c r="U171" s="289"/>
    </row>
    <row r="172" spans="1:21" customHeight="1" ht="15">
      <c r="A172" s="280"/>
      <c r="B172" s="280"/>
      <c r="C172" s="280"/>
      <c r="D172" s="280"/>
      <c r="E172" s="280"/>
      <c r="F172" s="280"/>
      <c r="G172" s="280"/>
      <c r="H172" s="282"/>
      <c r="I172" s="283"/>
      <c r="J172" s="282"/>
      <c r="K172" s="284"/>
      <c r="L172" s="285">
        <f>K172+O172</f>
        <v>0</v>
      </c>
      <c r="M172" s="285"/>
      <c r="N172" s="286">
        <f>(M172-K172)</f>
        <v>0</v>
      </c>
      <c r="O172" s="287"/>
      <c r="P172" s="286">
        <v>0.0</v>
      </c>
      <c r="Q172" s="289"/>
      <c r="R172" s="289"/>
      <c r="S172" s="289"/>
      <c r="T172" s="270"/>
      <c r="U172" s="289"/>
    </row>
    <row r="173" spans="1:21" customHeight="1" ht="15">
      <c r="A173" s="280"/>
      <c r="B173" s="280"/>
      <c r="C173" s="280"/>
      <c r="D173" s="280"/>
      <c r="E173" s="280"/>
      <c r="F173" s="280"/>
      <c r="G173" s="280"/>
      <c r="H173" s="282"/>
      <c r="I173" s="283"/>
      <c r="J173" s="282"/>
      <c r="K173" s="284"/>
      <c r="L173" s="285">
        <f>K173+O173</f>
        <v>0</v>
      </c>
      <c r="M173" s="285"/>
      <c r="N173" s="286">
        <f>(M173-K173)</f>
        <v>0</v>
      </c>
      <c r="O173" s="287"/>
      <c r="P173" s="286">
        <v>0.0</v>
      </c>
      <c r="Q173" s="289"/>
      <c r="R173" s="289"/>
      <c r="S173" s="289"/>
      <c r="T173" s="270"/>
      <c r="U173" s="289"/>
    </row>
    <row r="174" spans="1:21" customHeight="1" ht="15">
      <c r="A174" s="280"/>
      <c r="B174" s="280"/>
      <c r="C174" s="280"/>
      <c r="D174" s="280"/>
      <c r="E174" s="280"/>
      <c r="F174" s="280"/>
      <c r="G174" s="280"/>
      <c r="H174" s="282"/>
      <c r="I174" s="283"/>
      <c r="J174" s="282"/>
      <c r="K174" s="284"/>
      <c r="L174" s="285">
        <f>K174+O174</f>
        <v>0</v>
      </c>
      <c r="M174" s="285"/>
      <c r="N174" s="286">
        <f>(M174-K174)</f>
        <v>0</v>
      </c>
      <c r="O174" s="287"/>
      <c r="P174" s="286">
        <v>0.0</v>
      </c>
      <c r="Q174" s="289"/>
      <c r="R174" s="289"/>
      <c r="S174" s="289"/>
      <c r="T174" s="289"/>
      <c r="U174" s="289"/>
    </row>
    <row r="175" spans="1:21" customHeight="1" ht="15">
      <c r="A175" s="280"/>
      <c r="B175" s="280"/>
      <c r="C175" s="280"/>
      <c r="D175" s="280"/>
      <c r="E175" s="280"/>
      <c r="F175" s="280"/>
      <c r="G175" s="280"/>
      <c r="H175" s="282"/>
      <c r="I175" s="283"/>
      <c r="J175" s="282"/>
      <c r="K175" s="284"/>
      <c r="L175" s="285">
        <f>K175+O175</f>
        <v>0</v>
      </c>
      <c r="M175" s="285"/>
      <c r="N175" s="286">
        <f>(M175-K175)</f>
        <v>0</v>
      </c>
      <c r="O175" s="287"/>
      <c r="P175" s="286">
        <v>0.0</v>
      </c>
      <c r="Q175" s="289"/>
      <c r="R175" s="289"/>
      <c r="S175" s="289"/>
      <c r="T175" s="289"/>
      <c r="U175" s="289"/>
    </row>
    <row r="176" spans="1:21" customHeight="1" ht="15">
      <c r="A176" s="280"/>
      <c r="B176" s="280"/>
      <c r="C176" s="280"/>
      <c r="D176" s="280"/>
      <c r="E176" s="280"/>
      <c r="F176" s="280"/>
      <c r="G176" s="280"/>
      <c r="H176" s="282"/>
      <c r="I176" s="283"/>
      <c r="J176" s="282"/>
      <c r="K176" s="284"/>
      <c r="L176" s="285">
        <f>K176+O176</f>
        <v>0</v>
      </c>
      <c r="M176" s="285"/>
      <c r="N176" s="286">
        <f>(M176-K176)</f>
        <v>0</v>
      </c>
      <c r="O176" s="287"/>
      <c r="P176" s="286">
        <v>0.0</v>
      </c>
      <c r="Q176" s="289"/>
      <c r="R176" s="289"/>
      <c r="S176" s="289"/>
      <c r="T176" s="289"/>
      <c r="U176" s="289"/>
    </row>
    <row r="177" spans="1:21" customHeight="1" ht="15">
      <c r="A177" s="280"/>
      <c r="B177" s="280"/>
      <c r="C177" s="280"/>
      <c r="D177" s="280"/>
      <c r="E177" s="280"/>
      <c r="F177" s="280"/>
      <c r="G177" s="280"/>
      <c r="H177" s="282"/>
      <c r="I177" s="283"/>
      <c r="J177" s="282"/>
      <c r="K177" s="284"/>
      <c r="L177" s="285">
        <f>K177+O177</f>
        <v>0</v>
      </c>
      <c r="M177" s="285"/>
      <c r="N177" s="286">
        <f>(M177-K177)</f>
        <v>0</v>
      </c>
      <c r="O177" s="287"/>
      <c r="P177" s="286">
        <v>0.0</v>
      </c>
      <c r="Q177" s="289"/>
      <c r="R177" s="289"/>
      <c r="S177" s="289"/>
      <c r="T177" s="289"/>
      <c r="U177" s="289"/>
    </row>
    <row r="178" spans="1:21" customHeight="1" ht="15">
      <c r="A178" s="280"/>
      <c r="B178" s="280"/>
      <c r="C178" s="280"/>
      <c r="D178" s="280"/>
      <c r="E178" s="280"/>
      <c r="F178" s="280"/>
      <c r="G178" s="280"/>
      <c r="H178" s="282"/>
      <c r="I178" s="283"/>
      <c r="J178" s="282"/>
      <c r="K178" s="284"/>
      <c r="L178" s="285">
        <f>K178+O178</f>
        <v>0</v>
      </c>
      <c r="M178" s="285"/>
      <c r="N178" s="286">
        <f>(M178-K178)</f>
        <v>0</v>
      </c>
      <c r="O178" s="287"/>
      <c r="P178" s="286">
        <v>0.0</v>
      </c>
      <c r="Q178" s="289"/>
      <c r="R178" s="289"/>
      <c r="S178" s="289"/>
      <c r="T178" s="289"/>
      <c r="U178" s="289"/>
    </row>
    <row r="179" spans="1:21" customHeight="1" ht="15">
      <c r="A179" s="280"/>
      <c r="B179" s="280"/>
      <c r="C179" s="280"/>
      <c r="D179" s="280"/>
      <c r="E179" s="280"/>
      <c r="F179" s="280"/>
      <c r="G179" s="280"/>
      <c r="H179" s="282"/>
      <c r="I179" s="283"/>
      <c r="J179" s="282"/>
      <c r="K179" s="284"/>
      <c r="L179" s="285">
        <f>K179+O179</f>
        <v>0</v>
      </c>
      <c r="M179" s="285"/>
      <c r="N179" s="286">
        <f>(M179-K179)</f>
        <v>0</v>
      </c>
      <c r="O179" s="287"/>
      <c r="P179" s="286">
        <v>0.0</v>
      </c>
      <c r="Q179" s="289"/>
      <c r="R179" s="289"/>
      <c r="S179" s="289"/>
      <c r="T179" s="289"/>
      <c r="U179" s="289"/>
    </row>
    <row r="180" spans="1:21" customHeight="1" ht="15">
      <c r="A180" s="280"/>
      <c r="B180" s="280"/>
      <c r="C180" s="280"/>
      <c r="D180" s="280"/>
      <c r="E180" s="280"/>
      <c r="F180" s="280"/>
      <c r="G180" s="280"/>
      <c r="H180" s="282"/>
      <c r="I180" s="283"/>
      <c r="J180" s="282"/>
      <c r="K180" s="284"/>
      <c r="L180" s="285">
        <f>K180+O180</f>
        <v>0</v>
      </c>
      <c r="M180" s="285"/>
      <c r="N180" s="286">
        <f>(M180-K180)</f>
        <v>0</v>
      </c>
      <c r="O180" s="287"/>
      <c r="P180" s="286">
        <v>0.0</v>
      </c>
      <c r="Q180" s="289"/>
      <c r="R180" s="289"/>
      <c r="S180" s="289"/>
      <c r="T180" s="289"/>
      <c r="U180" s="289"/>
    </row>
    <row r="181" spans="1:21" customHeight="1" ht="15">
      <c r="A181" s="280"/>
      <c r="B181" s="280"/>
      <c r="C181" s="280"/>
      <c r="D181" s="280"/>
      <c r="E181" s="280"/>
      <c r="F181" s="280"/>
      <c r="G181" s="280"/>
      <c r="H181" s="282"/>
      <c r="I181" s="283"/>
      <c r="J181" s="282"/>
      <c r="K181" s="284"/>
      <c r="L181" s="285">
        <f>K181+O181</f>
        <v>0</v>
      </c>
      <c r="M181" s="285"/>
      <c r="N181" s="286">
        <f>(M181-K181)</f>
        <v>0</v>
      </c>
      <c r="O181" s="287"/>
      <c r="P181" s="286">
        <v>0.0</v>
      </c>
      <c r="Q181" s="289"/>
      <c r="R181" s="289"/>
      <c r="S181" s="289"/>
      <c r="T181" s="289"/>
      <c r="U181" s="289"/>
    </row>
    <row r="182" spans="1:21" customHeight="1" ht="15">
      <c r="A182" s="280"/>
      <c r="B182" s="280"/>
      <c r="C182" s="280"/>
      <c r="D182" s="280"/>
      <c r="E182" s="280"/>
      <c r="F182" s="280"/>
      <c r="G182" s="280"/>
      <c r="H182" s="282"/>
      <c r="I182" s="283"/>
      <c r="J182" s="282"/>
      <c r="K182" s="284"/>
      <c r="L182" s="285">
        <f>K182+O182</f>
        <v>0</v>
      </c>
      <c r="M182" s="285"/>
      <c r="N182" s="286">
        <f>(M182-K182)</f>
        <v>0</v>
      </c>
      <c r="O182" s="287"/>
      <c r="P182" s="286">
        <v>0.0</v>
      </c>
      <c r="Q182" s="289"/>
      <c r="R182" s="289"/>
      <c r="S182" s="289"/>
      <c r="T182" s="289"/>
      <c r="U182" s="289"/>
    </row>
    <row r="183" spans="1:21" customHeight="1" ht="15">
      <c r="A183" s="280"/>
      <c r="B183" s="280"/>
      <c r="C183" s="280"/>
      <c r="D183" s="280"/>
      <c r="E183" s="280"/>
      <c r="F183" s="280"/>
      <c r="G183" s="280"/>
      <c r="H183" s="282"/>
      <c r="I183" s="283"/>
      <c r="J183" s="282"/>
      <c r="K183" s="284"/>
      <c r="L183" s="285">
        <f>K183+O183</f>
        <v>0</v>
      </c>
      <c r="M183" s="285"/>
      <c r="N183" s="286">
        <f>(M183-K183)</f>
        <v>0</v>
      </c>
      <c r="O183" s="287"/>
      <c r="P183" s="286">
        <v>0.0</v>
      </c>
      <c r="Q183" s="289"/>
      <c r="R183" s="289"/>
      <c r="S183" s="289"/>
      <c r="T183" s="289"/>
      <c r="U183" s="289"/>
    </row>
    <row r="184" spans="1:21" customHeight="1" ht="15">
      <c r="A184" s="280"/>
      <c r="B184" s="280"/>
      <c r="C184" s="280"/>
      <c r="D184" s="280"/>
      <c r="E184" s="280"/>
      <c r="F184" s="280"/>
      <c r="G184" s="280"/>
      <c r="H184" s="282"/>
      <c r="I184" s="283"/>
      <c r="J184" s="282"/>
      <c r="K184" s="284"/>
      <c r="L184" s="285">
        <f>K184+O184</f>
        <v>0</v>
      </c>
      <c r="M184" s="285"/>
      <c r="N184" s="286">
        <f>(M184-K184)</f>
        <v>0</v>
      </c>
      <c r="O184" s="287"/>
      <c r="P184" s="286">
        <v>0.0</v>
      </c>
      <c r="Q184" s="289"/>
      <c r="R184" s="289"/>
      <c r="S184" s="289"/>
      <c r="T184" s="289"/>
      <c r="U184" s="289"/>
    </row>
    <row r="185" spans="1:21" customHeight="1" ht="15">
      <c r="A185" s="280"/>
      <c r="B185" s="280"/>
      <c r="C185" s="280"/>
      <c r="D185" s="280"/>
      <c r="E185" s="280"/>
      <c r="F185" s="280"/>
      <c r="G185" s="280"/>
      <c r="H185" s="282"/>
      <c r="I185" s="283"/>
      <c r="J185" s="282"/>
      <c r="K185" s="284"/>
      <c r="L185" s="285">
        <f>K185+O185</f>
        <v>0</v>
      </c>
      <c r="M185" s="285"/>
      <c r="N185" s="286">
        <f>(M185-K185)</f>
        <v>0</v>
      </c>
      <c r="O185" s="287"/>
      <c r="P185" s="286">
        <v>0.0</v>
      </c>
      <c r="Q185" s="289"/>
      <c r="R185" s="289"/>
      <c r="S185" s="289"/>
      <c r="T185" s="289"/>
      <c r="U185" s="289"/>
    </row>
    <row r="186" spans="1:21" customHeight="1" ht="15">
      <c r="A186" s="280"/>
      <c r="B186" s="280"/>
      <c r="C186" s="280"/>
      <c r="D186" s="280"/>
      <c r="E186" s="280"/>
      <c r="F186" s="280"/>
      <c r="G186" s="280"/>
      <c r="H186" s="282"/>
      <c r="I186" s="283"/>
      <c r="J186" s="282"/>
      <c r="K186" s="284"/>
      <c r="L186" s="285">
        <f>K186+O186</f>
        <v>0</v>
      </c>
      <c r="M186" s="285"/>
      <c r="N186" s="286">
        <f>(M186-K186)</f>
        <v>0</v>
      </c>
      <c r="O186" s="287"/>
      <c r="P186" s="286">
        <v>0.0</v>
      </c>
      <c r="Q186" s="289"/>
      <c r="R186" s="289"/>
      <c r="S186" s="289"/>
      <c r="T186" s="289"/>
      <c r="U186" s="289"/>
    </row>
    <row r="187" spans="1:21" customHeight="1" ht="15">
      <c r="A187" s="280"/>
      <c r="B187" s="280"/>
      <c r="C187" s="280"/>
      <c r="D187" s="280"/>
      <c r="E187" s="280"/>
      <c r="F187" s="280"/>
      <c r="G187" s="280"/>
      <c r="H187" s="282"/>
      <c r="I187" s="283"/>
      <c r="J187" s="282"/>
      <c r="K187" s="284"/>
      <c r="L187" s="285">
        <f>K187+O187</f>
        <v>0</v>
      </c>
      <c r="M187" s="285"/>
      <c r="N187" s="286">
        <f>(M187-K187)</f>
        <v>0</v>
      </c>
      <c r="O187" s="287"/>
      <c r="P187" s="286">
        <v>0.0</v>
      </c>
      <c r="Q187" s="289"/>
      <c r="R187" s="289"/>
      <c r="S187" s="289"/>
      <c r="T187" s="289"/>
      <c r="U187" s="289"/>
    </row>
    <row r="188" spans="1:21" customHeight="1" ht="15">
      <c r="A188" s="280"/>
      <c r="B188" s="280"/>
      <c r="C188" s="280"/>
      <c r="D188" s="280"/>
      <c r="E188" s="280"/>
      <c r="F188" s="280"/>
      <c r="G188" s="280"/>
      <c r="H188" s="282"/>
      <c r="I188" s="283"/>
      <c r="J188" s="282"/>
      <c r="K188" s="284"/>
      <c r="L188" s="285">
        <f>K188+O188</f>
        <v>0</v>
      </c>
      <c r="M188" s="285"/>
      <c r="N188" s="286">
        <f>(M188-K188)</f>
        <v>0</v>
      </c>
      <c r="O188" s="287"/>
      <c r="P188" s="286">
        <v>0.0</v>
      </c>
      <c r="Q188" s="289"/>
      <c r="R188" s="289"/>
      <c r="S188" s="289"/>
      <c r="T188" s="289"/>
      <c r="U188" s="289"/>
    </row>
    <row r="189" spans="1:21" customHeight="1" ht="15">
      <c r="A189" s="280"/>
      <c r="B189" s="280"/>
      <c r="C189" s="280"/>
      <c r="D189" s="280"/>
      <c r="E189" s="280"/>
      <c r="F189" s="280"/>
      <c r="G189" s="280"/>
      <c r="H189" s="282"/>
      <c r="I189" s="283"/>
      <c r="J189" s="282"/>
      <c r="K189" s="284"/>
      <c r="L189" s="285">
        <f>K189+O189</f>
        <v>0</v>
      </c>
      <c r="M189" s="285"/>
      <c r="N189" s="286">
        <f>(M189-K189)</f>
        <v>0</v>
      </c>
      <c r="O189" s="287"/>
      <c r="P189" s="286">
        <v>0.0</v>
      </c>
      <c r="Q189" s="289"/>
      <c r="T189" s="289"/>
      <c r="U189" s="289"/>
    </row>
    <row r="190" spans="1:21" customHeight="1" ht="15">
      <c r="A190" s="280"/>
      <c r="B190" s="280"/>
      <c r="C190" s="280"/>
      <c r="D190" s="280"/>
      <c r="E190" s="280"/>
      <c r="F190" s="280"/>
      <c r="G190" s="280"/>
      <c r="H190" s="282"/>
      <c r="I190" s="283"/>
      <c r="J190" s="282"/>
      <c r="K190" s="284"/>
      <c r="L190" s="285">
        <f>K190+O190</f>
        <v>0</v>
      </c>
      <c r="M190" s="285"/>
      <c r="N190" s="286">
        <f>(M190-K190)</f>
        <v>0</v>
      </c>
      <c r="O190" s="287"/>
      <c r="P190" s="286">
        <v>0.0</v>
      </c>
      <c r="Q190" s="289"/>
      <c r="T190" s="289"/>
      <c r="U190" s="289"/>
    </row>
    <row r="191" spans="1:21" customHeight="1" ht="15">
      <c r="A191" s="280"/>
      <c r="B191" s="280"/>
      <c r="C191" s="280"/>
      <c r="D191" s="280"/>
      <c r="E191" s="280"/>
      <c r="F191" s="280"/>
      <c r="G191" s="280"/>
      <c r="H191" s="282"/>
      <c r="I191" s="283"/>
      <c r="J191" s="282"/>
      <c r="K191" s="284"/>
      <c r="L191" s="285">
        <f>K191+O191</f>
        <v>0</v>
      </c>
      <c r="M191" s="285"/>
      <c r="N191" s="286">
        <f>(M191-K191)</f>
        <v>0</v>
      </c>
      <c r="O191" s="287"/>
      <c r="P191" s="286">
        <v>0.0</v>
      </c>
      <c r="Q191" s="289"/>
      <c r="T191" s="289"/>
      <c r="U191" s="289"/>
    </row>
    <row r="192" spans="1:21" customHeight="1" ht="15">
      <c r="A192" s="280"/>
      <c r="B192" s="280"/>
      <c r="C192" s="280"/>
      <c r="D192" s="280"/>
      <c r="E192" s="280"/>
      <c r="F192" s="280"/>
      <c r="G192" s="280"/>
      <c r="H192" s="282"/>
      <c r="I192" s="283"/>
      <c r="J192" s="282"/>
      <c r="K192" s="284"/>
      <c r="L192" s="285">
        <f>K192+O192</f>
        <v>0</v>
      </c>
      <c r="M192" s="285"/>
      <c r="N192" s="286">
        <f>(M192-K192)</f>
        <v>0</v>
      </c>
      <c r="O192" s="287"/>
      <c r="P192" s="286">
        <v>0.0</v>
      </c>
      <c r="Q192" s="289"/>
      <c r="T192" s="289"/>
      <c r="U192" s="289"/>
    </row>
    <row r="193" spans="1:21" customHeight="1" ht="15">
      <c r="A193" s="280"/>
      <c r="B193" s="280"/>
      <c r="C193" s="280"/>
      <c r="D193" s="280"/>
      <c r="E193" s="280"/>
      <c r="F193" s="280"/>
      <c r="G193" s="280"/>
      <c r="H193" s="282"/>
      <c r="I193" s="283"/>
      <c r="J193" s="282"/>
      <c r="K193" s="284"/>
      <c r="L193" s="285">
        <f>K193+O193</f>
        <v>0</v>
      </c>
      <c r="M193" s="285"/>
      <c r="N193" s="286">
        <f>(M193-K193)</f>
        <v>0</v>
      </c>
      <c r="O193" s="287"/>
      <c r="P193" s="286">
        <v>0.0</v>
      </c>
      <c r="Q193" s="289"/>
      <c r="T193" s="289"/>
      <c r="U193" s="289"/>
    </row>
    <row r="194" spans="1:21" customHeight="1" ht="15">
      <c r="A194" s="280"/>
      <c r="B194" s="280"/>
      <c r="C194" s="280"/>
      <c r="D194" s="280"/>
      <c r="E194" s="280"/>
      <c r="F194" s="280"/>
      <c r="G194" s="280"/>
      <c r="H194" s="282"/>
      <c r="I194" s="283"/>
      <c r="J194" s="282"/>
      <c r="K194" s="284"/>
      <c r="L194" s="285">
        <f>K194+O194</f>
        <v>0</v>
      </c>
      <c r="M194" s="285"/>
      <c r="N194" s="286">
        <f>(M194-K194)</f>
        <v>0</v>
      </c>
      <c r="O194" s="287"/>
      <c r="P194" s="286">
        <v>0.0</v>
      </c>
      <c r="Q194" s="289"/>
      <c r="T194" s="289"/>
      <c r="U194" s="289"/>
    </row>
    <row r="195" spans="1:21" customHeight="1" ht="15">
      <c r="A195" s="280"/>
      <c r="B195" s="280"/>
      <c r="C195" s="280"/>
      <c r="D195" s="280"/>
      <c r="E195" s="280"/>
      <c r="F195" s="280"/>
      <c r="G195" s="280"/>
      <c r="H195" s="282"/>
      <c r="I195" s="283"/>
      <c r="J195" s="282"/>
      <c r="K195" s="284"/>
      <c r="L195" s="285">
        <f>K195+O195</f>
        <v>0</v>
      </c>
      <c r="M195" s="285"/>
      <c r="N195" s="286">
        <f>(M195-K195)</f>
        <v>0</v>
      </c>
      <c r="O195" s="287"/>
      <c r="P195" s="286">
        <v>0.0</v>
      </c>
      <c r="Q195" s="289"/>
      <c r="T195" s="289"/>
      <c r="U195" s="289"/>
    </row>
    <row r="196" spans="1:21" customHeight="1" ht="15">
      <c r="A196" s="280"/>
      <c r="B196" s="280"/>
      <c r="C196" s="280"/>
      <c r="D196" s="280"/>
      <c r="E196" s="280"/>
      <c r="F196" s="280"/>
      <c r="G196" s="280"/>
      <c r="H196" s="282"/>
      <c r="I196" s="283"/>
      <c r="J196" s="282"/>
      <c r="K196" s="284"/>
      <c r="L196" s="285">
        <f>K196+O196</f>
        <v>0</v>
      </c>
      <c r="M196" s="285"/>
      <c r="N196" s="286">
        <f>(M196-K196)</f>
        <v>0</v>
      </c>
      <c r="O196" s="287"/>
      <c r="P196" s="286">
        <v>0.0</v>
      </c>
      <c r="Q196" s="289"/>
      <c r="T196" s="289"/>
      <c r="U196" s="289"/>
    </row>
    <row r="197" spans="1:21" customHeight="1" ht="15">
      <c r="A197" s="280"/>
      <c r="B197" s="280"/>
      <c r="C197" s="280"/>
      <c r="D197" s="280"/>
      <c r="E197" s="280"/>
      <c r="F197" s="280"/>
      <c r="G197" s="280"/>
      <c r="H197" s="282"/>
      <c r="I197" s="283"/>
      <c r="J197" s="282"/>
      <c r="K197" s="284"/>
      <c r="L197" s="285">
        <f>K197+O197</f>
        <v>0</v>
      </c>
      <c r="M197" s="285"/>
      <c r="N197" s="286">
        <f>(M197-K197)</f>
        <v>0</v>
      </c>
      <c r="O197" s="287"/>
      <c r="P197" s="286">
        <v>0.0</v>
      </c>
      <c r="Q197" s="289"/>
      <c r="T197" s="289"/>
      <c r="U197" s="289"/>
    </row>
    <row r="198" spans="1:21" customHeight="1" ht="15">
      <c r="A198" s="280"/>
      <c r="B198" s="280"/>
      <c r="C198" s="280"/>
      <c r="D198" s="280"/>
      <c r="E198" s="280"/>
      <c r="F198" s="280"/>
      <c r="G198" s="280"/>
      <c r="H198" s="282"/>
      <c r="I198" s="283"/>
      <c r="J198" s="282"/>
      <c r="K198" s="284"/>
      <c r="L198" s="285">
        <f>K198+O198</f>
        <v>0</v>
      </c>
      <c r="M198" s="285"/>
      <c r="N198" s="286">
        <f>(M198-K198)</f>
        <v>0</v>
      </c>
      <c r="O198" s="287"/>
      <c r="P198" s="286">
        <v>0.0</v>
      </c>
      <c r="Q198" s="289"/>
      <c r="T198" s="289"/>
      <c r="U198" s="289"/>
    </row>
    <row r="199" spans="1:21" customHeight="1" ht="15">
      <c r="A199" s="280"/>
      <c r="B199" s="280"/>
      <c r="C199" s="280"/>
      <c r="D199" s="280"/>
      <c r="E199" s="280"/>
      <c r="F199" s="280"/>
      <c r="G199" s="280"/>
      <c r="H199" s="282"/>
      <c r="I199" s="283"/>
      <c r="J199" s="282"/>
      <c r="K199" s="284"/>
      <c r="L199" s="285">
        <f>K199+O199</f>
        <v>0</v>
      </c>
      <c r="M199" s="285"/>
      <c r="N199" s="286">
        <f>(M199-K199)</f>
        <v>0</v>
      </c>
      <c r="O199" s="287"/>
      <c r="P199" s="286">
        <v>0.0</v>
      </c>
      <c r="Q199" s="289"/>
      <c r="T199" s="289"/>
      <c r="U199" s="289"/>
    </row>
    <row r="200" spans="1:21" customHeight="1" ht="15">
      <c r="A200" s="280"/>
      <c r="B200" s="280"/>
      <c r="C200" s="280"/>
      <c r="D200" s="280"/>
      <c r="E200" s="280"/>
      <c r="F200" s="280"/>
      <c r="G200" s="280"/>
      <c r="H200" s="282"/>
      <c r="I200" s="283"/>
      <c r="J200" s="282"/>
      <c r="K200" s="284"/>
      <c r="L200" s="285">
        <f>K200+O200</f>
        <v>0</v>
      </c>
      <c r="M200" s="285"/>
      <c r="N200" s="286">
        <f>(M200-K200)</f>
        <v>0</v>
      </c>
      <c r="O200" s="287"/>
      <c r="P200" s="286">
        <v>0.0</v>
      </c>
      <c r="Q200" s="289"/>
      <c r="T200" s="289"/>
      <c r="U200" s="289"/>
    </row>
    <row r="201" spans="1:21" customHeight="1" ht="15">
      <c r="A201" s="280"/>
      <c r="B201" s="280"/>
      <c r="C201" s="280"/>
      <c r="D201" s="280"/>
      <c r="E201" s="280"/>
      <c r="F201" s="280"/>
      <c r="G201" s="280"/>
      <c r="H201" s="282"/>
      <c r="I201" s="283"/>
      <c r="J201" s="282"/>
      <c r="K201" s="284"/>
      <c r="L201" s="285">
        <f>K201+O201</f>
        <v>0</v>
      </c>
      <c r="M201" s="285"/>
      <c r="N201" s="286">
        <f>(M201-K201)</f>
        <v>0</v>
      </c>
      <c r="O201" s="287"/>
      <c r="P201" s="286">
        <v>0.0</v>
      </c>
      <c r="Q201" s="289"/>
      <c r="T201" s="289"/>
      <c r="U201" s="289"/>
    </row>
    <row r="202" spans="1:21" customHeight="1" ht="15">
      <c r="A202" s="280"/>
      <c r="B202" s="280"/>
      <c r="C202" s="280"/>
      <c r="D202" s="280"/>
      <c r="E202" s="280"/>
      <c r="F202" s="280"/>
      <c r="G202" s="280"/>
      <c r="H202" s="282"/>
      <c r="I202" s="283"/>
      <c r="J202" s="282"/>
      <c r="K202" s="284"/>
      <c r="L202" s="285">
        <f>K202+O202</f>
        <v>0</v>
      </c>
      <c r="M202" s="285"/>
      <c r="N202" s="286">
        <f>(M202-K202)</f>
        <v>0</v>
      </c>
      <c r="O202" s="287"/>
      <c r="P202" s="286">
        <v>0.0</v>
      </c>
      <c r="Q202" s="289"/>
      <c r="T202" s="289"/>
      <c r="U202" s="289"/>
    </row>
    <row r="203" spans="1:21" customHeight="1" ht="15">
      <c r="A203" s="280"/>
      <c r="B203" s="280"/>
      <c r="C203" s="280"/>
      <c r="D203" s="280"/>
      <c r="E203" s="280"/>
      <c r="F203" s="280"/>
      <c r="G203" s="280"/>
      <c r="H203" s="282"/>
      <c r="I203" s="283"/>
      <c r="J203" s="282"/>
      <c r="K203" s="284"/>
      <c r="L203" s="285">
        <f>K203+O203</f>
        <v>0</v>
      </c>
      <c r="M203" s="285"/>
      <c r="N203" s="286">
        <f>(M203-K203)</f>
        <v>0</v>
      </c>
      <c r="O203" s="287"/>
      <c r="P203" s="286">
        <v>0.0</v>
      </c>
      <c r="Q203" s="289"/>
      <c r="T203" s="289"/>
      <c r="U203" s="289"/>
    </row>
    <row r="204" spans="1:21" customHeight="1" ht="15">
      <c r="A204" s="280"/>
      <c r="B204" s="280"/>
      <c r="C204" s="280"/>
      <c r="D204" s="280"/>
      <c r="E204" s="280"/>
      <c r="F204" s="280"/>
      <c r="G204" s="280"/>
      <c r="H204" s="282"/>
      <c r="I204" s="283"/>
      <c r="J204" s="282"/>
      <c r="K204" s="284"/>
      <c r="L204" s="285">
        <f>K204+O204</f>
        <v>0</v>
      </c>
      <c r="M204" s="285"/>
      <c r="N204" s="286">
        <f>(M204-K204)</f>
        <v>0</v>
      </c>
      <c r="O204" s="287"/>
      <c r="P204" s="286">
        <v>0.0</v>
      </c>
      <c r="Q204" s="289"/>
      <c r="T204" s="289"/>
      <c r="U204" s="289"/>
    </row>
    <row r="205" spans="1:21" customHeight="1" ht="15">
      <c r="A205" s="280"/>
      <c r="B205" s="280"/>
      <c r="C205" s="280"/>
      <c r="D205" s="280"/>
      <c r="E205" s="280"/>
      <c r="F205" s="280"/>
      <c r="G205" s="280"/>
      <c r="H205" s="282"/>
      <c r="I205" s="283"/>
      <c r="J205" s="282"/>
      <c r="K205" s="284"/>
      <c r="L205" s="285">
        <f>K205+O205</f>
        <v>0</v>
      </c>
      <c r="M205" s="285"/>
      <c r="N205" s="286">
        <f>(M205-K205)</f>
        <v>0</v>
      </c>
      <c r="O205" s="287"/>
      <c r="P205" s="286">
        <v>0.0</v>
      </c>
      <c r="Q205" s="289"/>
      <c r="T205" s="289"/>
      <c r="U205" s="289"/>
    </row>
    <row r="206" spans="1:21" customHeight="1" ht="15">
      <c r="A206" s="280"/>
      <c r="B206" s="280"/>
      <c r="C206" s="280"/>
      <c r="D206" s="280"/>
      <c r="E206" s="280"/>
      <c r="F206" s="280"/>
      <c r="G206" s="280"/>
      <c r="H206" s="282"/>
      <c r="I206" s="283"/>
      <c r="J206" s="282"/>
      <c r="K206" s="284"/>
      <c r="L206" s="285">
        <f>K206+O206</f>
        <v>0</v>
      </c>
      <c r="M206" s="285"/>
      <c r="N206" s="286">
        <f>(M206-K206)</f>
        <v>0</v>
      </c>
      <c r="O206" s="287"/>
      <c r="P206" s="286">
        <v>0.0</v>
      </c>
      <c r="Q206" s="289"/>
      <c r="T206" s="289"/>
      <c r="U206" s="289"/>
    </row>
    <row r="207" spans="1:21" customHeight="1" ht="15">
      <c r="A207" s="280"/>
      <c r="B207" s="280"/>
      <c r="C207" s="280"/>
      <c r="D207" s="280"/>
      <c r="E207" s="280"/>
      <c r="F207" s="280"/>
      <c r="G207" s="280"/>
      <c r="H207" s="282"/>
      <c r="I207" s="283"/>
      <c r="J207" s="282"/>
      <c r="K207" s="284"/>
      <c r="L207" s="285">
        <f>K207+O207</f>
        <v>0</v>
      </c>
      <c r="M207" s="285"/>
      <c r="N207" s="286">
        <f>(M207-K207)</f>
        <v>0</v>
      </c>
      <c r="O207" s="287"/>
      <c r="P207" s="286">
        <v>0.0</v>
      </c>
      <c r="Q207" s="289"/>
      <c r="T207" s="289"/>
      <c r="U207" s="289"/>
    </row>
    <row r="208" spans="1:21" customHeight="1" ht="15">
      <c r="A208" s="280"/>
      <c r="B208" s="280"/>
      <c r="C208" s="280"/>
      <c r="D208" s="280"/>
      <c r="E208" s="280"/>
      <c r="F208" s="280"/>
      <c r="G208" s="280"/>
      <c r="H208" s="282"/>
      <c r="I208" s="283"/>
      <c r="J208" s="282"/>
      <c r="K208" s="284"/>
      <c r="L208" s="285">
        <f>K208+O208</f>
        <v>0</v>
      </c>
      <c r="M208" s="285"/>
      <c r="N208" s="286">
        <f>(M208-K208)</f>
        <v>0</v>
      </c>
      <c r="O208" s="287"/>
      <c r="P208" s="286">
        <v>0.0</v>
      </c>
      <c r="Q208" s="289"/>
      <c r="T208" s="289"/>
      <c r="U208" s="289"/>
    </row>
    <row r="209" spans="1:21" customHeight="1" ht="15">
      <c r="A209" s="280"/>
      <c r="B209" s="280"/>
      <c r="C209" s="280"/>
      <c r="D209" s="280"/>
      <c r="E209" s="280"/>
      <c r="F209" s="280"/>
      <c r="G209" s="280"/>
      <c r="H209" s="282"/>
      <c r="I209" s="283"/>
      <c r="J209" s="282"/>
      <c r="K209" s="284"/>
      <c r="L209" s="285">
        <f>K209+O209</f>
        <v>0</v>
      </c>
      <c r="M209" s="285"/>
      <c r="N209" s="286">
        <f>(M209-K209)</f>
        <v>0</v>
      </c>
      <c r="O209" s="287"/>
      <c r="P209" s="286">
        <v>0.0</v>
      </c>
      <c r="Q209" s="289"/>
      <c r="T209" s="289"/>
      <c r="U209" s="289"/>
    </row>
    <row r="210" spans="1:21" customHeight="1" ht="15">
      <c r="A210" s="280"/>
      <c r="B210" s="280"/>
      <c r="C210" s="280"/>
      <c r="D210" s="280"/>
      <c r="E210" s="280"/>
      <c r="F210" s="280"/>
      <c r="G210" s="280"/>
      <c r="H210" s="282"/>
      <c r="I210" s="283"/>
      <c r="J210" s="282"/>
      <c r="K210" s="284"/>
      <c r="L210" s="285">
        <f>K210+O210</f>
        <v>0</v>
      </c>
      <c r="M210" s="285"/>
      <c r="N210" s="286">
        <f>(M210-K210)</f>
        <v>0</v>
      </c>
      <c r="O210" s="287"/>
      <c r="P210" s="286">
        <v>0.0</v>
      </c>
      <c r="Q210" s="289"/>
      <c r="T210" s="289"/>
      <c r="U210" s="289"/>
    </row>
    <row r="211" spans="1:21" customHeight="1" ht="15">
      <c r="A211" s="280"/>
      <c r="B211" s="280"/>
      <c r="C211" s="280"/>
      <c r="D211" s="280"/>
      <c r="E211" s="280"/>
      <c r="F211" s="280"/>
      <c r="G211" s="280"/>
      <c r="H211" s="282"/>
      <c r="I211" s="283"/>
      <c r="J211" s="282"/>
      <c r="K211" s="284"/>
      <c r="L211" s="285">
        <f>K211+O211</f>
        <v>0</v>
      </c>
      <c r="M211" s="285"/>
      <c r="N211" s="286">
        <f>(M211-K211)</f>
        <v>0</v>
      </c>
      <c r="O211" s="287"/>
      <c r="P211" s="286">
        <v>0.0</v>
      </c>
      <c r="Q211" s="289"/>
      <c r="T211" s="289"/>
      <c r="U211" s="289"/>
    </row>
    <row r="212" spans="1:21" customHeight="1" ht="15">
      <c r="A212" s="280"/>
      <c r="B212" s="280"/>
      <c r="C212" s="280"/>
      <c r="D212" s="280"/>
      <c r="E212" s="280"/>
      <c r="F212" s="280"/>
      <c r="G212" s="280"/>
      <c r="H212" s="282"/>
      <c r="I212" s="283"/>
      <c r="J212" s="282"/>
      <c r="K212" s="284"/>
      <c r="L212" s="285">
        <f>K212+O212</f>
        <v>0</v>
      </c>
      <c r="M212" s="285"/>
      <c r="N212" s="286">
        <f>(M212-K212)</f>
        <v>0</v>
      </c>
      <c r="O212" s="287"/>
      <c r="P212" s="286">
        <v>0.0</v>
      </c>
      <c r="Q212" s="289"/>
      <c r="T212" s="289"/>
      <c r="U212" s="289"/>
    </row>
    <row r="213" spans="1:21" customHeight="1" ht="15">
      <c r="A213" s="280"/>
      <c r="B213" s="280"/>
      <c r="C213" s="280"/>
      <c r="D213" s="280"/>
      <c r="E213" s="280"/>
      <c r="F213" s="280"/>
      <c r="G213" s="280"/>
      <c r="H213" s="282"/>
      <c r="I213" s="283"/>
      <c r="J213" s="282"/>
      <c r="K213" s="284"/>
      <c r="L213" s="285">
        <f>K213+O213</f>
        <v>0</v>
      </c>
      <c r="M213" s="285"/>
      <c r="N213" s="286">
        <f>(M213-K213)</f>
        <v>0</v>
      </c>
      <c r="O213" s="287"/>
      <c r="P213" s="286">
        <v>0.0</v>
      </c>
      <c r="Q213" s="289"/>
      <c r="T213" s="289"/>
      <c r="U213" s="289"/>
    </row>
    <row r="214" spans="1:21" customHeight="1" ht="15">
      <c r="A214" s="280"/>
      <c r="B214" s="280"/>
      <c r="C214" s="280"/>
      <c r="D214" s="280"/>
      <c r="E214" s="280"/>
      <c r="F214" s="280"/>
      <c r="G214" s="280"/>
      <c r="H214" s="282"/>
      <c r="I214" s="283"/>
      <c r="J214" s="282"/>
      <c r="K214" s="284"/>
      <c r="L214" s="285">
        <f>K214+O214</f>
        <v>0</v>
      </c>
      <c r="M214" s="285"/>
      <c r="N214" s="286">
        <f>(M214-K214)</f>
        <v>0</v>
      </c>
      <c r="O214" s="287"/>
      <c r="P214" s="286">
        <v>0.0</v>
      </c>
      <c r="Q214" s="289"/>
      <c r="T214" s="289"/>
      <c r="U214" s="289"/>
    </row>
    <row r="215" spans="1:21" customHeight="1" ht="15">
      <c r="A215" s="280"/>
      <c r="B215" s="280"/>
      <c r="C215" s="280"/>
      <c r="D215" s="280"/>
      <c r="E215" s="280"/>
      <c r="F215" s="280"/>
      <c r="G215" s="280"/>
      <c r="H215" s="282"/>
      <c r="I215" s="283"/>
      <c r="J215" s="282"/>
      <c r="K215" s="284"/>
      <c r="L215" s="285">
        <f>K215+O215</f>
        <v>0</v>
      </c>
      <c r="M215" s="285"/>
      <c r="N215" s="286">
        <f>(M215-K215)</f>
        <v>0</v>
      </c>
      <c r="O215" s="287"/>
      <c r="P215" s="286">
        <v>0.0</v>
      </c>
      <c r="Q215" s="289"/>
      <c r="T215" s="289"/>
      <c r="U215" s="289"/>
    </row>
    <row r="216" spans="1:21" customHeight="1" ht="15">
      <c r="A216" s="280"/>
      <c r="B216" s="280"/>
      <c r="C216" s="280"/>
      <c r="D216" s="280"/>
      <c r="E216" s="280"/>
      <c r="F216" s="280"/>
      <c r="G216" s="280"/>
      <c r="H216" s="282"/>
      <c r="I216" s="283"/>
      <c r="J216" s="282"/>
      <c r="K216" s="284"/>
      <c r="L216" s="285">
        <f>K216+O216</f>
        <v>0</v>
      </c>
      <c r="M216" s="285"/>
      <c r="N216" s="286">
        <f>(M216-K216)</f>
        <v>0</v>
      </c>
      <c r="O216" s="287"/>
      <c r="P216" s="286">
        <v>0.0</v>
      </c>
      <c r="Q216" s="289"/>
      <c r="T216" s="289"/>
      <c r="U216" s="289"/>
    </row>
    <row r="217" spans="1:21" customHeight="1" ht="15">
      <c r="A217" s="280"/>
      <c r="B217" s="280"/>
      <c r="C217" s="280"/>
      <c r="D217" s="280"/>
      <c r="E217" s="280"/>
      <c r="F217" s="280"/>
      <c r="G217" s="280"/>
      <c r="H217" s="282"/>
      <c r="I217" s="283"/>
      <c r="J217" s="282"/>
      <c r="K217" s="284"/>
      <c r="L217" s="285">
        <f>K217+O217</f>
        <v>0</v>
      </c>
      <c r="M217" s="285"/>
      <c r="N217" s="286">
        <f>(M217-K217)</f>
        <v>0</v>
      </c>
      <c r="O217" s="287"/>
      <c r="P217" s="286">
        <v>0.0</v>
      </c>
      <c r="Q217" s="289"/>
      <c r="T217" s="289"/>
      <c r="U217" s="289"/>
    </row>
    <row r="218" spans="1:21" customHeight="1" ht="15">
      <c r="A218" s="280"/>
      <c r="B218" s="280"/>
      <c r="C218" s="280"/>
      <c r="D218" s="280"/>
      <c r="E218" s="280"/>
      <c r="F218" s="280"/>
      <c r="G218" s="280"/>
      <c r="H218" s="282"/>
      <c r="I218" s="283"/>
      <c r="J218" s="282"/>
      <c r="K218" s="284"/>
      <c r="L218" s="285">
        <f>K218+O218</f>
        <v>0</v>
      </c>
      <c r="M218" s="285"/>
      <c r="N218" s="286">
        <f>(M218-K218)</f>
        <v>0</v>
      </c>
      <c r="O218" s="287"/>
      <c r="P218" s="286">
        <v>0.0</v>
      </c>
      <c r="Q218" s="289"/>
      <c r="T218" s="289"/>
      <c r="U218" s="289"/>
    </row>
    <row r="219" spans="1:21" customHeight="1" ht="15">
      <c r="A219" s="280"/>
      <c r="B219" s="280"/>
      <c r="C219" s="280"/>
      <c r="D219" s="280"/>
      <c r="E219" s="280"/>
      <c r="F219" s="280"/>
      <c r="G219" s="280"/>
      <c r="H219" s="282"/>
      <c r="I219" s="283"/>
      <c r="J219" s="282"/>
      <c r="K219" s="284"/>
      <c r="L219" s="285">
        <f>K219+O219</f>
        <v>0</v>
      </c>
      <c r="M219" s="285"/>
      <c r="N219" s="286">
        <f>(M219-K219)</f>
        <v>0</v>
      </c>
      <c r="O219" s="287"/>
      <c r="P219" s="286">
        <v>0.0</v>
      </c>
      <c r="Q219" s="289"/>
      <c r="T219" s="289"/>
      <c r="U219" s="289"/>
    </row>
    <row r="220" spans="1:21" customHeight="1" ht="15">
      <c r="A220" s="280"/>
      <c r="B220" s="280"/>
      <c r="C220" s="280"/>
      <c r="D220" s="280"/>
      <c r="E220" s="280"/>
      <c r="F220" s="280"/>
      <c r="G220" s="280"/>
      <c r="H220" s="282"/>
      <c r="I220" s="283"/>
      <c r="J220" s="282"/>
      <c r="K220" s="284"/>
      <c r="L220" s="285">
        <f>K220+O220</f>
        <v>0</v>
      </c>
      <c r="M220" s="285"/>
      <c r="N220" s="286">
        <f>(M220-K220)</f>
        <v>0</v>
      </c>
      <c r="O220" s="287"/>
      <c r="P220" s="286">
        <v>0.0</v>
      </c>
      <c r="Q220" s="289"/>
      <c r="T220" s="289"/>
      <c r="U220" s="289"/>
    </row>
    <row r="221" spans="1:21" customHeight="1" ht="15">
      <c r="A221" s="280"/>
      <c r="B221" s="280"/>
      <c r="C221" s="280"/>
      <c r="D221" s="280"/>
      <c r="E221" s="280"/>
      <c r="F221" s="280"/>
      <c r="G221" s="280"/>
      <c r="H221" s="282"/>
      <c r="I221" s="283"/>
      <c r="J221" s="282"/>
      <c r="K221" s="284"/>
      <c r="L221" s="285">
        <f>K221+O221</f>
        <v>0</v>
      </c>
      <c r="M221" s="285"/>
      <c r="N221" s="286">
        <f>(M221-K221)</f>
        <v>0</v>
      </c>
      <c r="O221" s="287"/>
      <c r="P221" s="286">
        <v>0.0</v>
      </c>
      <c r="Q221" s="289"/>
      <c r="T221" s="289"/>
      <c r="U221" s="289"/>
    </row>
    <row r="222" spans="1:21" customHeight="1" ht="15">
      <c r="A222" s="280"/>
      <c r="B222" s="280"/>
      <c r="C222" s="280"/>
      <c r="D222" s="280"/>
      <c r="E222" s="280"/>
      <c r="F222" s="280"/>
      <c r="G222" s="280"/>
      <c r="H222" s="282"/>
      <c r="I222" s="283"/>
      <c r="J222" s="282"/>
      <c r="K222" s="284"/>
      <c r="L222" s="285">
        <f>K222+O222</f>
        <v>0</v>
      </c>
      <c r="M222" s="285"/>
      <c r="N222" s="286">
        <f>(M222-K222)</f>
        <v>0</v>
      </c>
      <c r="O222" s="287"/>
      <c r="P222" s="286">
        <v>0.0</v>
      </c>
      <c r="Q222" s="289"/>
      <c r="T222" s="289"/>
      <c r="U222" s="289"/>
    </row>
    <row r="223" spans="1:21" customHeight="1" ht="15">
      <c r="A223" s="280"/>
      <c r="B223" s="280"/>
      <c r="C223" s="280"/>
      <c r="D223" s="280"/>
      <c r="E223" s="280"/>
      <c r="F223" s="280"/>
      <c r="G223" s="280"/>
      <c r="H223" s="282"/>
      <c r="I223" s="283"/>
      <c r="J223" s="282"/>
      <c r="K223" s="284"/>
      <c r="L223" s="285">
        <f>K223+O223</f>
        <v>0</v>
      </c>
      <c r="M223" s="285"/>
      <c r="N223" s="286">
        <f>(M223-K223)</f>
        <v>0</v>
      </c>
      <c r="O223" s="287"/>
      <c r="P223" s="286">
        <v>0.0</v>
      </c>
      <c r="Q223" s="289"/>
      <c r="T223" s="289"/>
      <c r="U223" s="289"/>
    </row>
    <row r="224" spans="1:21" customHeight="1" ht="15">
      <c r="A224" s="280"/>
      <c r="B224" s="280"/>
      <c r="C224" s="280"/>
      <c r="D224" s="280"/>
      <c r="E224" s="280"/>
      <c r="F224" s="280"/>
      <c r="G224" s="280"/>
      <c r="H224" s="282"/>
      <c r="I224" s="283"/>
      <c r="J224" s="282"/>
      <c r="K224" s="284"/>
      <c r="L224" s="285">
        <f>K224+O224</f>
        <v>0</v>
      </c>
      <c r="M224" s="285"/>
      <c r="N224" s="286">
        <f>(M224-K224)</f>
        <v>0</v>
      </c>
      <c r="O224" s="287"/>
      <c r="P224" s="286">
        <v>0.0</v>
      </c>
      <c r="Q224" s="289"/>
      <c r="T224" s="289"/>
      <c r="U224" s="289"/>
    </row>
    <row r="225" spans="1:21" customHeight="1" ht="15">
      <c r="A225" s="280"/>
      <c r="B225" s="280"/>
      <c r="C225" s="280"/>
      <c r="D225" s="280"/>
      <c r="E225" s="280"/>
      <c r="F225" s="280"/>
      <c r="G225" s="280"/>
      <c r="H225" s="282"/>
      <c r="I225" s="283"/>
      <c r="J225" s="282"/>
      <c r="K225" s="284"/>
      <c r="L225" s="285">
        <f>K225+O225</f>
        <v>0</v>
      </c>
      <c r="M225" s="285"/>
      <c r="N225" s="286">
        <f>(M225-K225)</f>
        <v>0</v>
      </c>
      <c r="O225" s="287"/>
      <c r="P225" s="286">
        <v>0.0</v>
      </c>
      <c r="Q225" s="289"/>
      <c r="T225" s="289"/>
      <c r="U225" s="289"/>
    </row>
    <row r="226" spans="1:21" customHeight="1" ht="15">
      <c r="A226" s="280"/>
      <c r="B226" s="280"/>
      <c r="C226" s="280"/>
      <c r="D226" s="280"/>
      <c r="E226" s="280"/>
      <c r="F226" s="280"/>
      <c r="G226" s="280"/>
      <c r="H226" s="282"/>
      <c r="I226" s="283"/>
      <c r="J226" s="282"/>
      <c r="K226" s="284"/>
      <c r="L226" s="285">
        <f>K226+O226</f>
        <v>0</v>
      </c>
      <c r="M226" s="285"/>
      <c r="N226" s="286">
        <f>(M226-K226)</f>
        <v>0</v>
      </c>
      <c r="O226" s="287"/>
      <c r="P226" s="286">
        <v>0.0</v>
      </c>
      <c r="Q226" s="289"/>
      <c r="T226" s="289"/>
      <c r="U226" s="289"/>
    </row>
    <row r="227" spans="1:21" customHeight="1" ht="15">
      <c r="A227" s="280"/>
      <c r="B227" s="280"/>
      <c r="C227" s="280"/>
      <c r="D227" s="280"/>
      <c r="E227" s="280"/>
      <c r="F227" s="280"/>
      <c r="G227" s="280"/>
      <c r="H227" s="282"/>
      <c r="I227" s="283"/>
      <c r="J227" s="282"/>
      <c r="K227" s="284"/>
      <c r="L227" s="285">
        <f>K227+O227</f>
        <v>0</v>
      </c>
      <c r="M227" s="285"/>
      <c r="N227" s="286">
        <f>(M227-K227)</f>
        <v>0</v>
      </c>
      <c r="O227" s="287"/>
      <c r="P227" s="286">
        <v>0.0</v>
      </c>
      <c r="Q227" s="289"/>
      <c r="T227" s="289"/>
      <c r="U227" s="289"/>
    </row>
    <row r="228" spans="1:21" customHeight="1" ht="15">
      <c r="A228" s="280"/>
      <c r="B228" s="280"/>
      <c r="C228" s="280"/>
      <c r="D228" s="280"/>
      <c r="E228" s="280"/>
      <c r="F228" s="280"/>
      <c r="G228" s="280"/>
      <c r="H228" s="282"/>
      <c r="I228" s="283"/>
      <c r="J228" s="282"/>
      <c r="K228" s="284"/>
      <c r="L228" s="285">
        <f>K228+O228</f>
        <v>0</v>
      </c>
      <c r="M228" s="285"/>
      <c r="N228" s="286">
        <f>(M228-K228)</f>
        <v>0</v>
      </c>
      <c r="O228" s="287"/>
      <c r="P228" s="286">
        <v>0.0</v>
      </c>
      <c r="Q228" s="289"/>
      <c r="T228" s="289"/>
      <c r="U228" s="289"/>
    </row>
    <row r="229" spans="1:21" customHeight="1" ht="15">
      <c r="A229" s="280"/>
      <c r="B229" s="280"/>
      <c r="C229" s="280"/>
      <c r="D229" s="280"/>
      <c r="E229" s="280"/>
      <c r="F229" s="280"/>
      <c r="G229" s="280"/>
      <c r="H229" s="282"/>
      <c r="I229" s="283"/>
      <c r="J229" s="282"/>
      <c r="K229" s="284"/>
      <c r="L229" s="285">
        <f>K229+O229</f>
        <v>0</v>
      </c>
      <c r="M229" s="285"/>
      <c r="N229" s="286">
        <f>(M229-K229)</f>
        <v>0</v>
      </c>
      <c r="O229" s="287"/>
      <c r="P229" s="286">
        <v>0.0</v>
      </c>
      <c r="Q229" s="289"/>
      <c r="T229" s="289"/>
      <c r="U229" s="289"/>
    </row>
    <row r="230" spans="1:21" customHeight="1" ht="15">
      <c r="A230" s="280"/>
      <c r="B230" s="280"/>
      <c r="C230" s="280"/>
      <c r="D230" s="280"/>
      <c r="E230" s="280"/>
      <c r="F230" s="280"/>
      <c r="G230" s="280"/>
      <c r="H230" s="282"/>
      <c r="I230" s="283"/>
      <c r="J230" s="282"/>
      <c r="K230" s="284"/>
      <c r="L230" s="285">
        <f>K230+O230</f>
        <v>0</v>
      </c>
      <c r="M230" s="285"/>
      <c r="N230" s="286">
        <f>(M230-K230)</f>
        <v>0</v>
      </c>
      <c r="O230" s="287"/>
      <c r="P230" s="286">
        <v>0.0</v>
      </c>
      <c r="Q230" s="289"/>
      <c r="T230" s="289"/>
      <c r="U230" s="289"/>
    </row>
    <row r="231" spans="1:21" customHeight="1" ht="15">
      <c r="A231" s="280"/>
      <c r="B231" s="280"/>
      <c r="C231" s="280"/>
      <c r="D231" s="280"/>
      <c r="E231" s="280"/>
      <c r="F231" s="280"/>
      <c r="G231" s="280"/>
      <c r="H231" s="282"/>
      <c r="I231" s="283"/>
      <c r="J231" s="282"/>
      <c r="K231" s="284"/>
      <c r="L231" s="285">
        <f>K231+O231</f>
        <v>0</v>
      </c>
      <c r="M231" s="285"/>
      <c r="N231" s="286">
        <f>(M231-K231)</f>
        <v>0</v>
      </c>
      <c r="O231" s="287"/>
      <c r="P231" s="286">
        <v>0.0</v>
      </c>
      <c r="Q231" s="289"/>
      <c r="T231" s="289"/>
      <c r="U231" s="289"/>
    </row>
    <row r="232" spans="1:21" customHeight="1" ht="15">
      <c r="A232" s="280"/>
      <c r="B232" s="280"/>
      <c r="C232" s="280"/>
      <c r="D232" s="280"/>
      <c r="E232" s="280"/>
      <c r="F232" s="280"/>
      <c r="G232" s="280"/>
      <c r="H232" s="282"/>
      <c r="I232" s="283"/>
      <c r="J232" s="282"/>
      <c r="K232" s="284"/>
      <c r="L232" s="285">
        <f>K232+O232</f>
        <v>0</v>
      </c>
      <c r="M232" s="285"/>
      <c r="N232" s="286">
        <f>(M232-K232)</f>
        <v>0</v>
      </c>
      <c r="O232" s="287"/>
      <c r="P232" s="286">
        <v>0.0</v>
      </c>
      <c r="Q232" s="289"/>
      <c r="T232" s="289"/>
      <c r="U232" s="289"/>
    </row>
    <row r="233" spans="1:21" customHeight="1" ht="15">
      <c r="A233" s="280"/>
      <c r="B233" s="280"/>
      <c r="C233" s="280"/>
      <c r="D233" s="280"/>
      <c r="E233" s="280"/>
      <c r="F233" s="280"/>
      <c r="G233" s="280"/>
      <c r="H233" s="282"/>
      <c r="I233" s="283"/>
      <c r="J233" s="282"/>
      <c r="K233" s="284"/>
      <c r="L233" s="285">
        <f>K233+O233</f>
        <v>0</v>
      </c>
      <c r="M233" s="285"/>
      <c r="N233" s="286">
        <f>(M233-K233)</f>
        <v>0</v>
      </c>
      <c r="O233" s="287"/>
      <c r="P233" s="286">
        <v>0.0</v>
      </c>
      <c r="Q233" s="289"/>
      <c r="T233" s="289"/>
      <c r="U233" s="289"/>
    </row>
    <row r="234" spans="1:21" customHeight="1" ht="15">
      <c r="A234" s="280"/>
      <c r="B234" s="280"/>
      <c r="C234" s="280"/>
      <c r="D234" s="280"/>
      <c r="E234" s="280"/>
      <c r="F234" s="280"/>
      <c r="G234" s="280"/>
      <c r="H234" s="282"/>
      <c r="I234" s="283"/>
      <c r="J234" s="282"/>
      <c r="K234" s="284"/>
      <c r="L234" s="285">
        <f>K234+O234</f>
        <v>0</v>
      </c>
      <c r="M234" s="285"/>
      <c r="N234" s="286">
        <f>(M234-K234)</f>
        <v>0</v>
      </c>
      <c r="O234" s="287"/>
      <c r="P234" s="286">
        <v>0.0</v>
      </c>
      <c r="Q234" s="289"/>
      <c r="T234" s="289"/>
      <c r="U234" s="289"/>
    </row>
    <row r="235" spans="1:21" customHeight="1" ht="15">
      <c r="A235" s="280"/>
      <c r="B235" s="280"/>
      <c r="C235" s="280"/>
      <c r="D235" s="280"/>
      <c r="E235" s="280"/>
      <c r="F235" s="280"/>
      <c r="G235" s="280"/>
      <c r="H235" s="282"/>
      <c r="I235" s="283"/>
      <c r="J235" s="282"/>
      <c r="K235" s="284"/>
      <c r="L235" s="285">
        <f>K235+O235</f>
        <v>0</v>
      </c>
      <c r="M235" s="285"/>
      <c r="N235" s="286">
        <f>(M235-K235)</f>
        <v>0</v>
      </c>
      <c r="O235" s="287"/>
      <c r="P235" s="286">
        <v>0.0</v>
      </c>
      <c r="Q235" s="289"/>
      <c r="T235" s="289"/>
      <c r="U235" s="289"/>
    </row>
    <row r="236" spans="1:21" customHeight="1" ht="15">
      <c r="A236" s="280"/>
      <c r="B236" s="280"/>
      <c r="C236" s="280"/>
      <c r="D236" s="280"/>
      <c r="E236" s="280"/>
      <c r="F236" s="280"/>
      <c r="G236" s="280"/>
      <c r="H236" s="282"/>
      <c r="I236" s="283"/>
      <c r="J236" s="282"/>
      <c r="K236" s="284"/>
      <c r="L236" s="285">
        <f>K236+O236</f>
        <v>0</v>
      </c>
      <c r="M236" s="285"/>
      <c r="N236" s="286">
        <f>(M236-K236)</f>
        <v>0</v>
      </c>
      <c r="O236" s="287"/>
      <c r="P236" s="286">
        <v>0.0</v>
      </c>
      <c r="Q236" s="289"/>
      <c r="T236" s="289"/>
      <c r="U236" s="289"/>
    </row>
    <row r="237" spans="1:21" customHeight="1" ht="15">
      <c r="A237" s="280"/>
      <c r="B237" s="280"/>
      <c r="C237" s="280"/>
      <c r="D237" s="280"/>
      <c r="E237" s="280"/>
      <c r="F237" s="280"/>
      <c r="G237" s="280"/>
      <c r="H237" s="282"/>
      <c r="I237" s="283"/>
      <c r="J237" s="282"/>
      <c r="K237" s="284"/>
      <c r="L237" s="285">
        <f>K237+O237</f>
        <v>0</v>
      </c>
      <c r="M237" s="285"/>
      <c r="N237" s="286">
        <f>(M237-K237)</f>
        <v>0</v>
      </c>
      <c r="O237" s="287"/>
      <c r="P237" s="286">
        <v>0.0</v>
      </c>
      <c r="Q237" s="289"/>
      <c r="T237" s="289"/>
      <c r="U237" s="289"/>
    </row>
    <row r="238" spans="1:21" customHeight="1" ht="15">
      <c r="A238" s="280"/>
      <c r="B238" s="280"/>
      <c r="C238" s="280"/>
      <c r="D238" s="280"/>
      <c r="E238" s="280"/>
      <c r="F238" s="280"/>
      <c r="G238" s="280"/>
      <c r="H238" s="282"/>
      <c r="I238" s="283"/>
      <c r="J238" s="282"/>
      <c r="K238" s="284"/>
      <c r="L238" s="285">
        <f>K238+O238</f>
        <v>0</v>
      </c>
      <c r="M238" s="285"/>
      <c r="N238" s="286">
        <f>(M238-K238)</f>
        <v>0</v>
      </c>
      <c r="O238" s="287"/>
      <c r="P238" s="286">
        <v>0.0</v>
      </c>
      <c r="Q238" s="289"/>
      <c r="T238" s="289"/>
      <c r="U238" s="289"/>
    </row>
    <row r="239" spans="1:21" customHeight="1" ht="15">
      <c r="A239" s="280"/>
      <c r="B239" s="280"/>
      <c r="C239" s="280"/>
      <c r="D239" s="280"/>
      <c r="E239" s="280"/>
      <c r="F239" s="280"/>
      <c r="G239" s="280"/>
      <c r="H239" s="282"/>
      <c r="I239" s="283"/>
      <c r="J239" s="282"/>
      <c r="K239" s="284"/>
      <c r="L239" s="285">
        <f>K239+O239</f>
        <v>0</v>
      </c>
      <c r="M239" s="285"/>
      <c r="N239" s="286">
        <f>(M239-K239)</f>
        <v>0</v>
      </c>
      <c r="O239" s="287"/>
      <c r="P239" s="286">
        <v>0.0</v>
      </c>
      <c r="Q239" s="289"/>
      <c r="T239" s="289"/>
      <c r="U239" s="289"/>
    </row>
    <row r="240" spans="1:21" customHeight="1" ht="15">
      <c r="A240" s="280"/>
      <c r="B240" s="280"/>
      <c r="C240" s="280"/>
      <c r="D240" s="280"/>
      <c r="E240" s="280"/>
      <c r="F240" s="280"/>
      <c r="G240" s="280"/>
      <c r="H240" s="282"/>
      <c r="I240" s="283"/>
      <c r="J240" s="282"/>
      <c r="K240" s="284"/>
      <c r="L240" s="285">
        <f>K240+O240</f>
        <v>0</v>
      </c>
      <c r="M240" s="285"/>
      <c r="N240" s="286">
        <f>(M240-K240)</f>
        <v>0</v>
      </c>
      <c r="O240" s="287"/>
      <c r="P240" s="286">
        <v>0.0</v>
      </c>
      <c r="Q240" s="289"/>
      <c r="T240" s="289"/>
      <c r="U240" s="289"/>
    </row>
    <row r="241" spans="1:21" customHeight="1" ht="15">
      <c r="A241" s="280"/>
      <c r="B241" s="280"/>
      <c r="C241" s="280"/>
      <c r="D241" s="280"/>
      <c r="E241" s="280"/>
      <c r="F241" s="280"/>
      <c r="G241" s="280"/>
      <c r="H241" s="282"/>
      <c r="I241" s="283"/>
      <c r="J241" s="282"/>
      <c r="K241" s="284"/>
      <c r="L241" s="285">
        <f>K241+O241</f>
        <v>0</v>
      </c>
      <c r="M241" s="285"/>
      <c r="N241" s="286">
        <f>(M241-K241)</f>
        <v>0</v>
      </c>
      <c r="O241" s="287"/>
      <c r="P241" s="286">
        <v>0.0</v>
      </c>
      <c r="Q241" s="289"/>
      <c r="T241" s="289"/>
      <c r="U241" s="289"/>
    </row>
    <row r="242" spans="1:21" customHeight="1" ht="15">
      <c r="A242" s="280"/>
      <c r="B242" s="280"/>
      <c r="C242" s="280"/>
      <c r="D242" s="280"/>
      <c r="E242" s="280"/>
      <c r="F242" s="280"/>
      <c r="G242" s="280"/>
      <c r="H242" s="282"/>
      <c r="I242" s="283"/>
      <c r="J242" s="282"/>
      <c r="K242" s="284"/>
      <c r="L242" s="285">
        <f>K242+O242</f>
        <v>0</v>
      </c>
      <c r="M242" s="285"/>
      <c r="N242" s="286">
        <f>(M242-K242)</f>
        <v>0</v>
      </c>
      <c r="O242" s="287"/>
      <c r="P242" s="286">
        <v>0.0</v>
      </c>
      <c r="Q242" s="289"/>
      <c r="T242" s="289"/>
      <c r="U242" s="289"/>
    </row>
    <row r="243" spans="1:21" customHeight="1" ht="15">
      <c r="A243" s="280"/>
      <c r="B243" s="280"/>
      <c r="C243" s="280"/>
      <c r="D243" s="280"/>
      <c r="E243" s="280"/>
      <c r="F243" s="280"/>
      <c r="G243" s="280"/>
      <c r="H243" s="282"/>
      <c r="I243" s="283"/>
      <c r="J243" s="282"/>
      <c r="K243" s="284"/>
      <c r="L243" s="285">
        <f>K243+O243</f>
        <v>0</v>
      </c>
      <c r="M243" s="285"/>
      <c r="N243" s="286">
        <f>(M243-K243)</f>
        <v>0</v>
      </c>
      <c r="O243" s="287"/>
      <c r="P243" s="286">
        <v>0.0</v>
      </c>
      <c r="Q243" s="289"/>
      <c r="T243" s="289"/>
      <c r="U243" s="289"/>
    </row>
    <row r="244" spans="1:21" customHeight="1" ht="15">
      <c r="A244" s="280"/>
      <c r="B244" s="280"/>
      <c r="C244" s="280"/>
      <c r="D244" s="280"/>
      <c r="E244" s="280"/>
      <c r="F244" s="280"/>
      <c r="G244" s="280"/>
      <c r="H244" s="282"/>
      <c r="I244" s="283"/>
      <c r="J244" s="282"/>
      <c r="K244" s="284"/>
      <c r="L244" s="285">
        <f>K244+O244</f>
        <v>0</v>
      </c>
      <c r="M244" s="285"/>
      <c r="N244" s="286">
        <f>(M244-K244)</f>
        <v>0</v>
      </c>
      <c r="O244" s="287"/>
      <c r="P244" s="286">
        <v>0.0</v>
      </c>
      <c r="Q244" s="289"/>
      <c r="T244" s="289"/>
      <c r="U244" s="289"/>
    </row>
    <row r="245" spans="1:21" customHeight="1" ht="15">
      <c r="A245" s="280"/>
      <c r="B245" s="280"/>
      <c r="C245" s="280"/>
      <c r="D245" s="280"/>
      <c r="E245" s="280"/>
      <c r="F245" s="280"/>
      <c r="G245" s="280"/>
      <c r="H245" s="282"/>
      <c r="I245" s="283"/>
      <c r="J245" s="282"/>
      <c r="K245" s="284"/>
      <c r="L245" s="285">
        <f>K245+O245</f>
        <v>0</v>
      </c>
      <c r="M245" s="285"/>
      <c r="N245" s="286">
        <f>(M245-K245)</f>
        <v>0</v>
      </c>
      <c r="O245" s="287"/>
      <c r="P245" s="286">
        <v>0.0</v>
      </c>
      <c r="Q245" s="289"/>
      <c r="T245" s="289"/>
      <c r="U245" s="289"/>
    </row>
    <row r="246" spans="1:21" customHeight="1" ht="15">
      <c r="A246" s="280"/>
      <c r="B246" s="280"/>
      <c r="C246" s="280"/>
      <c r="D246" s="280"/>
      <c r="E246" s="280"/>
      <c r="F246" s="280"/>
      <c r="G246" s="280"/>
      <c r="H246" s="282"/>
      <c r="I246" s="283"/>
      <c r="J246" s="282"/>
      <c r="K246" s="284"/>
      <c r="L246" s="285">
        <f>K246+O246</f>
        <v>0</v>
      </c>
      <c r="M246" s="285"/>
      <c r="N246" s="286">
        <f>(M246-K246)</f>
        <v>0</v>
      </c>
      <c r="O246" s="287"/>
      <c r="P246" s="286">
        <v>0.0</v>
      </c>
      <c r="Q246" s="289"/>
      <c r="T246" s="289"/>
      <c r="U246" s="289"/>
    </row>
    <row r="247" spans="1:21" customHeight="1" ht="15">
      <c r="A247" s="280"/>
      <c r="B247" s="280"/>
      <c r="C247" s="280"/>
      <c r="D247" s="280"/>
      <c r="E247" s="280"/>
      <c r="F247" s="280"/>
      <c r="G247" s="280"/>
      <c r="H247" s="282"/>
      <c r="I247" s="283"/>
      <c r="J247" s="282"/>
      <c r="K247" s="284"/>
      <c r="L247" s="285">
        <f>K247+O247</f>
        <v>0</v>
      </c>
      <c r="M247" s="285"/>
      <c r="N247" s="286">
        <f>(M247-K247)</f>
        <v>0</v>
      </c>
      <c r="O247" s="287"/>
      <c r="P247" s="286">
        <v>0.0</v>
      </c>
      <c r="Q247" s="289"/>
      <c r="T247" s="289"/>
      <c r="U247" s="289"/>
    </row>
    <row r="248" spans="1:21" customHeight="1" ht="15">
      <c r="A248" s="280"/>
      <c r="B248" s="280"/>
      <c r="C248" s="280"/>
      <c r="D248" s="280"/>
      <c r="E248" s="280"/>
      <c r="F248" s="280"/>
      <c r="G248" s="280"/>
      <c r="H248" s="282"/>
      <c r="I248" s="283"/>
      <c r="J248" s="282"/>
      <c r="K248" s="284"/>
      <c r="L248" s="285">
        <f>K248+O248</f>
        <v>0</v>
      </c>
      <c r="M248" s="285"/>
      <c r="N248" s="286">
        <f>(M248-K248)</f>
        <v>0</v>
      </c>
      <c r="O248" s="287"/>
      <c r="P248" s="286">
        <v>0.0</v>
      </c>
      <c r="Q248" s="289"/>
      <c r="T248" s="289"/>
      <c r="U248" s="289"/>
    </row>
    <row r="249" spans="1:21" customHeight="1" ht="15">
      <c r="A249" s="280"/>
      <c r="B249" s="280"/>
      <c r="C249" s="280"/>
      <c r="D249" s="280"/>
      <c r="E249" s="280"/>
      <c r="F249" s="280"/>
      <c r="G249" s="280"/>
      <c r="H249" s="282"/>
      <c r="I249" s="283"/>
      <c r="J249" s="282"/>
      <c r="K249" s="284"/>
      <c r="L249" s="285">
        <f>K249+O249</f>
        <v>0</v>
      </c>
      <c r="M249" s="285"/>
      <c r="N249" s="286">
        <f>(M249-K249)</f>
        <v>0</v>
      </c>
      <c r="O249" s="287"/>
      <c r="P249" s="286">
        <v>0.0</v>
      </c>
      <c r="Q249" s="289"/>
      <c r="T249" s="289"/>
      <c r="U249" s="289"/>
    </row>
    <row r="250" spans="1:21" customHeight="1" ht="15">
      <c r="A250" s="280"/>
      <c r="B250" s="280"/>
      <c r="C250" s="280"/>
      <c r="D250" s="280"/>
      <c r="E250" s="280"/>
      <c r="F250" s="280"/>
      <c r="G250" s="280"/>
      <c r="H250" s="282"/>
      <c r="I250" s="283"/>
      <c r="J250" s="282"/>
      <c r="K250" s="284"/>
      <c r="L250" s="285">
        <f>K250+O250</f>
        <v>0</v>
      </c>
      <c r="M250" s="285"/>
      <c r="N250" s="286">
        <f>(M250-K250)</f>
        <v>0</v>
      </c>
      <c r="O250" s="287"/>
      <c r="P250" s="286">
        <v>0.0</v>
      </c>
      <c r="Q250" s="289"/>
      <c r="T250" s="289"/>
      <c r="U250" s="289"/>
    </row>
    <row r="251" spans="1:21" customHeight="1" ht="15">
      <c r="A251" s="280"/>
      <c r="B251" s="280"/>
      <c r="C251" s="280"/>
      <c r="D251" s="280"/>
      <c r="E251" s="280"/>
      <c r="F251" s="280"/>
      <c r="G251" s="280"/>
      <c r="H251" s="282"/>
      <c r="I251" s="283"/>
      <c r="J251" s="282"/>
      <c r="K251" s="284"/>
      <c r="L251" s="285">
        <f>K251+O251</f>
        <v>0</v>
      </c>
      <c r="M251" s="285"/>
      <c r="N251" s="286">
        <f>(M251-K251)</f>
        <v>0</v>
      </c>
      <c r="O251" s="287"/>
      <c r="P251" s="286">
        <v>0.0</v>
      </c>
      <c r="Q251" s="289"/>
      <c r="T251" s="289"/>
      <c r="U251" s="289"/>
    </row>
    <row r="252" spans="1:21" customHeight="1" ht="15">
      <c r="A252" s="280"/>
      <c r="B252" s="280"/>
      <c r="C252" s="280"/>
      <c r="D252" s="280"/>
      <c r="E252" s="280"/>
      <c r="F252" s="280"/>
      <c r="G252" s="280"/>
      <c r="H252" s="282"/>
      <c r="I252" s="283"/>
      <c r="J252" s="282"/>
      <c r="K252" s="284"/>
      <c r="L252" s="285">
        <f>K252+O252</f>
        <v>0</v>
      </c>
      <c r="M252" s="285"/>
      <c r="N252" s="286">
        <f>(M252-K252)</f>
        <v>0</v>
      </c>
      <c r="O252" s="287"/>
      <c r="P252" s="286">
        <v>0.0</v>
      </c>
      <c r="Q252" s="289"/>
      <c r="T252" s="289"/>
      <c r="U252" s="289"/>
    </row>
    <row r="253" spans="1:21" customHeight="1" ht="15">
      <c r="A253" s="280"/>
      <c r="B253" s="280"/>
      <c r="C253" s="280"/>
      <c r="D253" s="280"/>
      <c r="E253" s="280"/>
      <c r="F253" s="280"/>
      <c r="G253" s="280"/>
      <c r="H253" s="282"/>
      <c r="I253" s="283"/>
      <c r="J253" s="282"/>
      <c r="K253" s="284"/>
      <c r="L253" s="285">
        <f>K253+O253</f>
        <v>0</v>
      </c>
      <c r="M253" s="285"/>
      <c r="N253" s="286">
        <f>(M253-K253)</f>
        <v>0</v>
      </c>
      <c r="O253" s="287"/>
      <c r="P253" s="286">
        <v>0.0</v>
      </c>
      <c r="Q253" s="289"/>
      <c r="T253" s="289"/>
      <c r="U253" s="289"/>
    </row>
    <row r="254" spans="1:21" customHeight="1" ht="15">
      <c r="A254" s="280"/>
      <c r="B254" s="280"/>
      <c r="C254" s="280"/>
      <c r="D254" s="280"/>
      <c r="E254" s="280"/>
      <c r="F254" s="280"/>
      <c r="G254" s="280"/>
      <c r="H254" s="282"/>
      <c r="I254" s="283"/>
      <c r="J254" s="282"/>
      <c r="K254" s="284"/>
      <c r="L254" s="285">
        <f>K254+O254</f>
        <v>0</v>
      </c>
      <c r="M254" s="285"/>
      <c r="N254" s="286">
        <f>(M254-K254)</f>
        <v>0</v>
      </c>
      <c r="O254" s="287"/>
      <c r="P254" s="286">
        <v>0.0</v>
      </c>
      <c r="Q254" s="289"/>
      <c r="T254" s="289"/>
      <c r="U254" s="289"/>
    </row>
    <row r="255" spans="1:21" customHeight="1" ht="15">
      <c r="A255" s="280"/>
      <c r="B255" s="280"/>
      <c r="C255" s="280"/>
      <c r="D255" s="280"/>
      <c r="E255" s="280"/>
      <c r="F255" s="280"/>
      <c r="G255" s="280"/>
      <c r="H255" s="282"/>
      <c r="I255" s="283"/>
      <c r="J255" s="282"/>
      <c r="K255" s="284"/>
      <c r="L255" s="285">
        <f>K255+O255</f>
        <v>0</v>
      </c>
      <c r="M255" s="285"/>
      <c r="N255" s="286">
        <f>(M255-K255)</f>
        <v>0</v>
      </c>
      <c r="O255" s="287"/>
      <c r="P255" s="286">
        <v>0.0</v>
      </c>
      <c r="Q255" s="289"/>
      <c r="T255" s="289"/>
      <c r="U255" s="289"/>
    </row>
    <row r="256" spans="1:21" customHeight="1" ht="15">
      <c r="A256" s="280"/>
      <c r="B256" s="280"/>
      <c r="C256" s="280"/>
      <c r="D256" s="280"/>
      <c r="E256" s="280"/>
      <c r="F256" s="280"/>
      <c r="G256" s="280"/>
      <c r="H256" s="282"/>
      <c r="I256" s="283"/>
      <c r="J256" s="282"/>
      <c r="K256" s="284"/>
      <c r="L256" s="285">
        <f>K256+O256</f>
        <v>0</v>
      </c>
      <c r="M256" s="285"/>
      <c r="N256" s="286">
        <f>(M256-K256)</f>
        <v>0</v>
      </c>
      <c r="O256" s="287"/>
      <c r="P256" s="286">
        <v>0.0</v>
      </c>
      <c r="Q256" s="289"/>
      <c r="T256" s="289"/>
      <c r="U256" s="289"/>
    </row>
    <row r="257" spans="1:21" customHeight="1" ht="15">
      <c r="A257" s="280"/>
      <c r="B257" s="280"/>
      <c r="C257" s="280"/>
      <c r="D257" s="280"/>
      <c r="E257" s="280"/>
      <c r="F257" s="280"/>
      <c r="G257" s="280"/>
      <c r="H257" s="282"/>
      <c r="I257" s="283"/>
      <c r="J257" s="282"/>
      <c r="K257" s="284"/>
      <c r="L257" s="285">
        <f>K257+O257</f>
        <v>0</v>
      </c>
      <c r="M257" s="285"/>
      <c r="N257" s="286">
        <f>(M257-K257)</f>
        <v>0</v>
      </c>
      <c r="O257" s="287"/>
      <c r="P257" s="286">
        <v>0.0</v>
      </c>
      <c r="Q257" s="289"/>
      <c r="T257" s="289"/>
      <c r="U257" s="289"/>
    </row>
    <row r="258" spans="1:21" customHeight="1" ht="15">
      <c r="A258" s="280"/>
      <c r="B258" s="280"/>
      <c r="C258" s="280"/>
      <c r="D258" s="280"/>
      <c r="E258" s="280"/>
      <c r="F258" s="280"/>
      <c r="G258" s="280"/>
      <c r="H258" s="282"/>
      <c r="I258" s="283"/>
      <c r="J258" s="282"/>
      <c r="K258" s="284"/>
      <c r="L258" s="285">
        <f>K258+O258</f>
        <v>0</v>
      </c>
      <c r="M258" s="285"/>
      <c r="N258" s="286">
        <f>(M258-K258)</f>
        <v>0</v>
      </c>
      <c r="O258" s="287"/>
      <c r="P258" s="286">
        <v>0.0</v>
      </c>
      <c r="Q258" s="289"/>
      <c r="T258" s="289"/>
      <c r="U258" s="289"/>
    </row>
    <row r="259" spans="1:21" customHeight="1" ht="15">
      <c r="A259" s="280"/>
      <c r="B259" s="280"/>
      <c r="C259" s="280"/>
      <c r="D259" s="280"/>
      <c r="E259" s="280"/>
      <c r="F259" s="280"/>
      <c r="G259" s="280"/>
      <c r="H259" s="282"/>
      <c r="I259" s="283"/>
      <c r="J259" s="282"/>
      <c r="K259" s="284"/>
      <c r="L259" s="285">
        <f>K259+O259</f>
        <v>0</v>
      </c>
      <c r="M259" s="285"/>
      <c r="N259" s="286">
        <f>(M259-K259)</f>
        <v>0</v>
      </c>
      <c r="O259" s="287"/>
      <c r="P259" s="286">
        <v>0.0</v>
      </c>
      <c r="Q259" s="289"/>
      <c r="T259" s="289"/>
      <c r="U259" s="289"/>
    </row>
    <row r="260" spans="1:21" customHeight="1" ht="15">
      <c r="A260" s="280"/>
      <c r="B260" s="280"/>
      <c r="C260" s="280"/>
      <c r="D260" s="280"/>
      <c r="E260" s="280"/>
      <c r="F260" s="280"/>
      <c r="G260" s="280"/>
      <c r="H260" s="282"/>
      <c r="I260" s="283"/>
      <c r="J260" s="282"/>
      <c r="K260" s="284"/>
      <c r="L260" s="285">
        <f>K260+O260</f>
        <v>0</v>
      </c>
      <c r="M260" s="285"/>
      <c r="N260" s="286">
        <f>(M260-K260)</f>
        <v>0</v>
      </c>
      <c r="O260" s="287"/>
      <c r="P260" s="286">
        <v>0.0</v>
      </c>
      <c r="Q260" s="289"/>
      <c r="T260" s="289"/>
      <c r="U260" s="289"/>
    </row>
    <row r="261" spans="1:21" customHeight="1" ht="15">
      <c r="A261" s="280"/>
      <c r="B261" s="280"/>
      <c r="C261" s="280"/>
      <c r="D261" s="280"/>
      <c r="E261" s="280"/>
      <c r="F261" s="280"/>
      <c r="G261" s="280"/>
      <c r="H261" s="282"/>
      <c r="I261" s="283"/>
      <c r="J261" s="282"/>
      <c r="K261" s="284"/>
      <c r="L261" s="285">
        <f>K261+O261</f>
        <v>0</v>
      </c>
      <c r="M261" s="285"/>
      <c r="N261" s="286">
        <f>(M261-K261)</f>
        <v>0</v>
      </c>
      <c r="O261" s="287"/>
      <c r="P261" s="286">
        <v>0.0</v>
      </c>
      <c r="Q261" s="289"/>
      <c r="T261" s="289"/>
      <c r="U261" s="289"/>
    </row>
    <row r="262" spans="1:21" customHeight="1" ht="15">
      <c r="A262" s="280"/>
      <c r="B262" s="280"/>
      <c r="C262" s="280"/>
      <c r="D262" s="280"/>
      <c r="E262" s="280"/>
      <c r="F262" s="280"/>
      <c r="G262" s="280"/>
      <c r="H262" s="282"/>
      <c r="I262" s="283"/>
      <c r="J262" s="282"/>
      <c r="K262" s="284"/>
      <c r="L262" s="285">
        <f>K262+O262</f>
        <v>0</v>
      </c>
      <c r="M262" s="285"/>
      <c r="N262" s="286">
        <f>(M262-K262)</f>
        <v>0</v>
      </c>
      <c r="O262" s="287"/>
      <c r="P262" s="286">
        <v>0.0</v>
      </c>
      <c r="Q262" s="289"/>
      <c r="T262" s="289"/>
      <c r="U262" s="289"/>
    </row>
    <row r="263" spans="1:21" customHeight="1" ht="15">
      <c r="A263" s="280"/>
      <c r="B263" s="280"/>
      <c r="C263" s="280"/>
      <c r="D263" s="280"/>
      <c r="E263" s="280"/>
      <c r="F263" s="280"/>
      <c r="G263" s="280"/>
      <c r="H263" s="282"/>
      <c r="I263" s="283"/>
      <c r="J263" s="282"/>
      <c r="K263" s="284"/>
      <c r="L263" s="285">
        <f>K263+O263</f>
        <v>0</v>
      </c>
      <c r="M263" s="285"/>
      <c r="N263" s="286">
        <f>(M263-K263)</f>
        <v>0</v>
      </c>
      <c r="O263" s="287"/>
      <c r="P263" s="286">
        <v>0.0</v>
      </c>
      <c r="Q263" s="289"/>
      <c r="T263" s="289"/>
      <c r="U263" s="289"/>
    </row>
    <row r="264" spans="1:21" customHeight="1" ht="15">
      <c r="A264" s="280"/>
      <c r="B264" s="280"/>
      <c r="C264" s="280"/>
      <c r="D264" s="280"/>
      <c r="E264" s="280"/>
      <c r="F264" s="280"/>
      <c r="G264" s="280"/>
      <c r="H264" s="282"/>
      <c r="I264" s="283"/>
      <c r="J264" s="282"/>
      <c r="K264" s="284"/>
      <c r="L264" s="285">
        <f>K264+O264</f>
        <v>0</v>
      </c>
      <c r="M264" s="285"/>
      <c r="N264" s="286">
        <f>(M264-K264)</f>
        <v>0</v>
      </c>
      <c r="O264" s="287"/>
      <c r="P264" s="286">
        <v>0.0</v>
      </c>
      <c r="Q264" s="289"/>
      <c r="T264" s="289"/>
      <c r="U264" s="289"/>
    </row>
    <row r="265" spans="1:21" customHeight="1" ht="15">
      <c r="A265" s="280"/>
      <c r="B265" s="280"/>
      <c r="C265" s="280"/>
      <c r="D265" s="280"/>
      <c r="E265" s="280"/>
      <c r="F265" s="280"/>
      <c r="G265" s="280"/>
      <c r="H265" s="282"/>
      <c r="I265" s="283"/>
      <c r="J265" s="282"/>
      <c r="K265" s="284"/>
      <c r="L265" s="285">
        <f>K265+O265</f>
        <v>0</v>
      </c>
      <c r="M265" s="285"/>
      <c r="N265" s="286">
        <f>(M265-K265)</f>
        <v>0</v>
      </c>
      <c r="O265" s="287"/>
      <c r="P265" s="286">
        <v>0.0</v>
      </c>
      <c r="Q265" s="289"/>
      <c r="T265" s="289"/>
      <c r="U265" s="289"/>
    </row>
    <row r="266" spans="1:21" customHeight="1" ht="15">
      <c r="A266" s="280"/>
      <c r="B266" s="280"/>
      <c r="C266" s="280"/>
      <c r="D266" s="280"/>
      <c r="E266" s="280"/>
      <c r="F266" s="280"/>
      <c r="G266" s="280"/>
      <c r="H266" s="282"/>
      <c r="I266" s="283"/>
      <c r="J266" s="282"/>
      <c r="K266" s="284"/>
      <c r="L266" s="285">
        <f>K266+O266</f>
        <v>0</v>
      </c>
      <c r="M266" s="285"/>
      <c r="N266" s="286">
        <f>(M266-K266)</f>
        <v>0</v>
      </c>
      <c r="O266" s="287"/>
      <c r="P266" s="286">
        <v>0.0</v>
      </c>
      <c r="Q266" s="289"/>
      <c r="T266" s="289"/>
      <c r="U266" s="289"/>
    </row>
    <row r="267" spans="1:21" customHeight="1" ht="15">
      <c r="A267" s="280"/>
      <c r="B267" s="280"/>
      <c r="C267" s="280"/>
      <c r="D267" s="280"/>
      <c r="E267" s="280"/>
      <c r="F267" s="280"/>
      <c r="G267" s="280"/>
      <c r="H267" s="282"/>
      <c r="I267" s="283"/>
      <c r="J267" s="282"/>
      <c r="K267" s="284"/>
      <c r="L267" s="285">
        <f>K267+O267</f>
        <v>0</v>
      </c>
      <c r="M267" s="285"/>
      <c r="N267" s="286">
        <f>(M267-K267)</f>
        <v>0</v>
      </c>
      <c r="O267" s="287"/>
      <c r="P267" s="286">
        <v>0.0</v>
      </c>
      <c r="Q267" s="289"/>
      <c r="T267" s="289"/>
      <c r="U267" s="289"/>
    </row>
    <row r="268" spans="1:21" customHeight="1" ht="15">
      <c r="A268" s="280"/>
      <c r="B268" s="280"/>
      <c r="C268" s="280"/>
      <c r="D268" s="280"/>
      <c r="E268" s="280"/>
      <c r="F268" s="280"/>
      <c r="G268" s="280"/>
      <c r="H268" s="282"/>
      <c r="I268" s="283"/>
      <c r="J268" s="282"/>
      <c r="K268" s="284"/>
      <c r="L268" s="285">
        <f>K268+O268</f>
        <v>0</v>
      </c>
      <c r="M268" s="285"/>
      <c r="N268" s="286">
        <f>(M268-K268)</f>
        <v>0</v>
      </c>
      <c r="O268" s="287"/>
      <c r="P268" s="286">
        <v>0.0</v>
      </c>
      <c r="Q268" s="289"/>
      <c r="T268" s="289"/>
      <c r="U268" s="289"/>
    </row>
    <row r="269" spans="1:21" customHeight="1" ht="15">
      <c r="A269" s="280"/>
      <c r="B269" s="280"/>
      <c r="C269" s="280"/>
      <c r="D269" s="280"/>
      <c r="E269" s="280"/>
      <c r="F269" s="280"/>
      <c r="G269" s="280"/>
      <c r="H269" s="282"/>
      <c r="I269" s="283"/>
      <c r="J269" s="282"/>
      <c r="K269" s="284"/>
      <c r="L269" s="285">
        <f>K269+O269</f>
        <v>0</v>
      </c>
      <c r="M269" s="285"/>
      <c r="N269" s="286">
        <f>(M269-K269)</f>
        <v>0</v>
      </c>
      <c r="O269" s="287"/>
      <c r="P269" s="286">
        <v>0.0</v>
      </c>
      <c r="Q269" s="289"/>
      <c r="T269" s="289"/>
      <c r="U269" s="289"/>
    </row>
    <row r="270" spans="1:21" customHeight="1" ht="15">
      <c r="A270" s="280"/>
      <c r="B270" s="280"/>
      <c r="C270" s="280"/>
      <c r="D270" s="280"/>
      <c r="E270" s="280"/>
      <c r="F270" s="280"/>
      <c r="G270" s="280"/>
      <c r="H270" s="282"/>
      <c r="I270" s="283"/>
      <c r="J270" s="282"/>
      <c r="K270" s="284"/>
      <c r="L270" s="285">
        <f>K270+O270</f>
        <v>0</v>
      </c>
      <c r="M270" s="285"/>
      <c r="N270" s="286">
        <f>(M270-K270)</f>
        <v>0</v>
      </c>
      <c r="O270" s="287"/>
      <c r="P270" s="286">
        <v>0.0</v>
      </c>
      <c r="Q270" s="289"/>
      <c r="T270" s="289"/>
      <c r="U270" s="289"/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false" autoFilter="false" pivotTables="true" selectUnlockedCells="true"/>
  <dataValidations count="10">
    <dataValidation type="none" errorStyle="stop" operator="between" allowBlank="1" showDropDown="0" showInputMessage="0" showErrorMessage="1" sqref="F10"/>
    <dataValidation type="none" errorStyle="stop" operator="between" allowBlank="1" showDropDown="0" showInputMessage="0" showErrorMessage="1" sqref="F23"/>
    <dataValidation type="none" errorStyle="stop" operator="between" allowBlank="1" showDropDown="0" showInputMessage="0" showErrorMessage="1" sqref="F26:F29"/>
    <dataValidation type="none" errorStyle="stop" operator="between" allowBlank="1" showDropDown="0" showInputMessage="0" showErrorMessage="1" sqref="F31:F33"/>
    <dataValidation type="none" errorStyle="stop" operator="between" allowBlank="1" showDropDown="0" showInputMessage="0" showErrorMessage="1" sqref="F36"/>
    <dataValidation type="none" errorStyle="stop" operator="between" allowBlank="1" showDropDown="0" showInputMessage="0" showErrorMessage="1" sqref="F41"/>
    <dataValidation type="none" errorStyle="stop" operator="between" allowBlank="1" showDropDown="0" showInputMessage="0" showErrorMessage="1" sqref="F46:F47"/>
    <dataValidation type="none" errorStyle="stop" operator="between" allowBlank="1" showDropDown="0" showInputMessage="0" showErrorMessage="1" sqref="F75:F76"/>
    <dataValidation type="none" errorStyle="stop" operator="between" allowBlank="1" showDropDown="0" showInputMessage="0" showErrorMessage="1" sqref="N6"/>
    <dataValidation type="none" errorStyle="stop" operator="between" allowBlank="1" showDropDown="0" showInputMessage="0" showErrorMessage="1" sqref="P6"/>
  </dataValidations>
  <printOptions gridLines="false" gridLinesSet="true"/>
  <pageMargins left="0.23622047244094" right="0" top="0.39370078740157" bottom="0.39370078740157" header="0.51181102362205" footer="0.51181102362205"/>
  <pageSetup paperSize="9" orientation="landscape" scale="54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3"/>
  <sheetViews>
    <sheetView tabSelected="0" workbookViewId="0" showGridLines="true" showRowColHeaders="1">
      <selection activeCell="J24" sqref="J24"/>
    </sheetView>
  </sheetViews>
  <sheetFormatPr customHeight="true" defaultRowHeight="15" outlineLevelRow="0" outlineLevelCol="0"/>
  <cols>
    <col min="1" max="1" width="40.42578125" customWidth="true" style="0"/>
    <col min="2" max="2" width="25.140625" customWidth="true" style="0"/>
    <col min="3" max="3" width="5.140625" customWidth="true" style="0"/>
    <col min="4" max="4" width="5.140625" customWidth="true" style="0"/>
  </cols>
  <sheetData>
    <row r="1" spans="1:4" customHeight="1" ht="15">
      <c r="A1" s="268" t="s">
        <v>3339</v>
      </c>
      <c r="B1" s="269" t="s">
        <v>2630</v>
      </c>
    </row>
    <row r="2" spans="1:4" customHeight="1" ht="15">
      <c r="A2" s="268" t="s">
        <v>3341</v>
      </c>
      <c r="B2" s="269" t="s">
        <v>2630</v>
      </c>
    </row>
    <row r="4" spans="1:4" customHeight="1" ht="15">
      <c r="A4" s="264" t="s">
        <v>3468</v>
      </c>
      <c r="B4" s="265"/>
    </row>
    <row r="5" spans="1:4" customHeight="1" ht="15">
      <c r="A5" s="264" t="s">
        <v>122</v>
      </c>
      <c r="B5" s="265" t="s">
        <v>2632</v>
      </c>
    </row>
    <row r="6" spans="1:4" customHeight="1" ht="15">
      <c r="A6" s="266" t="s">
        <v>219</v>
      </c>
      <c r="B6" s="435"/>
    </row>
    <row r="7" spans="1:4" customHeight="1" ht="15">
      <c r="A7" s="267" t="s">
        <v>300</v>
      </c>
      <c r="B7" s="436"/>
    </row>
    <row r="8" spans="1:4" customHeight="1" ht="15">
      <c r="A8" s="267" t="s">
        <v>182</v>
      </c>
      <c r="B8" s="436">
        <v>8</v>
      </c>
    </row>
    <row r="9" spans="1:4" customHeight="1" ht="15">
      <c r="A9" s="267" t="s">
        <v>176</v>
      </c>
      <c r="B9" s="436">
        <v>3</v>
      </c>
    </row>
    <row r="10" spans="1:4" customHeight="1" ht="15">
      <c r="A10" s="267" t="s">
        <v>143</v>
      </c>
      <c r="B10" s="436">
        <v>1</v>
      </c>
    </row>
    <row r="11" spans="1:4" customHeight="1" ht="15">
      <c r="A11" s="267" t="s">
        <v>509</v>
      </c>
      <c r="B11" s="436"/>
    </row>
    <row r="12" spans="1:4" customHeight="1" ht="15">
      <c r="A12" s="267" t="s">
        <v>226</v>
      </c>
      <c r="B12" s="436"/>
    </row>
    <row r="13" spans="1:4" customHeight="1" ht="15">
      <c r="A13" s="267" t="s">
        <v>280</v>
      </c>
      <c r="B13" s="436">
        <v>1</v>
      </c>
    </row>
    <row r="14" spans="1:4" customHeight="1" ht="15">
      <c r="A14" s="267" t="s">
        <v>314</v>
      </c>
      <c r="B14" s="436"/>
    </row>
    <row r="15" spans="1:4" customHeight="1" ht="15">
      <c r="A15" s="267" t="s">
        <v>3469</v>
      </c>
      <c r="B15" s="436"/>
    </row>
    <row r="16" spans="1:4" customHeight="1" ht="15">
      <c r="A16" s="267" t="s">
        <v>319</v>
      </c>
      <c r="B16" s="436"/>
    </row>
    <row r="17" spans="1:4" customHeight="1" ht="15">
      <c r="A17" s="267" t="s">
        <v>594</v>
      </c>
      <c r="B17" s="436"/>
    </row>
    <row r="18" spans="1:4" customHeight="1" ht="15">
      <c r="A18" s="267" t="s">
        <v>250</v>
      </c>
      <c r="B18" s="436">
        <v>2</v>
      </c>
    </row>
    <row r="19" spans="1:4" customHeight="1" ht="15">
      <c r="A19" s="267" t="s">
        <v>169</v>
      </c>
      <c r="B19" s="436"/>
    </row>
    <row r="20" spans="1:4" customHeight="1" ht="15">
      <c r="A20" s="267" t="s">
        <v>130</v>
      </c>
      <c r="B20" s="436">
        <v>1</v>
      </c>
    </row>
    <row r="21" spans="1:4" customHeight="1" ht="15">
      <c r="A21" s="267" t="s">
        <v>414</v>
      </c>
      <c r="B21" s="436">
        <v>2</v>
      </c>
    </row>
    <row r="22" spans="1:4" customHeight="1" ht="15">
      <c r="A22" s="267" t="s">
        <v>402</v>
      </c>
      <c r="B22" s="436">
        <v>2</v>
      </c>
    </row>
    <row r="23" spans="1:4" customHeight="1" ht="15">
      <c r="A23" s="434" t="s">
        <v>2651</v>
      </c>
      <c r="B23" s="437">
        <v>20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U267"/>
  <sheetViews>
    <sheetView tabSelected="0" workbookViewId="0" zoomScale="110" zoomScaleNormal="110" showGridLines="true" showRowColHeaders="1">
      <pane xSplit="7" ySplit="7" topLeftCell="H46" activePane="bottomRight" state="frozen"/>
      <selection pane="topRight"/>
      <selection pane="bottomLeft"/>
      <selection pane="bottomRight" activeCell="N68" sqref="N68"/>
    </sheetView>
  </sheetViews>
  <sheetFormatPr customHeight="true" defaultRowHeight="15" defaultColWidth="9.140625" outlineLevelRow="0" outlineLevelCol="0"/>
  <cols>
    <col min="1" max="1" width="12" customWidth="true" style="291"/>
    <col min="2" max="2" width="5.5703125" customWidth="true" style="291"/>
    <col min="3" max="3" width="8.7109375" customWidth="true" style="291"/>
    <col min="4" max="4" width="10.140625" customWidth="true" style="291"/>
    <col min="5" max="5" width="11.5703125" customWidth="true" style="291"/>
    <col min="6" max="6" width="18.85546875" customWidth="true" style="291"/>
    <col min="7" max="7" width="33.28515625" customWidth="true" style="291"/>
    <col min="8" max="8" width="11.5703125" customWidth="true" style="291"/>
    <col min="9" max="9" width="11.5703125" customWidth="true" style="296"/>
    <col min="10" max="10" width="10.85546875" customWidth="true" style="291"/>
    <col min="11" max="11" width="13.140625" customWidth="true" style="295"/>
    <col min="12" max="12" width="11.28515625" customWidth="true" style="291"/>
    <col min="13" max="13" width="11.140625" customWidth="true" style="295"/>
    <col min="14" max="14" width="12.140625" customWidth="true" style="291"/>
    <col min="15" max="15" width="11.5703125" customWidth="true" style="291"/>
    <col min="16" max="16" width="12" customWidth="true" style="291"/>
    <col min="17" max="17" width="15.7109375" customWidth="true" style="290"/>
    <col min="18" max="18" width="12.28515625" customWidth="true" style="290"/>
    <col min="19" max="19" width="12.28515625" customWidth="true" style="290"/>
    <col min="20" max="20" width="19.42578125" customWidth="true" style="290"/>
    <col min="21" max="21" width="14" customWidth="true" style="290"/>
  </cols>
  <sheetData>
    <row r="1" spans="1:21" customHeight="1" ht="15">
      <c r="C1" s="300" t="s">
        <v>3321</v>
      </c>
      <c r="D1" s="300"/>
      <c r="F1" s="300"/>
      <c r="G1" s="300" t="s">
        <v>3322</v>
      </c>
      <c r="J1" s="300" t="s">
        <v>524</v>
      </c>
      <c r="O1" s="300" t="s">
        <v>508</v>
      </c>
    </row>
    <row r="2" spans="1:21" customHeight="1" ht="15">
      <c r="C2" s="85" t="s">
        <v>3323</v>
      </c>
      <c r="D2" s="85" t="s">
        <v>3324</v>
      </c>
      <c r="G2" s="291" t="s">
        <v>3325</v>
      </c>
      <c r="H2" s="296"/>
      <c r="I2" s="135" t="s">
        <v>537</v>
      </c>
      <c r="J2" s="295"/>
      <c r="K2" s="291"/>
      <c r="L2" s="252" t="s">
        <v>3326</v>
      </c>
      <c r="M2" s="291"/>
      <c r="O2" s="291" t="s">
        <v>3327</v>
      </c>
      <c r="P2" s="290"/>
      <c r="T2" s="295"/>
      <c r="U2" s="299"/>
    </row>
    <row r="3" spans="1:21" customHeight="1" ht="15">
      <c r="C3" s="85" t="s">
        <v>3328</v>
      </c>
      <c r="D3" s="85" t="s">
        <v>3329</v>
      </c>
      <c r="F3" s="299"/>
      <c r="G3" s="299" t="s">
        <v>3330</v>
      </c>
      <c r="H3" s="296"/>
      <c r="I3" s="136" t="s">
        <v>549</v>
      </c>
      <c r="J3" s="295"/>
      <c r="K3" s="291"/>
      <c r="L3" s="295"/>
      <c r="M3" s="291"/>
      <c r="P3" s="290"/>
      <c r="T3" s="295"/>
      <c r="U3" s="299"/>
    </row>
    <row r="4" spans="1:21" customHeight="1" ht="15">
      <c r="C4" s="85" t="s">
        <v>3331</v>
      </c>
      <c r="D4" s="85" t="s">
        <v>3332</v>
      </c>
      <c r="H4" s="296"/>
      <c r="I4" s="137" t="s">
        <v>558</v>
      </c>
      <c r="J4" s="295"/>
      <c r="K4" s="291"/>
      <c r="L4" s="295"/>
      <c r="M4" s="291"/>
      <c r="P4" s="290"/>
      <c r="T4" s="295"/>
      <c r="U4" s="299"/>
    </row>
    <row r="5" spans="1:21" customHeight="1" ht="15">
      <c r="C5" s="85" t="s">
        <v>3333</v>
      </c>
      <c r="D5" s="85" t="s">
        <v>3334</v>
      </c>
      <c r="H5" s="296"/>
      <c r="I5" s="138" t="s">
        <v>3335</v>
      </c>
      <c r="J5" s="295"/>
      <c r="K5" s="291"/>
      <c r="L5" s="295"/>
      <c r="M5" s="291"/>
      <c r="P5" s="290"/>
      <c r="T5" s="295"/>
      <c r="U5" s="299"/>
    </row>
    <row r="6" spans="1:21" customHeight="1" ht="60" s="296" customFormat="1">
      <c r="C6" s="720" t="s">
        <v>598</v>
      </c>
      <c r="D6" s="720" t="s">
        <v>598</v>
      </c>
      <c r="E6" s="720" t="s">
        <v>598</v>
      </c>
      <c r="F6" s="298"/>
      <c r="H6" s="720" t="s">
        <v>598</v>
      </c>
      <c r="I6" s="720" t="s">
        <v>598</v>
      </c>
      <c r="J6" s="720" t="s">
        <v>598</v>
      </c>
      <c r="K6" s="295"/>
      <c r="M6" s="295"/>
      <c r="N6" s="164" t="s">
        <v>597</v>
      </c>
      <c r="P6" s="164" t="s">
        <v>597</v>
      </c>
      <c r="Q6" s="295"/>
      <c r="R6" s="295"/>
      <c r="S6" s="295"/>
      <c r="T6" s="295"/>
      <c r="U6" s="290"/>
    </row>
    <row r="7" spans="1:21" customHeight="1" ht="41.25">
      <c r="A7" s="167" t="s">
        <v>3336</v>
      </c>
      <c r="B7" s="167" t="s">
        <v>3337</v>
      </c>
      <c r="C7" s="167" t="s">
        <v>120</v>
      </c>
      <c r="D7" s="167" t="s">
        <v>122</v>
      </c>
      <c r="E7" s="167" t="s">
        <v>514</v>
      </c>
      <c r="F7" s="167" t="s">
        <v>26</v>
      </c>
      <c r="G7" s="167" t="s">
        <v>3338</v>
      </c>
      <c r="H7" s="167" t="s">
        <v>3339</v>
      </c>
      <c r="I7" s="167" t="s">
        <v>3340</v>
      </c>
      <c r="J7" s="167" t="s">
        <v>3341</v>
      </c>
      <c r="K7" s="167" t="s">
        <v>3342</v>
      </c>
      <c r="L7" s="167" t="s">
        <v>3343</v>
      </c>
      <c r="M7" s="167" t="s">
        <v>3344</v>
      </c>
      <c r="N7" s="167" t="s">
        <v>3345</v>
      </c>
      <c r="O7" s="167" t="s">
        <v>3346</v>
      </c>
      <c r="P7" s="167" t="s">
        <v>3347</v>
      </c>
      <c r="Q7" s="167" t="s">
        <v>3348</v>
      </c>
      <c r="R7" s="167" t="s">
        <v>56</v>
      </c>
      <c r="S7" s="167" t="s">
        <v>3349</v>
      </c>
      <c r="T7" s="167" t="s">
        <v>3350</v>
      </c>
      <c r="U7" s="297" t="s">
        <v>3082</v>
      </c>
    </row>
    <row r="8" spans="1:21" customHeight="1" ht="15" hidden="true">
      <c r="A8" s="280" t="s">
        <v>3351</v>
      </c>
      <c r="B8" s="280" t="s">
        <v>3352</v>
      </c>
      <c r="C8" s="280" t="s">
        <v>128</v>
      </c>
      <c r="D8" s="280" t="s">
        <v>176</v>
      </c>
      <c r="E8" s="280" t="s">
        <v>552</v>
      </c>
      <c r="F8" s="280" t="s">
        <v>3353</v>
      </c>
      <c r="G8" s="307" t="s">
        <v>255</v>
      </c>
      <c r="H8" s="282" t="s">
        <v>526</v>
      </c>
      <c r="I8" s="283" t="s">
        <v>589</v>
      </c>
      <c r="J8" s="282" t="s">
        <v>526</v>
      </c>
      <c r="K8" s="284">
        <v>46034</v>
      </c>
      <c r="L8" s="285">
        <f>K8+O8</f>
        <v>46076</v>
      </c>
      <c r="M8" s="285">
        <v>46016</v>
      </c>
      <c r="N8" s="286">
        <f>(M8-K8)</f>
        <v>-18</v>
      </c>
      <c r="O8" s="287">
        <v>42</v>
      </c>
      <c r="P8" s="288">
        <f>O8-N8</f>
        <v>60</v>
      </c>
      <c r="Q8" s="289" t="s">
        <v>3354</v>
      </c>
      <c r="R8" s="289"/>
      <c r="S8" s="306">
        <f>R8-M8</f>
        <v>-46016</v>
      </c>
      <c r="T8" s="270" t="s">
        <v>3355</v>
      </c>
      <c r="U8" s="289"/>
    </row>
    <row r="9" spans="1:21" customHeight="1" ht="15" hidden="true">
      <c r="A9" s="280" t="s">
        <v>3351</v>
      </c>
      <c r="B9" s="280" t="s">
        <v>3352</v>
      </c>
      <c r="C9" s="280" t="s">
        <v>128</v>
      </c>
      <c r="D9" s="280" t="s">
        <v>169</v>
      </c>
      <c r="E9" s="280" t="s">
        <v>552</v>
      </c>
      <c r="F9" s="280" t="s">
        <v>396</v>
      </c>
      <c r="G9" s="307" t="s">
        <v>1570</v>
      </c>
      <c r="H9" s="282" t="s">
        <v>526</v>
      </c>
      <c r="I9" s="283" t="s">
        <v>591</v>
      </c>
      <c r="J9" s="282" t="s">
        <v>526</v>
      </c>
      <c r="K9" s="284">
        <v>46034</v>
      </c>
      <c r="L9" s="285">
        <f>K9+O9</f>
        <v>46076</v>
      </c>
      <c r="M9" s="285">
        <v>46034</v>
      </c>
      <c r="N9" s="286">
        <f>(M9-K9)</f>
        <v>0</v>
      </c>
      <c r="O9" s="287">
        <v>42</v>
      </c>
      <c r="P9" s="444">
        <f>O9-N9</f>
        <v>42</v>
      </c>
      <c r="Q9" s="289" t="s">
        <v>3356</v>
      </c>
      <c r="R9" s="270"/>
      <c r="S9" s="309">
        <f>R9-M9</f>
        <v>-46034</v>
      </c>
      <c r="T9" s="270" t="s">
        <v>3357</v>
      </c>
      <c r="U9" s="289"/>
    </row>
    <row r="10" spans="1:21" customHeight="1" ht="15" hidden="true">
      <c r="A10" s="280" t="s">
        <v>3351</v>
      </c>
      <c r="B10" s="280" t="s">
        <v>3352</v>
      </c>
      <c r="C10" s="280" t="s">
        <v>128</v>
      </c>
      <c r="D10" s="280" t="s">
        <v>300</v>
      </c>
      <c r="E10" s="280" t="s">
        <v>552</v>
      </c>
      <c r="F10" s="280" t="s">
        <v>3358</v>
      </c>
      <c r="G10" s="307" t="s">
        <v>304</v>
      </c>
      <c r="H10" s="282" t="s">
        <v>526</v>
      </c>
      <c r="I10" s="283" t="s">
        <v>591</v>
      </c>
      <c r="J10" s="282" t="s">
        <v>526</v>
      </c>
      <c r="K10" s="284">
        <v>46034</v>
      </c>
      <c r="L10" s="285">
        <f>K10+O10</f>
        <v>46076</v>
      </c>
      <c r="M10" s="285">
        <v>46007</v>
      </c>
      <c r="N10" s="286">
        <f>(M10-K10)</f>
        <v>-27</v>
      </c>
      <c r="O10" s="287">
        <v>42</v>
      </c>
      <c r="P10" s="310">
        <f>O10-N10</f>
        <v>69</v>
      </c>
      <c r="Q10" s="270" t="s">
        <v>3359</v>
      </c>
      <c r="R10" s="292"/>
      <c r="S10" s="305">
        <f>R10-M10</f>
        <v>-46007</v>
      </c>
      <c r="T10" s="289" t="s">
        <v>3357</v>
      </c>
      <c r="U10" s="283"/>
    </row>
    <row r="11" spans="1:21" customHeight="1" ht="15" hidden="true">
      <c r="A11" s="280" t="s">
        <v>3351</v>
      </c>
      <c r="B11" s="280" t="s">
        <v>3352</v>
      </c>
      <c r="C11" s="280" t="s">
        <v>128</v>
      </c>
      <c r="D11" s="280" t="s">
        <v>226</v>
      </c>
      <c r="E11" s="280" t="s">
        <v>552</v>
      </c>
      <c r="F11" s="280" t="s">
        <v>3360</v>
      </c>
      <c r="G11" s="307" t="s">
        <v>335</v>
      </c>
      <c r="H11" s="282" t="s">
        <v>526</v>
      </c>
      <c r="I11" s="283" t="s">
        <v>539</v>
      </c>
      <c r="J11" s="282" t="s">
        <v>526</v>
      </c>
      <c r="K11" s="284">
        <v>46034</v>
      </c>
      <c r="L11" s="285">
        <f>K11+O11</f>
        <v>46076</v>
      </c>
      <c r="M11" s="285">
        <v>46036</v>
      </c>
      <c r="N11" s="286">
        <f>(M11-K11)</f>
        <v>2</v>
      </c>
      <c r="O11" s="287">
        <v>42</v>
      </c>
      <c r="P11" s="286">
        <f>O11-N11</f>
        <v>40</v>
      </c>
      <c r="Q11" s="289" t="s">
        <v>3361</v>
      </c>
      <c r="R11" s="289"/>
      <c r="S11" s="306">
        <f>R11-M11</f>
        <v>-46036</v>
      </c>
      <c r="T11" s="270" t="s">
        <v>3362</v>
      </c>
      <c r="U11" s="289"/>
    </row>
    <row r="12" spans="1:21" customHeight="1" ht="15" hidden="true">
      <c r="A12" s="280" t="s">
        <v>3351</v>
      </c>
      <c r="B12" s="280" t="s">
        <v>3352</v>
      </c>
      <c r="C12" s="280" t="s">
        <v>128</v>
      </c>
      <c r="D12" s="280" t="s">
        <v>250</v>
      </c>
      <c r="E12" s="280" t="s">
        <v>552</v>
      </c>
      <c r="F12" s="280" t="s">
        <v>3051</v>
      </c>
      <c r="G12" s="307" t="s">
        <v>3363</v>
      </c>
      <c r="H12" s="282" t="s">
        <v>526</v>
      </c>
      <c r="I12" s="283" t="s">
        <v>539</v>
      </c>
      <c r="J12" s="302" t="s">
        <v>539</v>
      </c>
      <c r="K12" s="284">
        <v>46034</v>
      </c>
      <c r="L12" s="285">
        <f>K12+O12</f>
        <v>46069</v>
      </c>
      <c r="M12" s="285">
        <v>46069</v>
      </c>
      <c r="N12" s="286">
        <f>(M12-K12)</f>
        <v>35</v>
      </c>
      <c r="O12" s="311">
        <v>35</v>
      </c>
      <c r="P12" s="444">
        <f>O12-N12</f>
        <v>0</v>
      </c>
      <c r="Q12" s="289" t="s">
        <v>3364</v>
      </c>
      <c r="R12" s="289"/>
      <c r="S12" s="309">
        <f>R12-M12</f>
        <v>-46069</v>
      </c>
      <c r="T12" s="270" t="s">
        <v>3365</v>
      </c>
      <c r="U12" s="289"/>
    </row>
    <row r="13" spans="1:21" customHeight="1" ht="15" hidden="true">
      <c r="A13" s="280" t="s">
        <v>3351</v>
      </c>
      <c r="B13" s="280" t="s">
        <v>3352</v>
      </c>
      <c r="C13" s="280" t="s">
        <v>128</v>
      </c>
      <c r="D13" s="280" t="s">
        <v>156</v>
      </c>
      <c r="E13" s="280" t="s">
        <v>552</v>
      </c>
      <c r="F13" s="280" t="s">
        <v>152</v>
      </c>
      <c r="G13" s="307" t="s">
        <v>161</v>
      </c>
      <c r="H13" s="282" t="s">
        <v>526</v>
      </c>
      <c r="I13" s="283" t="s">
        <v>589</v>
      </c>
      <c r="J13" s="282" t="s">
        <v>526</v>
      </c>
      <c r="K13" s="284">
        <v>46034</v>
      </c>
      <c r="L13" s="285">
        <f>K13+O13</f>
        <v>46076</v>
      </c>
      <c r="M13" s="285">
        <v>46035</v>
      </c>
      <c r="N13" s="286">
        <f>(M13-K13)</f>
        <v>1</v>
      </c>
      <c r="O13" s="287">
        <v>42</v>
      </c>
      <c r="P13" s="288">
        <f>O13-N13</f>
        <v>41</v>
      </c>
      <c r="Q13" s="289" t="s">
        <v>3366</v>
      </c>
      <c r="R13" s="289"/>
      <c r="S13" s="306">
        <f>R13-M13</f>
        <v>-46035</v>
      </c>
      <c r="T13" s="270" t="s">
        <v>3362</v>
      </c>
      <c r="U13" s="289"/>
    </row>
    <row r="14" spans="1:21" customHeight="1" ht="15" hidden="true">
      <c r="A14" s="280" t="s">
        <v>3351</v>
      </c>
      <c r="B14" s="280" t="s">
        <v>3352</v>
      </c>
      <c r="C14" s="280" t="s">
        <v>128</v>
      </c>
      <c r="D14" s="189" t="s">
        <v>135</v>
      </c>
      <c r="E14" s="280" t="s">
        <v>567</v>
      </c>
      <c r="F14" s="280" t="s">
        <v>422</v>
      </c>
      <c r="G14" s="307" t="s">
        <v>3367</v>
      </c>
      <c r="H14" s="282" t="s">
        <v>526</v>
      </c>
      <c r="I14" s="283" t="s">
        <v>539</v>
      </c>
      <c r="J14" s="282" t="s">
        <v>526</v>
      </c>
      <c r="K14" s="284">
        <v>46034</v>
      </c>
      <c r="L14" s="285">
        <f>K14+O14</f>
        <v>46076</v>
      </c>
      <c r="M14" s="285">
        <v>46041</v>
      </c>
      <c r="N14" s="286">
        <f>(M14-K14)</f>
        <v>7</v>
      </c>
      <c r="O14" s="287">
        <v>42</v>
      </c>
      <c r="P14" s="444">
        <f>O14-N14</f>
        <v>35</v>
      </c>
      <c r="Q14" s="270" t="s">
        <v>3368</v>
      </c>
      <c r="R14" s="308"/>
      <c r="S14" s="309">
        <f>R14-M14</f>
        <v>-46041</v>
      </c>
      <c r="T14" s="308" t="s">
        <v>3362</v>
      </c>
      <c r="U14" s="289"/>
    </row>
    <row r="15" spans="1:21" customHeight="1" ht="14.25" hidden="true">
      <c r="A15" s="280" t="s">
        <v>3351</v>
      </c>
      <c r="B15" s="280" t="s">
        <v>3352</v>
      </c>
      <c r="C15" s="280" t="s">
        <v>128</v>
      </c>
      <c r="D15" s="280" t="s">
        <v>130</v>
      </c>
      <c r="E15" s="280" t="s">
        <v>552</v>
      </c>
      <c r="F15" s="280" t="s">
        <v>378</v>
      </c>
      <c r="G15" s="280" t="s">
        <v>329</v>
      </c>
      <c r="H15" s="282" t="s">
        <v>526</v>
      </c>
      <c r="I15" s="283" t="s">
        <v>539</v>
      </c>
      <c r="J15" s="282" t="s">
        <v>526</v>
      </c>
      <c r="K15" s="284">
        <v>46034</v>
      </c>
      <c r="L15" s="285">
        <f>K15+O15</f>
        <v>46069</v>
      </c>
      <c r="M15" s="285">
        <v>46045</v>
      </c>
      <c r="N15" s="286">
        <f>(M15-K15)</f>
        <v>11</v>
      </c>
      <c r="O15" s="287">
        <v>35</v>
      </c>
      <c r="P15" s="286">
        <f>O15-N15</f>
        <v>24</v>
      </c>
      <c r="Q15" s="289" t="s">
        <v>3369</v>
      </c>
      <c r="R15" s="308"/>
      <c r="S15" s="309">
        <f>R15-M15</f>
        <v>-46045</v>
      </c>
      <c r="T15" s="270" t="s">
        <v>3362</v>
      </c>
      <c r="U15" s="289"/>
    </row>
    <row r="16" spans="1:21" customHeight="1" ht="15" hidden="true">
      <c r="A16" s="280" t="s">
        <v>3351</v>
      </c>
      <c r="B16" s="280" t="s">
        <v>3352</v>
      </c>
      <c r="C16" s="280" t="s">
        <v>128</v>
      </c>
      <c r="D16" s="280" t="s">
        <v>402</v>
      </c>
      <c r="E16" s="280" t="s">
        <v>552</v>
      </c>
      <c r="F16" s="280" t="s">
        <v>400</v>
      </c>
      <c r="G16" s="280" t="s">
        <v>3370</v>
      </c>
      <c r="H16" s="282" t="s">
        <v>526</v>
      </c>
      <c r="I16" s="283" t="s">
        <v>551</v>
      </c>
      <c r="J16" s="282" t="s">
        <v>539</v>
      </c>
      <c r="K16" s="284">
        <v>46034</v>
      </c>
      <c r="L16" s="285">
        <f>K16+O16</f>
        <v>46118</v>
      </c>
      <c r="M16" s="285">
        <v>46055</v>
      </c>
      <c r="N16" s="286">
        <f>(M16-K16)</f>
        <v>21</v>
      </c>
      <c r="O16" s="287">
        <v>84</v>
      </c>
      <c r="P16" s="288">
        <f>O16-N16</f>
        <v>63</v>
      </c>
      <c r="Q16" s="270" t="s">
        <v>3371</v>
      </c>
      <c r="R16" s="308"/>
      <c r="S16" s="309">
        <f>R16-M16</f>
        <v>-46055</v>
      </c>
      <c r="T16" s="308" t="s">
        <v>3355</v>
      </c>
      <c r="U16" s="289"/>
    </row>
    <row r="17" spans="1:21" customHeight="1" ht="15" hidden="true">
      <c r="A17" s="280" t="s">
        <v>3351</v>
      </c>
      <c r="B17" s="280" t="s">
        <v>3352</v>
      </c>
      <c r="C17" s="280" t="s">
        <v>128</v>
      </c>
      <c r="D17" s="280" t="s">
        <v>176</v>
      </c>
      <c r="E17" s="280" t="s">
        <v>552</v>
      </c>
      <c r="F17" s="280" t="s">
        <v>3015</v>
      </c>
      <c r="G17" s="280" t="s">
        <v>256</v>
      </c>
      <c r="H17" s="282" t="s">
        <v>526</v>
      </c>
      <c r="I17" s="283" t="s">
        <v>539</v>
      </c>
      <c r="J17" s="282" t="s">
        <v>539</v>
      </c>
      <c r="K17" s="284">
        <v>46034</v>
      </c>
      <c r="L17" s="285">
        <f>K17+O17</f>
        <v>46076</v>
      </c>
      <c r="M17" s="285">
        <v>46055</v>
      </c>
      <c r="N17" s="286">
        <f>(M17-K17)</f>
        <v>21</v>
      </c>
      <c r="O17" s="287">
        <v>42</v>
      </c>
      <c r="P17" s="444">
        <f>O17-N17</f>
        <v>21</v>
      </c>
      <c r="Q17" s="289" t="s">
        <v>3372</v>
      </c>
      <c r="R17" s="283"/>
      <c r="S17" s="309">
        <f>R17-M17</f>
        <v>-46055</v>
      </c>
      <c r="T17" s="270" t="s">
        <v>3355</v>
      </c>
      <c r="U17" s="289"/>
    </row>
    <row r="18" spans="1:21" customHeight="1" ht="15" hidden="true">
      <c r="A18" s="280" t="s">
        <v>3351</v>
      </c>
      <c r="B18" s="280" t="s">
        <v>3352</v>
      </c>
      <c r="C18" s="280" t="s">
        <v>128</v>
      </c>
      <c r="D18" s="280" t="s">
        <v>176</v>
      </c>
      <c r="E18" s="280" t="s">
        <v>552</v>
      </c>
      <c r="F18" s="280" t="s">
        <v>3015</v>
      </c>
      <c r="G18" s="280" t="s">
        <v>254</v>
      </c>
      <c r="H18" s="282" t="s">
        <v>526</v>
      </c>
      <c r="I18" s="283" t="s">
        <v>539</v>
      </c>
      <c r="J18" s="282" t="s">
        <v>526</v>
      </c>
      <c r="K18" s="284">
        <v>46034</v>
      </c>
      <c r="L18" s="285">
        <f>K18+O18</f>
        <v>46076</v>
      </c>
      <c r="M18" s="285">
        <v>46051</v>
      </c>
      <c r="N18" s="286">
        <f>(M18-K18)</f>
        <v>17</v>
      </c>
      <c r="O18" s="287">
        <v>42</v>
      </c>
      <c r="P18" s="444">
        <f>O18-N18</f>
        <v>25</v>
      </c>
      <c r="Q18" s="289" t="s">
        <v>3373</v>
      </c>
      <c r="R18" s="283"/>
      <c r="S18" s="309">
        <f>R18-M18</f>
        <v>-46051</v>
      </c>
      <c r="T18" s="270" t="s">
        <v>3355</v>
      </c>
      <c r="U18" s="289"/>
    </row>
    <row r="19" spans="1:21" customHeight="1" ht="15" hidden="true">
      <c r="A19" s="280" t="s">
        <v>3374</v>
      </c>
      <c r="B19" s="280" t="s">
        <v>3352</v>
      </c>
      <c r="C19" s="280" t="s">
        <v>128</v>
      </c>
      <c r="D19" s="280" t="s">
        <v>176</v>
      </c>
      <c r="E19" s="280" t="s">
        <v>552</v>
      </c>
      <c r="F19" s="280" t="s">
        <v>3353</v>
      </c>
      <c r="G19" s="307" t="s">
        <v>254</v>
      </c>
      <c r="H19" s="282" t="s">
        <v>526</v>
      </c>
      <c r="I19" s="283" t="s">
        <v>539</v>
      </c>
      <c r="J19" s="282" t="s">
        <v>551</v>
      </c>
      <c r="K19" s="284">
        <v>46034</v>
      </c>
      <c r="L19" s="285">
        <f>K19+O19</f>
        <v>46076</v>
      </c>
      <c r="M19" s="285">
        <v>46084</v>
      </c>
      <c r="N19" s="286">
        <f>(M19-K19)</f>
        <v>50</v>
      </c>
      <c r="O19" s="287">
        <v>42</v>
      </c>
      <c r="P19" s="444">
        <f>O19-N19</f>
        <v>-8</v>
      </c>
      <c r="Q19" s="289" t="s">
        <v>3375</v>
      </c>
      <c r="R19" s="289"/>
      <c r="S19" s="309">
        <f>R19-M19</f>
        <v>-46084</v>
      </c>
      <c r="T19" s="270" t="s">
        <v>3355</v>
      </c>
      <c r="U19" s="289"/>
    </row>
    <row r="20" spans="1:21" customHeight="1" ht="15" hidden="true">
      <c r="A20" s="280" t="s">
        <v>3351</v>
      </c>
      <c r="B20" s="280" t="s">
        <v>3352</v>
      </c>
      <c r="C20" s="280" t="s">
        <v>128</v>
      </c>
      <c r="D20" s="280" t="s">
        <v>176</v>
      </c>
      <c r="E20" s="280" t="s">
        <v>552</v>
      </c>
      <c r="F20" s="280" t="s">
        <v>3376</v>
      </c>
      <c r="G20" s="307" t="s">
        <v>254</v>
      </c>
      <c r="H20" s="282" t="s">
        <v>526</v>
      </c>
      <c r="I20" s="283" t="s">
        <v>539</v>
      </c>
      <c r="J20" s="282" t="s">
        <v>551</v>
      </c>
      <c r="K20" s="284">
        <v>46034</v>
      </c>
      <c r="L20" s="285">
        <f>K20+O20</f>
        <v>46076</v>
      </c>
      <c r="M20" s="285">
        <v>46111</v>
      </c>
      <c r="N20" s="286">
        <f>(M20-K20)</f>
        <v>77</v>
      </c>
      <c r="O20" s="287">
        <v>42</v>
      </c>
      <c r="P20" s="444">
        <f>O20-N20</f>
        <v>-35</v>
      </c>
      <c r="Q20" s="289" t="s">
        <v>3377</v>
      </c>
      <c r="R20" s="289"/>
      <c r="S20" s="306">
        <f>R20-M20</f>
        <v>-46111</v>
      </c>
      <c r="T20" s="270" t="s">
        <v>3355</v>
      </c>
      <c r="U20" s="289"/>
    </row>
    <row r="21" spans="1:21" customHeight="1" ht="15" hidden="true">
      <c r="A21" s="280" t="s">
        <v>3351</v>
      </c>
      <c r="B21" s="280" t="s">
        <v>3352</v>
      </c>
      <c r="C21" s="280" t="s">
        <v>128</v>
      </c>
      <c r="D21" s="280" t="s">
        <v>250</v>
      </c>
      <c r="E21" s="280" t="s">
        <v>552</v>
      </c>
      <c r="F21" s="280" t="s">
        <v>391</v>
      </c>
      <c r="G21" s="307" t="s">
        <v>392</v>
      </c>
      <c r="H21" s="282" t="s">
        <v>526</v>
      </c>
      <c r="I21" s="283" t="s">
        <v>539</v>
      </c>
      <c r="J21" s="282" t="s">
        <v>526</v>
      </c>
      <c r="K21" s="284">
        <v>46034</v>
      </c>
      <c r="L21" s="285">
        <f>K21+O21+12</f>
        <v>46067</v>
      </c>
      <c r="M21" s="285">
        <v>46045</v>
      </c>
      <c r="N21" s="286">
        <f>(M21-K21)</f>
        <v>11</v>
      </c>
      <c r="O21" s="287">
        <v>21</v>
      </c>
      <c r="P21" s="288">
        <f>O21-N21</f>
        <v>10</v>
      </c>
      <c r="Q21" s="289" t="s">
        <v>3378</v>
      </c>
      <c r="R21" s="289"/>
      <c r="S21" s="309">
        <f>R21-M21</f>
        <v>-46045</v>
      </c>
      <c r="T21" s="270" t="s">
        <v>3362</v>
      </c>
      <c r="U21" s="289"/>
    </row>
    <row r="22" spans="1:21" customHeight="1" ht="15" hidden="true">
      <c r="A22" s="280" t="s">
        <v>3351</v>
      </c>
      <c r="B22" s="280" t="s">
        <v>3352</v>
      </c>
      <c r="C22" s="280" t="s">
        <v>128</v>
      </c>
      <c r="D22" s="280" t="s">
        <v>250</v>
      </c>
      <c r="E22" s="280" t="s">
        <v>552</v>
      </c>
      <c r="F22" s="280" t="s">
        <v>391</v>
      </c>
      <c r="G22" s="307" t="s">
        <v>392</v>
      </c>
      <c r="H22" s="282" t="s">
        <v>526</v>
      </c>
      <c r="I22" s="283" t="s">
        <v>539</v>
      </c>
      <c r="J22" s="282" t="s">
        <v>551</v>
      </c>
      <c r="K22" s="284">
        <v>46034</v>
      </c>
      <c r="L22" s="285">
        <f>K22+O22+12</f>
        <v>46067</v>
      </c>
      <c r="M22" s="285">
        <v>46084</v>
      </c>
      <c r="N22" s="286">
        <f>(M22-K22)</f>
        <v>50</v>
      </c>
      <c r="O22" s="287">
        <v>21</v>
      </c>
      <c r="P22" s="288">
        <f>O22-N22</f>
        <v>-29</v>
      </c>
      <c r="Q22" s="289" t="s">
        <v>3379</v>
      </c>
      <c r="R22" s="289"/>
      <c r="S22" s="309">
        <f>R22-M22</f>
        <v>-46084</v>
      </c>
      <c r="T22" s="270" t="s">
        <v>3362</v>
      </c>
      <c r="U22" s="289"/>
    </row>
    <row r="23" spans="1:21" customHeight="1" ht="15" hidden="true">
      <c r="A23" s="280" t="s">
        <v>3374</v>
      </c>
      <c r="B23" s="280" t="s">
        <v>3352</v>
      </c>
      <c r="C23" s="280" t="s">
        <v>128</v>
      </c>
      <c r="D23" s="280" t="s">
        <v>226</v>
      </c>
      <c r="E23" s="280" t="s">
        <v>552</v>
      </c>
      <c r="F23" s="280" t="s">
        <v>233</v>
      </c>
      <c r="G23" s="307" t="s">
        <v>235</v>
      </c>
      <c r="H23" s="282" t="s">
        <v>526</v>
      </c>
      <c r="I23" s="283" t="s">
        <v>591</v>
      </c>
      <c r="J23" s="282" t="s">
        <v>526</v>
      </c>
      <c r="K23" s="284">
        <v>46034</v>
      </c>
      <c r="L23" s="285">
        <f>K23+O23+12</f>
        <v>46088</v>
      </c>
      <c r="M23" s="285">
        <v>46034</v>
      </c>
      <c r="N23" s="286">
        <f>(M23-K23)</f>
        <v>0</v>
      </c>
      <c r="O23" s="287">
        <v>42</v>
      </c>
      <c r="P23" s="288">
        <f>O23-N23</f>
        <v>42</v>
      </c>
      <c r="Q23" s="289" t="s">
        <v>3380</v>
      </c>
      <c r="R23" s="289"/>
      <c r="S23" s="309">
        <f>R23-M23</f>
        <v>-46034</v>
      </c>
      <c r="T23" s="270" t="s">
        <v>3362</v>
      </c>
      <c r="U23" s="289"/>
    </row>
    <row r="24" spans="1:21" customHeight="1" ht="15" hidden="true">
      <c r="A24" s="280" t="s">
        <v>3351</v>
      </c>
      <c r="B24" s="280" t="s">
        <v>3352</v>
      </c>
      <c r="C24" s="280" t="s">
        <v>128</v>
      </c>
      <c r="D24" s="280" t="s">
        <v>130</v>
      </c>
      <c r="E24" s="280" t="s">
        <v>3381</v>
      </c>
      <c r="F24" s="280" t="s">
        <v>3045</v>
      </c>
      <c r="G24" s="280" t="s">
        <v>255</v>
      </c>
      <c r="H24" s="282" t="s">
        <v>526</v>
      </c>
      <c r="I24" s="283" t="s">
        <v>551</v>
      </c>
      <c r="J24" s="282" t="s">
        <v>526</v>
      </c>
      <c r="K24" s="284">
        <v>46036</v>
      </c>
      <c r="L24" s="285">
        <f>K24+O24+12</f>
        <v>46090</v>
      </c>
      <c r="M24" s="285">
        <v>46055</v>
      </c>
      <c r="N24" s="286">
        <f>(M24-K24)</f>
        <v>19</v>
      </c>
      <c r="O24" s="287">
        <v>42</v>
      </c>
      <c r="P24" s="286">
        <f>O24-N24</f>
        <v>23</v>
      </c>
      <c r="Q24" s="289" t="s">
        <v>3382</v>
      </c>
      <c r="R24" s="289"/>
      <c r="S24" s="306">
        <f>R24-M24</f>
        <v>-46055</v>
      </c>
      <c r="T24" s="270" t="s">
        <v>3362</v>
      </c>
      <c r="U24" s="289"/>
    </row>
    <row r="25" spans="1:21" customHeight="1" ht="15" hidden="true">
      <c r="A25" s="280" t="s">
        <v>3351</v>
      </c>
      <c r="B25" s="280" t="s">
        <v>3352</v>
      </c>
      <c r="C25" s="280" t="s">
        <v>128</v>
      </c>
      <c r="D25" s="280" t="s">
        <v>176</v>
      </c>
      <c r="E25" s="280" t="s">
        <v>552</v>
      </c>
      <c r="F25" s="280" t="s">
        <v>1233</v>
      </c>
      <c r="G25" s="280" t="s">
        <v>1239</v>
      </c>
      <c r="H25" s="282" t="s">
        <v>526</v>
      </c>
      <c r="I25" s="283" t="s">
        <v>551</v>
      </c>
      <c r="J25" s="282" t="s">
        <v>539</v>
      </c>
      <c r="K25" s="284">
        <v>46041</v>
      </c>
      <c r="L25" s="285">
        <f>K25+O25</f>
        <v>46083</v>
      </c>
      <c r="M25" s="285">
        <v>46077</v>
      </c>
      <c r="N25" s="286">
        <f>(M25-K25)</f>
        <v>36</v>
      </c>
      <c r="O25" s="287">
        <v>42</v>
      </c>
      <c r="P25" s="286">
        <f>O25-N25</f>
        <v>6</v>
      </c>
      <c r="Q25" s="289" t="s">
        <v>3383</v>
      </c>
      <c r="R25" s="289"/>
      <c r="S25" s="306">
        <f>R25-M25</f>
        <v>-46077</v>
      </c>
      <c r="T25" s="270" t="s">
        <v>3357</v>
      </c>
      <c r="U25" s="289"/>
    </row>
    <row r="26" spans="1:21" customHeight="1" ht="15" hidden="true">
      <c r="A26" s="280" t="s">
        <v>3351</v>
      </c>
      <c r="B26" s="280" t="s">
        <v>3352</v>
      </c>
      <c r="C26" s="280" t="s">
        <v>128</v>
      </c>
      <c r="D26" s="280" t="s">
        <v>182</v>
      </c>
      <c r="E26" s="280" t="s">
        <v>552</v>
      </c>
      <c r="F26" s="445" t="s">
        <v>180</v>
      </c>
      <c r="G26" s="445" t="s">
        <v>3384</v>
      </c>
      <c r="H26" s="282" t="s">
        <v>526</v>
      </c>
      <c r="I26" s="283" t="s">
        <v>551</v>
      </c>
      <c r="J26" s="282" t="s">
        <v>551</v>
      </c>
      <c r="K26" s="284">
        <v>46041</v>
      </c>
      <c r="L26" s="285">
        <f>K26+O26</f>
        <v>46083</v>
      </c>
      <c r="M26" s="285">
        <v>46113</v>
      </c>
      <c r="N26" s="286">
        <f>(M26-K26)</f>
        <v>72</v>
      </c>
      <c r="O26" s="287">
        <v>42</v>
      </c>
      <c r="P26" s="286">
        <f>O26-N26</f>
        <v>-30</v>
      </c>
      <c r="Q26" s="289" t="s">
        <v>3385</v>
      </c>
      <c r="R26" s="289"/>
      <c r="S26" s="306">
        <f>R26-M26</f>
        <v>-46113</v>
      </c>
      <c r="T26" s="270" t="s">
        <v>3357</v>
      </c>
      <c r="U26" s="289"/>
    </row>
    <row r="27" spans="1:21" customHeight="1" ht="15" hidden="true">
      <c r="A27" s="280" t="s">
        <v>3351</v>
      </c>
      <c r="B27" s="280" t="s">
        <v>3352</v>
      </c>
      <c r="C27" s="280" t="s">
        <v>128</v>
      </c>
      <c r="D27" s="280" t="s">
        <v>135</v>
      </c>
      <c r="E27" s="280" t="s">
        <v>567</v>
      </c>
      <c r="F27" s="280" t="s">
        <v>3386</v>
      </c>
      <c r="G27" s="280" t="s">
        <v>3387</v>
      </c>
      <c r="H27" s="282" t="s">
        <v>526</v>
      </c>
      <c r="I27" s="283" t="s">
        <v>539</v>
      </c>
      <c r="J27" s="282" t="s">
        <v>539</v>
      </c>
      <c r="K27" s="284">
        <v>46045</v>
      </c>
      <c r="L27" s="285">
        <f>K27+O27</f>
        <v>46080</v>
      </c>
      <c r="M27" s="285">
        <v>46057</v>
      </c>
      <c r="N27" s="286">
        <f>(M27-K27)</f>
        <v>12</v>
      </c>
      <c r="O27" s="287">
        <v>35</v>
      </c>
      <c r="P27" s="286">
        <f>O27-N27</f>
        <v>23</v>
      </c>
      <c r="Q27" s="289" t="s">
        <v>3388</v>
      </c>
      <c r="R27" s="289"/>
      <c r="S27" s="306">
        <f>R27-M27</f>
        <v>-46057</v>
      </c>
      <c r="T27" s="270" t="s">
        <v>3362</v>
      </c>
      <c r="U27" s="289"/>
    </row>
    <row r="28" spans="1:21" customHeight="1" ht="15" hidden="true">
      <c r="A28" s="280" t="s">
        <v>3351</v>
      </c>
      <c r="B28" s="280" t="s">
        <v>3352</v>
      </c>
      <c r="C28" s="280" t="s">
        <v>128</v>
      </c>
      <c r="D28" s="280" t="s">
        <v>135</v>
      </c>
      <c r="E28" s="280" t="s">
        <v>567</v>
      </c>
      <c r="F28" s="280" t="s">
        <v>422</v>
      </c>
      <c r="G28" s="280" t="s">
        <v>1665</v>
      </c>
      <c r="H28" s="282" t="s">
        <v>526</v>
      </c>
      <c r="I28" s="283" t="s">
        <v>551</v>
      </c>
      <c r="J28" s="282" t="s">
        <v>539</v>
      </c>
      <c r="K28" s="284">
        <v>46049</v>
      </c>
      <c r="L28" s="285">
        <f>K28+O28</f>
        <v>46084</v>
      </c>
      <c r="M28" s="285">
        <v>46062</v>
      </c>
      <c r="N28" s="286">
        <f>(M28-K28)</f>
        <v>13</v>
      </c>
      <c r="O28" s="287">
        <v>35</v>
      </c>
      <c r="P28" s="286">
        <f>O28-N28</f>
        <v>22</v>
      </c>
      <c r="Q28" s="289" t="s">
        <v>3389</v>
      </c>
      <c r="R28" s="289"/>
      <c r="S28" s="306">
        <f>R28-M28</f>
        <v>-46062</v>
      </c>
      <c r="T28" s="270" t="s">
        <v>3362</v>
      </c>
      <c r="U28" s="289"/>
    </row>
    <row r="29" spans="1:21" customHeight="1" ht="15" hidden="true">
      <c r="A29" s="280" t="s">
        <v>3351</v>
      </c>
      <c r="B29" s="280" t="s">
        <v>3352</v>
      </c>
      <c r="C29" s="280" t="s">
        <v>128</v>
      </c>
      <c r="D29" s="280" t="s">
        <v>135</v>
      </c>
      <c r="E29" s="280" t="s">
        <v>567</v>
      </c>
      <c r="F29" s="280" t="s">
        <v>217</v>
      </c>
      <c r="G29" s="280" t="s">
        <v>3390</v>
      </c>
      <c r="H29" s="282" t="s">
        <v>526</v>
      </c>
      <c r="I29" s="283" t="s">
        <v>551</v>
      </c>
      <c r="J29" s="282" t="s">
        <v>539</v>
      </c>
      <c r="K29" s="284">
        <v>46049</v>
      </c>
      <c r="L29" s="285">
        <f>K29+O29</f>
        <v>46084</v>
      </c>
      <c r="M29" s="285">
        <v>46064</v>
      </c>
      <c r="N29" s="286">
        <f>(M29-K29)</f>
        <v>15</v>
      </c>
      <c r="O29" s="287">
        <v>35</v>
      </c>
      <c r="P29" s="286">
        <f>O29-N29</f>
        <v>20</v>
      </c>
      <c r="Q29" s="289" t="s">
        <v>3391</v>
      </c>
      <c r="R29" s="289"/>
      <c r="S29" s="306">
        <f>R29-M29</f>
        <v>-46064</v>
      </c>
      <c r="T29" s="270" t="s">
        <v>3362</v>
      </c>
      <c r="U29" s="289"/>
    </row>
    <row r="30" spans="1:21" customHeight="1" ht="15" hidden="true">
      <c r="A30" s="280" t="s">
        <v>3374</v>
      </c>
      <c r="B30" s="280" t="s">
        <v>3352</v>
      </c>
      <c r="C30" s="280" t="s">
        <v>128</v>
      </c>
      <c r="D30" s="280" t="s">
        <v>402</v>
      </c>
      <c r="E30" s="280" t="s">
        <v>552</v>
      </c>
      <c r="F30" s="280" t="s">
        <v>400</v>
      </c>
      <c r="G30" s="280" t="s">
        <v>3370</v>
      </c>
      <c r="H30" s="282" t="s">
        <v>526</v>
      </c>
      <c r="I30" s="283" t="s">
        <v>561</v>
      </c>
      <c r="J30" s="282" t="s">
        <v>539</v>
      </c>
      <c r="K30" s="284">
        <v>46050</v>
      </c>
      <c r="L30" s="285">
        <f>K30+O30</f>
        <v>46134</v>
      </c>
      <c r="M30" s="285">
        <v>46065</v>
      </c>
      <c r="N30" s="286">
        <f>(M30-K30)</f>
        <v>15</v>
      </c>
      <c r="O30" s="287">
        <v>84</v>
      </c>
      <c r="P30" s="286">
        <f>O30-N30</f>
        <v>69</v>
      </c>
      <c r="Q30" s="289" t="s">
        <v>3392</v>
      </c>
      <c r="R30" s="289"/>
      <c r="S30" s="306">
        <f>R30-M30</f>
        <v>-46065</v>
      </c>
      <c r="T30" s="270" t="s">
        <v>3355</v>
      </c>
      <c r="U30" s="289"/>
    </row>
    <row r="31" spans="1:21" customHeight="1" ht="15" hidden="true">
      <c r="A31" s="280" t="s">
        <v>3351</v>
      </c>
      <c r="B31" s="280" t="s">
        <v>3352</v>
      </c>
      <c r="C31" s="280" t="s">
        <v>128</v>
      </c>
      <c r="D31" s="280" t="s">
        <v>135</v>
      </c>
      <c r="E31" s="280" t="s">
        <v>567</v>
      </c>
      <c r="F31" s="280" t="s">
        <v>464</v>
      </c>
      <c r="G31" s="280" t="s">
        <v>255</v>
      </c>
      <c r="H31" s="282" t="s">
        <v>539</v>
      </c>
      <c r="I31" s="283" t="s">
        <v>551</v>
      </c>
      <c r="J31" s="282" t="s">
        <v>539</v>
      </c>
      <c r="K31" s="284">
        <v>46055</v>
      </c>
      <c r="L31" s="285">
        <f>K31+O31</f>
        <v>46090</v>
      </c>
      <c r="M31" s="285">
        <v>46062</v>
      </c>
      <c r="N31" s="286">
        <f>(M31-K31)</f>
        <v>7</v>
      </c>
      <c r="O31" s="287">
        <v>35</v>
      </c>
      <c r="P31" s="286">
        <f>O31-N31</f>
        <v>28</v>
      </c>
      <c r="Q31" s="289" t="s">
        <v>3393</v>
      </c>
      <c r="R31" s="289"/>
      <c r="S31" s="306">
        <f>R31-M31</f>
        <v>-46062</v>
      </c>
      <c r="T31" s="270" t="s">
        <v>3362</v>
      </c>
      <c r="U31" s="289"/>
    </row>
    <row r="32" spans="1:21" customHeight="1" ht="14.25">
      <c r="A32" s="280" t="s">
        <v>3351</v>
      </c>
      <c r="B32" s="280" t="s">
        <v>3352</v>
      </c>
      <c r="C32" s="280" t="s">
        <v>128</v>
      </c>
      <c r="D32" s="280" t="s">
        <v>176</v>
      </c>
      <c r="E32" s="280" t="s">
        <v>552</v>
      </c>
      <c r="F32" s="280" t="s">
        <v>172</v>
      </c>
      <c r="G32" s="280" t="s">
        <v>177</v>
      </c>
      <c r="H32" s="282" t="s">
        <v>539</v>
      </c>
      <c r="I32" s="283" t="s">
        <v>561</v>
      </c>
      <c r="J32" s="282"/>
      <c r="K32" s="284">
        <v>46055</v>
      </c>
      <c r="L32" s="285">
        <f>K32+O32</f>
        <v>46139</v>
      </c>
      <c r="M32" s="285"/>
      <c r="N32" s="286">
        <f>(M32-K32)</f>
        <v>-46055</v>
      </c>
      <c r="O32" s="287">
        <v>84</v>
      </c>
      <c r="P32" s="286">
        <v>0.0</v>
      </c>
      <c r="Q32" s="289"/>
      <c r="R32" s="308"/>
      <c r="S32" s="309">
        <f>R32-M32</f>
        <v>0</v>
      </c>
      <c r="T32" s="270" t="s">
        <v>3394</v>
      </c>
      <c r="U32" s="289"/>
    </row>
    <row r="33" spans="1:21" customHeight="1" ht="15" hidden="true">
      <c r="A33" s="280" t="s">
        <v>3351</v>
      </c>
      <c r="B33" s="280" t="s">
        <v>3352</v>
      </c>
      <c r="C33" s="280" t="s">
        <v>128</v>
      </c>
      <c r="D33" s="280" t="s">
        <v>135</v>
      </c>
      <c r="E33" s="280" t="s">
        <v>567</v>
      </c>
      <c r="F33" s="280" t="s">
        <v>3386</v>
      </c>
      <c r="G33" s="280" t="s">
        <v>3387</v>
      </c>
      <c r="H33" s="282" t="s">
        <v>539</v>
      </c>
      <c r="I33" s="283" t="s">
        <v>551</v>
      </c>
      <c r="J33" s="282" t="s">
        <v>539</v>
      </c>
      <c r="K33" s="284">
        <v>46062</v>
      </c>
      <c r="L33" s="285">
        <f>K33+O33</f>
        <v>46097</v>
      </c>
      <c r="M33" s="285">
        <v>46066</v>
      </c>
      <c r="N33" s="286">
        <f>(M33-K33)</f>
        <v>4</v>
      </c>
      <c r="O33" s="287">
        <v>35</v>
      </c>
      <c r="P33" s="286">
        <f>O33-N33</f>
        <v>31</v>
      </c>
      <c r="Q33" s="289" t="s">
        <v>3395</v>
      </c>
      <c r="R33" s="289"/>
      <c r="S33" s="306">
        <f>R33-M33</f>
        <v>-46066</v>
      </c>
      <c r="T33" s="270" t="s">
        <v>3362</v>
      </c>
      <c r="U33" s="289"/>
    </row>
    <row r="34" spans="1:21" customHeight="1" ht="15">
      <c r="A34" s="280" t="s">
        <v>3351</v>
      </c>
      <c r="B34" s="280" t="s">
        <v>3352</v>
      </c>
      <c r="C34" s="280" t="s">
        <v>128</v>
      </c>
      <c r="D34" s="280" t="s">
        <v>176</v>
      </c>
      <c r="E34" s="280" t="s">
        <v>552</v>
      </c>
      <c r="F34" s="280" t="s">
        <v>3017</v>
      </c>
      <c r="G34" s="280" t="s">
        <v>256</v>
      </c>
      <c r="H34" s="282" t="s">
        <v>539</v>
      </c>
      <c r="I34" s="283" t="s">
        <v>551</v>
      </c>
      <c r="J34" s="282"/>
      <c r="K34" s="284">
        <v>46062</v>
      </c>
      <c r="L34" s="285">
        <f>K34+O34</f>
        <v>46104</v>
      </c>
      <c r="M34" s="285"/>
      <c r="N34" s="286">
        <f>(M34-K34)</f>
        <v>-46062</v>
      </c>
      <c r="O34" s="287">
        <v>42</v>
      </c>
      <c r="P34" s="444">
        <f>O34-N34</f>
        <v>46104</v>
      </c>
      <c r="Q34" s="289"/>
      <c r="R34" s="283"/>
      <c r="S34" s="309">
        <f>R34-M34</f>
        <v>0</v>
      </c>
      <c r="T34" s="270" t="s">
        <v>3355</v>
      </c>
      <c r="U34" s="289"/>
    </row>
    <row r="35" spans="1:21" customHeight="1" ht="15" hidden="true">
      <c r="A35" s="280" t="s">
        <v>3351</v>
      </c>
      <c r="B35" s="280" t="s">
        <v>3352</v>
      </c>
      <c r="C35" s="280" t="s">
        <v>128</v>
      </c>
      <c r="D35" s="280" t="s">
        <v>3396</v>
      </c>
      <c r="E35" s="280" t="s">
        <v>552</v>
      </c>
      <c r="F35" s="280" t="s">
        <v>3397</v>
      </c>
      <c r="G35" s="280" t="s">
        <v>3398</v>
      </c>
      <c r="H35" s="282" t="s">
        <v>539</v>
      </c>
      <c r="I35" s="283" t="s">
        <v>551</v>
      </c>
      <c r="J35" s="282" t="s">
        <v>539</v>
      </c>
      <c r="K35" s="284">
        <v>46063</v>
      </c>
      <c r="L35" s="285">
        <f>K35+O35</f>
        <v>46105</v>
      </c>
      <c r="M35" s="285">
        <v>46069</v>
      </c>
      <c r="N35" s="286">
        <f>(M35-K35)</f>
        <v>6</v>
      </c>
      <c r="O35" s="287">
        <v>42</v>
      </c>
      <c r="P35" s="444">
        <f>O35-N35</f>
        <v>36</v>
      </c>
      <c r="Q35" s="289" t="s">
        <v>3399</v>
      </c>
      <c r="R35" s="283"/>
      <c r="S35" s="309">
        <f>R35-M35</f>
        <v>-46069</v>
      </c>
      <c r="T35" s="270" t="s">
        <v>3362</v>
      </c>
      <c r="U35" s="289"/>
    </row>
    <row r="36" spans="1:21" customHeight="1" ht="15" hidden="true">
      <c r="A36" s="280" t="s">
        <v>3351</v>
      </c>
      <c r="B36" s="280" t="s">
        <v>3352</v>
      </c>
      <c r="C36" s="280" t="s">
        <v>128</v>
      </c>
      <c r="D36" s="280" t="s">
        <v>135</v>
      </c>
      <c r="E36" s="280" t="s">
        <v>567</v>
      </c>
      <c r="F36" s="280" t="s">
        <v>422</v>
      </c>
      <c r="G36" s="280" t="s">
        <v>1665</v>
      </c>
      <c r="H36" s="282" t="s">
        <v>539</v>
      </c>
      <c r="I36" s="283" t="s">
        <v>551</v>
      </c>
      <c r="J36" s="282" t="s">
        <v>551</v>
      </c>
      <c r="K36" s="284">
        <v>46063</v>
      </c>
      <c r="L36" s="285">
        <f>K36+O36</f>
        <v>46098</v>
      </c>
      <c r="M36" s="285">
        <v>46099</v>
      </c>
      <c r="N36" s="286">
        <f>(M36-K36)</f>
        <v>36</v>
      </c>
      <c r="O36" s="287">
        <v>35</v>
      </c>
      <c r="P36" s="286">
        <f>O36-N36</f>
        <v>-1</v>
      </c>
      <c r="Q36" s="289" t="s">
        <v>3400</v>
      </c>
      <c r="R36" s="289"/>
      <c r="S36" s="306">
        <f>R36-M36</f>
        <v>-46099</v>
      </c>
      <c r="T36" s="270" t="s">
        <v>3362</v>
      </c>
      <c r="U36" s="289"/>
    </row>
    <row r="37" spans="1:21" customHeight="1" ht="15" hidden="true">
      <c r="A37" s="280" t="s">
        <v>3374</v>
      </c>
      <c r="B37" s="280" t="s">
        <v>3401</v>
      </c>
      <c r="C37" s="280" t="s">
        <v>128</v>
      </c>
      <c r="D37" s="280" t="s">
        <v>130</v>
      </c>
      <c r="E37" s="280" t="s">
        <v>552</v>
      </c>
      <c r="F37" s="280" t="s">
        <v>1618</v>
      </c>
      <c r="G37" s="307" t="s">
        <v>3402</v>
      </c>
      <c r="H37" s="282" t="s">
        <v>539</v>
      </c>
      <c r="I37" s="283" t="s">
        <v>551</v>
      </c>
      <c r="J37" s="282" t="s">
        <v>551</v>
      </c>
      <c r="K37" s="284">
        <v>46064</v>
      </c>
      <c r="L37" s="285">
        <f>K37+O37</f>
        <v>46106</v>
      </c>
      <c r="M37" s="285">
        <v>46126</v>
      </c>
      <c r="N37" s="286">
        <f>(M37-K37)</f>
        <v>62</v>
      </c>
      <c r="O37" s="287">
        <v>42</v>
      </c>
      <c r="P37" s="286">
        <f>O37-N37</f>
        <v>-20</v>
      </c>
      <c r="Q37" s="289" t="s">
        <v>3403</v>
      </c>
      <c r="R37" s="289"/>
      <c r="S37" s="306">
        <f>R37-M37</f>
        <v>-46126</v>
      </c>
      <c r="T37" s="270" t="s">
        <v>3357</v>
      </c>
      <c r="U37" s="289"/>
    </row>
    <row r="38" spans="1:21" customHeight="1" ht="15" hidden="true">
      <c r="A38" s="280" t="s">
        <v>3351</v>
      </c>
      <c r="B38" s="280" t="s">
        <v>3352</v>
      </c>
      <c r="C38" s="280" t="s">
        <v>128</v>
      </c>
      <c r="D38" s="280" t="s">
        <v>176</v>
      </c>
      <c r="E38" s="280" t="s">
        <v>552</v>
      </c>
      <c r="F38" s="280" t="s">
        <v>3016</v>
      </c>
      <c r="G38" s="280" t="s">
        <v>254</v>
      </c>
      <c r="H38" s="282" t="s">
        <v>539</v>
      </c>
      <c r="I38" s="283" t="s">
        <v>551</v>
      </c>
      <c r="J38" s="282" t="s">
        <v>539</v>
      </c>
      <c r="K38" s="284">
        <v>46064</v>
      </c>
      <c r="L38" s="285">
        <f>K38+O38</f>
        <v>46106</v>
      </c>
      <c r="M38" s="285">
        <v>46077</v>
      </c>
      <c r="N38" s="286">
        <f>(M38-K38)</f>
        <v>13</v>
      </c>
      <c r="O38" s="287">
        <v>42</v>
      </c>
      <c r="P38" s="286">
        <f>O38-N38</f>
        <v>29</v>
      </c>
      <c r="Q38" s="289" t="s">
        <v>3404</v>
      </c>
      <c r="R38" s="289"/>
      <c r="S38" s="306">
        <f>R38-M38</f>
        <v>-46077</v>
      </c>
      <c r="T38" s="270" t="s">
        <v>3362</v>
      </c>
      <c r="U38" s="289"/>
    </row>
    <row r="39" spans="1:21" customHeight="1" ht="15" hidden="true">
      <c r="A39" s="280" t="s">
        <v>3351</v>
      </c>
      <c r="B39" s="280" t="s">
        <v>3352</v>
      </c>
      <c r="C39" s="280" t="s">
        <v>128</v>
      </c>
      <c r="D39" s="29" t="s">
        <v>592</v>
      </c>
      <c r="E39" s="280" t="s">
        <v>552</v>
      </c>
      <c r="F39" s="280" t="s">
        <v>1303</v>
      </c>
      <c r="G39" s="280" t="s">
        <v>1304</v>
      </c>
      <c r="H39" s="282" t="s">
        <v>539</v>
      </c>
      <c r="I39" s="283" t="s">
        <v>551</v>
      </c>
      <c r="J39" s="282" t="s">
        <v>551</v>
      </c>
      <c r="K39" s="284">
        <v>46064</v>
      </c>
      <c r="L39" s="285">
        <f>K39+O39</f>
        <v>46106</v>
      </c>
      <c r="M39" s="285">
        <v>46111</v>
      </c>
      <c r="N39" s="286">
        <f>(M39-K39)</f>
        <v>47</v>
      </c>
      <c r="O39" s="287">
        <v>42</v>
      </c>
      <c r="P39" s="286">
        <f>O39-N39</f>
        <v>-5</v>
      </c>
      <c r="Q39" s="289" t="s">
        <v>3405</v>
      </c>
      <c r="R39" s="289"/>
      <c r="S39" s="306">
        <f>R39-M39</f>
        <v>-46111</v>
      </c>
      <c r="T39" s="270" t="s">
        <v>3362</v>
      </c>
      <c r="U39" s="289"/>
    </row>
    <row r="40" spans="1:21" customHeight="1" ht="14.25" hidden="true">
      <c r="A40" s="280" t="s">
        <v>3351</v>
      </c>
      <c r="B40" s="280" t="s">
        <v>3352</v>
      </c>
      <c r="C40" s="280" t="s">
        <v>128</v>
      </c>
      <c r="D40" s="280" t="s">
        <v>130</v>
      </c>
      <c r="E40" s="280" t="s">
        <v>552</v>
      </c>
      <c r="F40" s="280" t="s">
        <v>378</v>
      </c>
      <c r="G40" s="280" t="s">
        <v>329</v>
      </c>
      <c r="H40" s="282" t="s">
        <v>539</v>
      </c>
      <c r="I40" s="283" t="s">
        <v>551</v>
      </c>
      <c r="J40" s="282" t="s">
        <v>551</v>
      </c>
      <c r="K40" s="284">
        <v>46069</v>
      </c>
      <c r="L40" s="285">
        <f>K40+O40</f>
        <v>46104</v>
      </c>
      <c r="M40" s="285">
        <v>46091</v>
      </c>
      <c r="N40" s="286">
        <f>(M40-K40)</f>
        <v>22</v>
      </c>
      <c r="O40" s="287">
        <v>35</v>
      </c>
      <c r="P40" s="286">
        <f>O40-N40</f>
        <v>13</v>
      </c>
      <c r="Q40" s="289" t="s">
        <v>3406</v>
      </c>
      <c r="R40" s="308"/>
      <c r="S40" s="309">
        <f>R40-M40</f>
        <v>-46091</v>
      </c>
      <c r="T40" s="270" t="s">
        <v>3362</v>
      </c>
      <c r="U40" s="289"/>
    </row>
    <row r="41" spans="1:21" customHeight="1" ht="14.25">
      <c r="A41" s="280" t="s">
        <v>3351</v>
      </c>
      <c r="B41" s="280" t="s">
        <v>3352</v>
      </c>
      <c r="C41" s="280" t="s">
        <v>128</v>
      </c>
      <c r="D41" s="280" t="s">
        <v>594</v>
      </c>
      <c r="E41" s="280" t="s">
        <v>552</v>
      </c>
      <c r="F41" s="280" t="s">
        <v>3358</v>
      </c>
      <c r="G41" s="280" t="s">
        <v>304</v>
      </c>
      <c r="H41" s="282" t="s">
        <v>539</v>
      </c>
      <c r="I41" s="283" t="s">
        <v>551</v>
      </c>
      <c r="J41" s="282"/>
      <c r="K41" s="284">
        <v>46070</v>
      </c>
      <c r="L41" s="285">
        <f>K41+O41</f>
        <v>46112</v>
      </c>
      <c r="M41" s="285"/>
      <c r="N41" s="286">
        <f>(M41-K41)</f>
        <v>-46070</v>
      </c>
      <c r="O41" s="287">
        <v>42</v>
      </c>
      <c r="P41" s="286">
        <f>O41-N41</f>
        <v>46112</v>
      </c>
      <c r="Q41" s="289"/>
      <c r="R41" s="308"/>
      <c r="S41" s="309">
        <f>R41-M41</f>
        <v>0</v>
      </c>
      <c r="T41" s="270" t="s">
        <v>3355</v>
      </c>
      <c r="U41" s="289"/>
    </row>
    <row r="42" spans="1:21" customHeight="1" ht="15" hidden="true">
      <c r="A42" s="280" t="s">
        <v>3351</v>
      </c>
      <c r="B42" s="280" t="s">
        <v>3352</v>
      </c>
      <c r="C42" s="280" t="s">
        <v>128</v>
      </c>
      <c r="D42" s="280" t="s">
        <v>250</v>
      </c>
      <c r="E42" s="280" t="s">
        <v>552</v>
      </c>
      <c r="F42" s="280" t="s">
        <v>3051</v>
      </c>
      <c r="G42" s="307" t="s">
        <v>3363</v>
      </c>
      <c r="H42" s="282" t="s">
        <v>539</v>
      </c>
      <c r="I42" s="283" t="s">
        <v>551</v>
      </c>
      <c r="J42" s="302" t="s">
        <v>551</v>
      </c>
      <c r="K42" s="284">
        <v>46070</v>
      </c>
      <c r="L42" s="285">
        <f>K42+O42</f>
        <v>46105</v>
      </c>
      <c r="M42" s="285">
        <v>46099</v>
      </c>
      <c r="N42" s="286">
        <f>(M42-K42)</f>
        <v>29</v>
      </c>
      <c r="O42" s="311">
        <v>35</v>
      </c>
      <c r="P42" s="286">
        <f>O42-N42</f>
        <v>6</v>
      </c>
      <c r="Q42" s="289" t="s">
        <v>3408</v>
      </c>
      <c r="R42" s="289"/>
      <c r="S42" s="309">
        <f>R42-M42</f>
        <v>-46099</v>
      </c>
      <c r="T42" s="270" t="s">
        <v>3365</v>
      </c>
      <c r="U42" s="289"/>
    </row>
    <row r="43" spans="1:21" customHeight="1" ht="15" hidden="true">
      <c r="A43" s="280" t="s">
        <v>3351</v>
      </c>
      <c r="B43" s="280" t="s">
        <v>3352</v>
      </c>
      <c r="C43" s="280" t="s">
        <v>128</v>
      </c>
      <c r="D43" s="280" t="s">
        <v>319</v>
      </c>
      <c r="E43" s="280" t="s">
        <v>552</v>
      </c>
      <c r="F43" s="291" t="s">
        <v>374</v>
      </c>
      <c r="G43" s="307" t="s">
        <v>375</v>
      </c>
      <c r="H43" s="282" t="s">
        <v>539</v>
      </c>
      <c r="I43" s="283" t="s">
        <v>561</v>
      </c>
      <c r="J43" s="302" t="s">
        <v>561</v>
      </c>
      <c r="K43" s="284">
        <v>46079</v>
      </c>
      <c r="L43" s="285">
        <f>K43+O43</f>
        <v>46121</v>
      </c>
      <c r="M43" s="285"/>
      <c r="N43" s="286">
        <f>(M43-K43)</f>
        <v>-46079</v>
      </c>
      <c r="O43" s="311">
        <v>42</v>
      </c>
      <c r="P43" s="286">
        <f>O43-N43</f>
        <v>46121</v>
      </c>
      <c r="Q43" s="289" t="s">
        <v>3409</v>
      </c>
      <c r="R43" s="289"/>
      <c r="S43" s="309">
        <f>R43-M43</f>
        <v>0</v>
      </c>
      <c r="T43" s="270" t="s">
        <v>3362</v>
      </c>
      <c r="U43" s="289"/>
    </row>
    <row r="44" spans="1:21" customHeight="1" ht="15" hidden="true">
      <c r="A44" s="280" t="s">
        <v>3351</v>
      </c>
      <c r="B44" s="280" t="s">
        <v>3352</v>
      </c>
      <c r="C44" s="280" t="s">
        <v>128</v>
      </c>
      <c r="D44" s="29" t="s">
        <v>280</v>
      </c>
      <c r="E44" s="280" t="s">
        <v>552</v>
      </c>
      <c r="F44" s="280" t="s">
        <v>3411</v>
      </c>
      <c r="G44" s="280" t="s">
        <v>3412</v>
      </c>
      <c r="H44" s="282" t="s">
        <v>551</v>
      </c>
      <c r="I44" s="283" t="s">
        <v>561</v>
      </c>
      <c r="J44" s="282" t="s">
        <v>561</v>
      </c>
      <c r="K44" s="284">
        <v>46084</v>
      </c>
      <c r="L44" s="285">
        <f>K44+O44</f>
        <v>46119</v>
      </c>
      <c r="M44" s="285">
        <v>46142</v>
      </c>
      <c r="N44" s="286">
        <f>(M44-K44)</f>
        <v>58</v>
      </c>
      <c r="O44" s="287">
        <v>35</v>
      </c>
      <c r="P44" s="286">
        <f>O44-N44</f>
        <v>-23</v>
      </c>
      <c r="Q44" s="289" t="s">
        <v>3413</v>
      </c>
      <c r="R44" s="289"/>
      <c r="S44" s="306">
        <f>R44-M44</f>
        <v>-46142</v>
      </c>
      <c r="T44" s="270" t="s">
        <v>3362</v>
      </c>
      <c r="U44" s="289"/>
    </row>
    <row r="45" spans="1:21" customHeight="1" ht="15" hidden="true">
      <c r="A45" s="280" t="s">
        <v>3351</v>
      </c>
      <c r="B45" s="280" t="s">
        <v>3352</v>
      </c>
      <c r="C45" s="280" t="s">
        <v>128</v>
      </c>
      <c r="D45" s="280" t="s">
        <v>226</v>
      </c>
      <c r="E45" s="280" t="s">
        <v>552</v>
      </c>
      <c r="F45" s="280" t="s">
        <v>1812</v>
      </c>
      <c r="G45" s="280" t="s">
        <v>3414</v>
      </c>
      <c r="H45" s="282" t="s">
        <v>551</v>
      </c>
      <c r="I45" s="283" t="s">
        <v>561</v>
      </c>
      <c r="J45" s="282" t="s">
        <v>551</v>
      </c>
      <c r="K45" s="284">
        <v>46084</v>
      </c>
      <c r="L45" s="285">
        <f>K45+O45</f>
        <v>46119</v>
      </c>
      <c r="M45" s="285">
        <v>46098</v>
      </c>
      <c r="N45" s="286">
        <f>(M45-K45)</f>
        <v>14</v>
      </c>
      <c r="O45" s="287">
        <v>35</v>
      </c>
      <c r="P45" s="286">
        <f>O45-N45</f>
        <v>21</v>
      </c>
      <c r="Q45" s="289" t="s">
        <v>3415</v>
      </c>
      <c r="R45" s="289"/>
      <c r="S45" s="306">
        <f>R45-M45</f>
        <v>-46098</v>
      </c>
      <c r="T45" s="270" t="s">
        <v>3362</v>
      </c>
      <c r="U45" s="289"/>
    </row>
    <row r="46" spans="1:21" customHeight="1" ht="15">
      <c r="A46" s="280" t="s">
        <v>3351</v>
      </c>
      <c r="B46" s="280" t="s">
        <v>3401</v>
      </c>
      <c r="C46" s="280" t="s">
        <v>128</v>
      </c>
      <c r="D46" s="280" t="s">
        <v>135</v>
      </c>
      <c r="E46" s="280" t="s">
        <v>567</v>
      </c>
      <c r="F46" s="280" t="s">
        <v>422</v>
      </c>
      <c r="G46" s="280" t="s">
        <v>3416</v>
      </c>
      <c r="H46" s="282" t="s">
        <v>551</v>
      </c>
      <c r="I46" s="283" t="s">
        <v>561</v>
      </c>
      <c r="J46" s="282"/>
      <c r="K46" s="284">
        <v>46085</v>
      </c>
      <c r="L46" s="285">
        <f>K46+O46</f>
        <v>46120</v>
      </c>
      <c r="M46" s="285"/>
      <c r="N46" s="286">
        <f>(M46-K46)</f>
        <v>-46085</v>
      </c>
      <c r="O46" s="287">
        <v>35</v>
      </c>
      <c r="P46" s="286">
        <f>O46-N46</f>
        <v>46120</v>
      </c>
      <c r="Q46" s="289"/>
      <c r="R46" s="289"/>
      <c r="S46" s="306">
        <f>R46-M46</f>
        <v>0</v>
      </c>
      <c r="T46" s="270" t="s">
        <v>3362</v>
      </c>
      <c r="U46" s="289"/>
    </row>
    <row r="47" spans="1:21" customHeight="1" ht="15" hidden="true">
      <c r="A47" s="280" t="s">
        <v>3351</v>
      </c>
      <c r="B47" s="280" t="s">
        <v>3352</v>
      </c>
      <c r="C47" s="280" t="s">
        <v>128</v>
      </c>
      <c r="D47" s="280" t="s">
        <v>135</v>
      </c>
      <c r="E47" s="280" t="s">
        <v>567</v>
      </c>
      <c r="F47" s="280" t="s">
        <v>422</v>
      </c>
      <c r="G47" s="280" t="s">
        <v>3367</v>
      </c>
      <c r="H47" s="282" t="s">
        <v>551</v>
      </c>
      <c r="I47" s="283" t="s">
        <v>561</v>
      </c>
      <c r="J47" s="282" t="s">
        <v>561</v>
      </c>
      <c r="K47" s="284">
        <v>46086</v>
      </c>
      <c r="L47" s="285">
        <f>K47+O47</f>
        <v>46121</v>
      </c>
      <c r="M47" s="285">
        <v>46125</v>
      </c>
      <c r="N47" s="286">
        <f>(M47-K47)</f>
        <v>39</v>
      </c>
      <c r="O47" s="287">
        <v>35</v>
      </c>
      <c r="P47" s="286">
        <f>O47-N47</f>
        <v>-4</v>
      </c>
      <c r="Q47" s="289" t="s">
        <v>3417</v>
      </c>
      <c r="R47" s="289"/>
      <c r="S47" s="306">
        <f>R47-M47</f>
        <v>-46125</v>
      </c>
      <c r="T47" s="270" t="s">
        <v>3362</v>
      </c>
      <c r="U47" s="289"/>
    </row>
    <row r="48" spans="1:21" customHeight="1" ht="15" hidden="true">
      <c r="A48" s="280" t="s">
        <v>3351</v>
      </c>
      <c r="B48" s="280" t="s">
        <v>3352</v>
      </c>
      <c r="C48" s="280" t="s">
        <v>128</v>
      </c>
      <c r="D48" s="280" t="s">
        <v>250</v>
      </c>
      <c r="E48" s="280" t="s">
        <v>552</v>
      </c>
      <c r="F48" s="280" t="s">
        <v>391</v>
      </c>
      <c r="G48" s="307" t="s">
        <v>392</v>
      </c>
      <c r="H48" s="282" t="s">
        <v>551</v>
      </c>
      <c r="I48" s="283" t="s">
        <v>561</v>
      </c>
      <c r="J48" s="282" t="s">
        <v>551</v>
      </c>
      <c r="K48" s="284">
        <v>46086</v>
      </c>
      <c r="L48" s="285">
        <v>46121</v>
      </c>
      <c r="M48" s="285">
        <v>46100</v>
      </c>
      <c r="N48" s="286">
        <f>(M48-K48)</f>
        <v>14</v>
      </c>
      <c r="O48" s="287">
        <v>21</v>
      </c>
      <c r="P48" s="286">
        <f>O48-N48</f>
        <v>7</v>
      </c>
      <c r="Q48" s="270" t="s">
        <v>3418</v>
      </c>
      <c r="R48" s="289"/>
      <c r="S48" s="309">
        <f>R48-M48</f>
        <v>-46100</v>
      </c>
      <c r="T48" s="270" t="s">
        <v>3362</v>
      </c>
      <c r="U48" s="289"/>
    </row>
    <row r="49" spans="1:21" customHeight="1" ht="14.25">
      <c r="A49" s="280" t="s">
        <v>3351</v>
      </c>
      <c r="B49" s="280" t="s">
        <v>3352</v>
      </c>
      <c r="C49" s="280" t="s">
        <v>128</v>
      </c>
      <c r="D49" s="280" t="s">
        <v>130</v>
      </c>
      <c r="E49" s="280" t="s">
        <v>552</v>
      </c>
      <c r="F49" s="280" t="s">
        <v>378</v>
      </c>
      <c r="G49" s="280" t="s">
        <v>329</v>
      </c>
      <c r="H49" s="282" t="s">
        <v>551</v>
      </c>
      <c r="I49" s="283" t="s">
        <v>561</v>
      </c>
      <c r="J49" s="282"/>
      <c r="K49" s="284">
        <v>46086</v>
      </c>
      <c r="L49" s="285">
        <v>46121</v>
      </c>
      <c r="M49" s="285"/>
      <c r="N49" s="286">
        <f>(M49-K49)</f>
        <v>-46086</v>
      </c>
      <c r="O49" s="287">
        <v>35</v>
      </c>
      <c r="P49" s="286">
        <f>O49-N49</f>
        <v>46121</v>
      </c>
      <c r="Q49" s="289"/>
      <c r="R49" s="308"/>
      <c r="S49" s="309">
        <f>R49-M49</f>
        <v>0</v>
      </c>
      <c r="T49" s="270" t="s">
        <v>3362</v>
      </c>
      <c r="U49" s="289"/>
    </row>
    <row r="50" spans="1:21" customHeight="1" ht="15" hidden="true">
      <c r="A50" s="280" t="s">
        <v>3374</v>
      </c>
      <c r="B50" s="280" t="s">
        <v>3352</v>
      </c>
      <c r="C50" s="280" t="s">
        <v>128</v>
      </c>
      <c r="D50" s="280" t="s">
        <v>135</v>
      </c>
      <c r="E50" s="280" t="s">
        <v>567</v>
      </c>
      <c r="F50" s="280" t="s">
        <v>464</v>
      </c>
      <c r="G50" s="280" t="s">
        <v>255</v>
      </c>
      <c r="H50" s="282" t="s">
        <v>551</v>
      </c>
      <c r="I50" s="283" t="s">
        <v>561</v>
      </c>
      <c r="J50" s="282" t="s">
        <v>551</v>
      </c>
      <c r="K50" s="284">
        <v>46094</v>
      </c>
      <c r="L50" s="285">
        <f>K50+O50</f>
        <v>46129</v>
      </c>
      <c r="M50" s="285">
        <v>46111</v>
      </c>
      <c r="N50" s="286">
        <f>(M50-K50)</f>
        <v>17</v>
      </c>
      <c r="O50" s="287">
        <v>35</v>
      </c>
      <c r="P50" s="286">
        <f>O50-N50</f>
        <v>18</v>
      </c>
      <c r="Q50" s="289" t="s">
        <v>3419</v>
      </c>
      <c r="R50" s="289"/>
      <c r="S50" s="306">
        <f>R50-M50</f>
        <v>-46111</v>
      </c>
      <c r="T50" s="270" t="s">
        <v>3362</v>
      </c>
      <c r="U50" s="289"/>
    </row>
    <row r="51" spans="1:21" customHeight="1" ht="15">
      <c r="A51" s="280" t="s">
        <v>3351</v>
      </c>
      <c r="B51" s="280" t="s">
        <v>3352</v>
      </c>
      <c r="C51" s="280" t="s">
        <v>128</v>
      </c>
      <c r="D51" s="280" t="s">
        <v>250</v>
      </c>
      <c r="E51" s="280" t="s">
        <v>552</v>
      </c>
      <c r="F51" s="280" t="s">
        <v>391</v>
      </c>
      <c r="G51" s="280" t="s">
        <v>1034</v>
      </c>
      <c r="H51" s="282" t="s">
        <v>551</v>
      </c>
      <c r="I51" s="283" t="s">
        <v>561</v>
      </c>
      <c r="J51" s="282"/>
      <c r="K51" s="284">
        <v>46094</v>
      </c>
      <c r="L51" s="285">
        <f>K51+O51</f>
        <v>46139</v>
      </c>
      <c r="M51" s="285"/>
      <c r="N51" s="286">
        <f>(M51-K51)</f>
        <v>-46094</v>
      </c>
      <c r="O51" s="287">
        <v>45</v>
      </c>
      <c r="P51" s="286">
        <f>O51-N51</f>
        <v>46139</v>
      </c>
      <c r="Q51" s="289" t="s">
        <v>3420</v>
      </c>
      <c r="R51" s="289"/>
      <c r="S51" s="306">
        <f>R51-M51</f>
        <v>0</v>
      </c>
      <c r="T51" s="270" t="s">
        <v>3362</v>
      </c>
      <c r="U51" s="289"/>
    </row>
    <row r="52" spans="1:21" customHeight="1" ht="15">
      <c r="A52" s="280" t="s">
        <v>3374</v>
      </c>
      <c r="B52" s="280" t="s">
        <v>3352</v>
      </c>
      <c r="C52" s="280" t="s">
        <v>128</v>
      </c>
      <c r="D52" s="280" t="s">
        <v>402</v>
      </c>
      <c r="E52" s="280" t="s">
        <v>552</v>
      </c>
      <c r="F52" s="280" t="s">
        <v>400</v>
      </c>
      <c r="G52" s="280" t="s">
        <v>3370</v>
      </c>
      <c r="H52" s="282" t="s">
        <v>551</v>
      </c>
      <c r="I52" s="283" t="s">
        <v>571</v>
      </c>
      <c r="J52" s="282"/>
      <c r="K52" s="284">
        <v>46094</v>
      </c>
      <c r="L52" s="285">
        <f>K52+O52</f>
        <v>46178</v>
      </c>
      <c r="M52" s="285"/>
      <c r="N52" s="286">
        <f>(M52-K52)</f>
        <v>-46094</v>
      </c>
      <c r="O52" s="287">
        <v>84</v>
      </c>
      <c r="P52" s="286">
        <f>O52-N52</f>
        <v>46178</v>
      </c>
      <c r="Q52" s="289"/>
      <c r="R52" s="289"/>
      <c r="S52" s="306">
        <f>R52-M52</f>
        <v>0</v>
      </c>
      <c r="T52" s="270" t="s">
        <v>3355</v>
      </c>
      <c r="U52" s="289"/>
    </row>
    <row r="53" spans="1:21" customHeight="1" ht="15" hidden="true">
      <c r="A53" s="280" t="s">
        <v>3351</v>
      </c>
      <c r="B53" s="280" t="s">
        <v>3352</v>
      </c>
      <c r="C53" s="280" t="s">
        <v>128</v>
      </c>
      <c r="D53" s="29" t="s">
        <v>143</v>
      </c>
      <c r="E53" s="280" t="s">
        <v>540</v>
      </c>
      <c r="F53" s="280" t="s">
        <v>3422</v>
      </c>
      <c r="G53" s="280" t="s">
        <v>254</v>
      </c>
      <c r="H53" s="282" t="s">
        <v>551</v>
      </c>
      <c r="I53" s="283" t="s">
        <v>561</v>
      </c>
      <c r="J53" s="282" t="s">
        <v>551</v>
      </c>
      <c r="K53" s="284">
        <v>46094</v>
      </c>
      <c r="L53" s="285">
        <f>K53+O53</f>
        <v>46139</v>
      </c>
      <c r="M53" s="285">
        <v>46111</v>
      </c>
      <c r="N53" s="286"/>
      <c r="O53" s="287">
        <v>45</v>
      </c>
      <c r="P53" s="286">
        <f>O53-N53</f>
        <v>45</v>
      </c>
      <c r="Q53" t="s">
        <v>3423</v>
      </c>
      <c r="R53" s="289"/>
      <c r="S53" s="306">
        <f>R53-M53</f>
        <v>-46111</v>
      </c>
      <c r="T53" s="270" t="s">
        <v>3355</v>
      </c>
      <c r="U53" s="289"/>
    </row>
    <row r="54" spans="1:21" customHeight="1" ht="15" hidden="true">
      <c r="A54" s="280" t="s">
        <v>3351</v>
      </c>
      <c r="B54" s="280" t="s">
        <v>3352</v>
      </c>
      <c r="C54" s="280" t="s">
        <v>128</v>
      </c>
      <c r="D54" s="280" t="s">
        <v>130</v>
      </c>
      <c r="E54" s="280" t="s">
        <v>552</v>
      </c>
      <c r="F54" s="280" t="s">
        <v>422</v>
      </c>
      <c r="G54" s="280" t="s">
        <v>425</v>
      </c>
      <c r="H54" s="282" t="s">
        <v>551</v>
      </c>
      <c r="I54" s="283" t="s">
        <v>566</v>
      </c>
      <c r="J54" s="282" t="s">
        <v>561</v>
      </c>
      <c r="K54" s="284">
        <v>46098</v>
      </c>
      <c r="L54" s="285">
        <f>K54+O54</f>
        <v>46143</v>
      </c>
      <c r="M54" s="285">
        <v>46113</v>
      </c>
      <c r="N54" s="286">
        <f>(M54-K54)</f>
        <v>15</v>
      </c>
      <c r="O54" s="287">
        <v>45</v>
      </c>
      <c r="P54" s="286">
        <f>O54-N54</f>
        <v>30</v>
      </c>
      <c r="Q54" s="289" t="s">
        <v>3424</v>
      </c>
      <c r="R54" s="289"/>
      <c r="S54" s="306">
        <f>R54-M54</f>
        <v>-46113</v>
      </c>
      <c r="T54" s="270" t="s">
        <v>3362</v>
      </c>
      <c r="U54" s="289"/>
    </row>
    <row r="55" spans="1:21" customHeight="1" ht="15" hidden="true">
      <c r="A55" s="280" t="s">
        <v>3351</v>
      </c>
      <c r="B55" s="280" t="s">
        <v>3352</v>
      </c>
      <c r="C55" s="280" t="s">
        <v>128</v>
      </c>
      <c r="D55" s="280" t="s">
        <v>3425</v>
      </c>
      <c r="E55" s="280" t="s">
        <v>552</v>
      </c>
      <c r="F55" s="280" t="s">
        <v>429</v>
      </c>
      <c r="G55" s="280" t="s">
        <v>1025</v>
      </c>
      <c r="H55" s="282" t="s">
        <v>551</v>
      </c>
      <c r="I55" s="283" t="s">
        <v>566</v>
      </c>
      <c r="J55" s="282" t="s">
        <v>561</v>
      </c>
      <c r="K55" s="284">
        <v>46098</v>
      </c>
      <c r="L55" s="285">
        <f>K55+O55</f>
        <v>46143</v>
      </c>
      <c r="M55" s="285">
        <v>46113</v>
      </c>
      <c r="N55" s="286">
        <f>(M55-K55)</f>
        <v>15</v>
      </c>
      <c r="O55" s="287">
        <v>45</v>
      </c>
      <c r="P55" s="286">
        <f>O55-N55</f>
        <v>30</v>
      </c>
      <c r="Q55" s="289" t="s">
        <v>3426</v>
      </c>
      <c r="R55" s="289"/>
      <c r="S55" s="306">
        <f>R55-M55</f>
        <v>-46113</v>
      </c>
      <c r="T55" s="270" t="s">
        <v>3357</v>
      </c>
      <c r="U55" s="289"/>
    </row>
    <row r="56" spans="1:21" customHeight="1" ht="15">
      <c r="A56" s="280" t="s">
        <v>3374</v>
      </c>
      <c r="B56" s="280" t="s">
        <v>3401</v>
      </c>
      <c r="C56" s="280" t="s">
        <v>128</v>
      </c>
      <c r="D56" s="280" t="s">
        <v>135</v>
      </c>
      <c r="E56" s="280" t="s">
        <v>567</v>
      </c>
      <c r="F56" s="280" t="s">
        <v>464</v>
      </c>
      <c r="G56" s="280" t="s">
        <v>255</v>
      </c>
      <c r="H56" s="282" t="s">
        <v>551</v>
      </c>
      <c r="I56" s="283" t="s">
        <v>561</v>
      </c>
      <c r="J56" s="282"/>
      <c r="K56" s="284">
        <v>46100</v>
      </c>
      <c r="L56" s="285">
        <f>K56+O56</f>
        <v>46135</v>
      </c>
      <c r="M56" s="285"/>
      <c r="N56" s="286">
        <f>(M56-K56)</f>
        <v>-46100</v>
      </c>
      <c r="O56" s="287">
        <v>35</v>
      </c>
      <c r="P56" s="286">
        <f>O56-N56</f>
        <v>46135</v>
      </c>
      <c r="Q56" s="289"/>
      <c r="R56" s="289"/>
      <c r="S56" s="306">
        <f>R56-M56</f>
        <v>0</v>
      </c>
      <c r="T56" s="270" t="s">
        <v>3362</v>
      </c>
      <c r="U56" s="289"/>
    </row>
    <row r="57" spans="1:21" customHeight="1" ht="14.25" hidden="true">
      <c r="A57" s="280" t="s">
        <v>3351</v>
      </c>
      <c r="B57" s="280" t="s">
        <v>3352</v>
      </c>
      <c r="C57" s="280" t="s">
        <v>128</v>
      </c>
      <c r="D57" s="280" t="s">
        <v>226</v>
      </c>
      <c r="E57" s="280" t="s">
        <v>552</v>
      </c>
      <c r="F57" s="280" t="s">
        <v>1812</v>
      </c>
      <c r="G57" s="280" t="s">
        <v>3414</v>
      </c>
      <c r="H57" s="282" t="s">
        <v>551</v>
      </c>
      <c r="I57" s="283" t="s">
        <v>566</v>
      </c>
      <c r="J57" s="282" t="s">
        <v>561</v>
      </c>
      <c r="K57" s="284">
        <v>46108</v>
      </c>
      <c r="L57" s="285">
        <f>K57+O57</f>
        <v>46153</v>
      </c>
      <c r="M57" s="285">
        <v>46128</v>
      </c>
      <c r="N57" s="286">
        <f>(M57-K57)</f>
        <v>20</v>
      </c>
      <c r="O57" s="287">
        <v>45</v>
      </c>
      <c r="P57" s="286">
        <f>O57-N57</f>
        <v>25</v>
      </c>
      <c r="Q57" s="270" t="s">
        <v>3470</v>
      </c>
      <c r="R57" s="289"/>
      <c r="S57" s="306">
        <f>R57-M57</f>
        <v>-46128</v>
      </c>
      <c r="T57" s="270" t="s">
        <v>3362</v>
      </c>
      <c r="U57" s="289"/>
    </row>
    <row r="58" spans="1:21" customHeight="1" ht="14.25">
      <c r="A58" s="280" t="s">
        <v>3351</v>
      </c>
      <c r="B58" s="280" t="s">
        <v>3401</v>
      </c>
      <c r="C58" s="280" t="s">
        <v>141</v>
      </c>
      <c r="D58" s="29" t="s">
        <v>143</v>
      </c>
      <c r="E58" s="280" t="s">
        <v>540</v>
      </c>
      <c r="F58" s="280" t="s">
        <v>3429</v>
      </c>
      <c r="G58" s="280" t="s">
        <v>137</v>
      </c>
      <c r="H58" s="282" t="s">
        <v>551</v>
      </c>
      <c r="I58" s="283" t="s">
        <v>566</v>
      </c>
      <c r="J58" s="282"/>
      <c r="K58" s="284">
        <v>46108</v>
      </c>
      <c r="L58" s="285">
        <f>K58+O58</f>
        <v>46143</v>
      </c>
      <c r="M58" s="285">
        <v>46148</v>
      </c>
      <c r="N58" s="286">
        <f>(M58-K58)</f>
        <v>40</v>
      </c>
      <c r="O58" s="287">
        <v>35</v>
      </c>
      <c r="P58" s="286">
        <f>O58-N58</f>
        <v>-5</v>
      </c>
      <c r="Q58" s="289" t="s">
        <v>3430</v>
      </c>
      <c r="R58" s="289"/>
      <c r="S58" s="306">
        <f>R58-M58</f>
        <v>-46148</v>
      </c>
      <c r="T58" s="270" t="s">
        <v>3362</v>
      </c>
      <c r="U58" s="289"/>
    </row>
    <row r="59" spans="1:21" customHeight="1" ht="15" hidden="true">
      <c r="A59" s="280" t="s">
        <v>3351</v>
      </c>
      <c r="B59" s="280" t="s">
        <v>3352</v>
      </c>
      <c r="C59" s="280" t="s">
        <v>128</v>
      </c>
      <c r="D59" s="280" t="s">
        <v>3431</v>
      </c>
      <c r="E59" s="280" t="s">
        <v>552</v>
      </c>
      <c r="F59" s="280" t="s">
        <v>3432</v>
      </c>
      <c r="G59" s="280" t="s">
        <v>3433</v>
      </c>
      <c r="H59" s="282" t="s">
        <v>561</v>
      </c>
      <c r="I59" s="283" t="s">
        <v>566</v>
      </c>
      <c r="J59" s="282" t="s">
        <v>561</v>
      </c>
      <c r="K59" s="284">
        <v>46113</v>
      </c>
      <c r="L59" s="285">
        <f>K59+O59</f>
        <v>46158</v>
      </c>
      <c r="M59" s="285">
        <v>46139</v>
      </c>
      <c r="N59" s="286">
        <f>(M59-K59)</f>
        <v>26</v>
      </c>
      <c r="O59" s="287">
        <v>45</v>
      </c>
      <c r="P59" s="286">
        <f>O59-N59</f>
        <v>19</v>
      </c>
      <c r="Q59" s="289" t="s">
        <v>3434</v>
      </c>
      <c r="R59" s="289"/>
      <c r="S59" s="306">
        <f>R59-M59</f>
        <v>-46139</v>
      </c>
      <c r="T59" s="270" t="s">
        <v>3355</v>
      </c>
      <c r="U59" s="289"/>
    </row>
    <row r="60" spans="1:21" customHeight="1" ht="15">
      <c r="A60" s="280" t="s">
        <v>3351</v>
      </c>
      <c r="B60" s="280" t="s">
        <v>3401</v>
      </c>
      <c r="C60" s="280" t="s">
        <v>128</v>
      </c>
      <c r="D60" s="280" t="s">
        <v>3435</v>
      </c>
      <c r="E60" s="280" t="s">
        <v>552</v>
      </c>
      <c r="F60" s="280" t="s">
        <v>429</v>
      </c>
      <c r="G60" s="280" t="s">
        <v>431</v>
      </c>
      <c r="H60" s="282" t="s">
        <v>561</v>
      </c>
      <c r="I60" s="283" t="s">
        <v>566</v>
      </c>
      <c r="J60" s="282"/>
      <c r="K60" s="284">
        <v>46113</v>
      </c>
      <c r="L60" s="285">
        <f>K60+O60</f>
        <v>46158</v>
      </c>
      <c r="M60" s="285"/>
      <c r="N60" s="286">
        <f>(M60-K60)</f>
        <v>-46113</v>
      </c>
      <c r="O60" s="287">
        <v>45</v>
      </c>
      <c r="P60" s="286">
        <f>O60-N60</f>
        <v>46158</v>
      </c>
      <c r="Q60" s="289"/>
      <c r="R60" s="289"/>
      <c r="S60" s="306">
        <f>R60-M60</f>
        <v>0</v>
      </c>
      <c r="T60" s="270" t="s">
        <v>3355</v>
      </c>
      <c r="U60" s="289"/>
    </row>
    <row r="61" spans="1:21" customHeight="1" ht="15" hidden="true">
      <c r="A61" s="280" t="s">
        <v>3351</v>
      </c>
      <c r="B61" s="280" t="s">
        <v>3352</v>
      </c>
      <c r="C61" s="280" t="s">
        <v>128</v>
      </c>
      <c r="D61" s="280" t="s">
        <v>176</v>
      </c>
      <c r="E61" s="280" t="s">
        <v>552</v>
      </c>
      <c r="F61" s="280" t="s">
        <v>1244</v>
      </c>
      <c r="G61" s="280" t="s">
        <v>3436</v>
      </c>
      <c r="H61" s="282" t="s">
        <v>561</v>
      </c>
      <c r="I61" s="283" t="s">
        <v>566</v>
      </c>
      <c r="J61" s="282" t="s">
        <v>561</v>
      </c>
      <c r="K61" s="284">
        <v>46113</v>
      </c>
      <c r="L61" s="285">
        <f>K61+O61</f>
        <v>46158</v>
      </c>
      <c r="M61" s="285">
        <v>46132</v>
      </c>
      <c r="N61" s="286">
        <f>(M61-K61)</f>
        <v>19</v>
      </c>
      <c r="O61" s="287">
        <v>45</v>
      </c>
      <c r="P61" s="286">
        <f>O61-N61</f>
        <v>26</v>
      </c>
      <c r="Q61" s="289" t="s">
        <v>3437</v>
      </c>
      <c r="R61" s="289"/>
      <c r="S61" s="306">
        <f>R61-M61</f>
        <v>-46132</v>
      </c>
      <c r="T61" s="270" t="s">
        <v>3355</v>
      </c>
      <c r="U61" s="289"/>
    </row>
    <row r="62" spans="1:21" customHeight="1" ht="15" hidden="true">
      <c r="A62" s="280" t="s">
        <v>3351</v>
      </c>
      <c r="B62" s="280" t="s">
        <v>3352</v>
      </c>
      <c r="C62" s="280" t="s">
        <v>128</v>
      </c>
      <c r="D62" s="280" t="s">
        <v>3396</v>
      </c>
      <c r="E62" s="280" t="s">
        <v>552</v>
      </c>
      <c r="F62" s="280" t="s">
        <v>3397</v>
      </c>
      <c r="G62" s="280" t="s">
        <v>3398</v>
      </c>
      <c r="H62" s="282" t="s">
        <v>561</v>
      </c>
      <c r="I62" s="283" t="s">
        <v>566</v>
      </c>
      <c r="J62" s="282" t="s">
        <v>561</v>
      </c>
      <c r="K62" s="284">
        <v>46114</v>
      </c>
      <c r="L62" s="285">
        <f>K62+O62</f>
        <v>46156</v>
      </c>
      <c r="M62" s="285">
        <v>46160</v>
      </c>
      <c r="N62" s="286">
        <f>(M62-K62)</f>
        <v>46</v>
      </c>
      <c r="O62" s="287">
        <v>42</v>
      </c>
      <c r="P62" s="444">
        <f>O62-N62</f>
        <v>-4</v>
      </c>
      <c r="Q62" s="289" t="s">
        <v>3438</v>
      </c>
      <c r="R62" s="283"/>
      <c r="S62" s="309">
        <f>R62-M62</f>
        <v>-46160</v>
      </c>
      <c r="T62" s="270" t="s">
        <v>3362</v>
      </c>
      <c r="U62" s="289"/>
    </row>
    <row r="63" spans="1:21" customHeight="1" ht="15">
      <c r="A63" s="280" t="s">
        <v>3351</v>
      </c>
      <c r="B63" s="280" t="s">
        <v>3352</v>
      </c>
      <c r="C63" s="280" t="s">
        <v>128</v>
      </c>
      <c r="D63" s="280" t="s">
        <v>169</v>
      </c>
      <c r="E63" s="280" t="s">
        <v>552</v>
      </c>
      <c r="F63" s="280" t="s">
        <v>396</v>
      </c>
      <c r="G63" s="280" t="s">
        <v>1583</v>
      </c>
      <c r="H63" s="282" t="s">
        <v>561</v>
      </c>
      <c r="I63" s="283" t="s">
        <v>566</v>
      </c>
      <c r="J63" s="282"/>
      <c r="K63" s="284">
        <v>46114</v>
      </c>
      <c r="L63" s="285">
        <f>K63+O63</f>
        <v>46156</v>
      </c>
      <c r="M63" s="285"/>
      <c r="N63" s="286">
        <f>(M63-K63)</f>
        <v>-46114</v>
      </c>
      <c r="O63" s="287">
        <v>42</v>
      </c>
      <c r="P63" s="444">
        <f>O63-N63</f>
        <v>46156</v>
      </c>
      <c r="Q63" s="289"/>
      <c r="R63" s="283"/>
      <c r="S63" s="309">
        <f>R63-M63</f>
        <v>0</v>
      </c>
      <c r="T63" s="270" t="s">
        <v>3362</v>
      </c>
      <c r="U63" s="289"/>
    </row>
    <row r="64" spans="1:21" customHeight="1" ht="15" hidden="true">
      <c r="A64" s="280" t="s">
        <v>3351</v>
      </c>
      <c r="B64" s="280" t="s">
        <v>3352</v>
      </c>
      <c r="C64" s="280" t="s">
        <v>128</v>
      </c>
      <c r="D64" s="280" t="s">
        <v>3435</v>
      </c>
      <c r="E64" s="280" t="s">
        <v>552</v>
      </c>
      <c r="F64" s="280" t="s">
        <v>453</v>
      </c>
      <c r="G64" s="280" t="s">
        <v>454</v>
      </c>
      <c r="H64" s="282" t="s">
        <v>561</v>
      </c>
      <c r="I64" s="283" t="s">
        <v>566</v>
      </c>
      <c r="J64" s="282" t="s">
        <v>561</v>
      </c>
      <c r="K64" s="284">
        <v>46114</v>
      </c>
      <c r="L64" s="285">
        <f>K64+O64</f>
        <v>46156</v>
      </c>
      <c r="M64" s="285">
        <v>46121</v>
      </c>
      <c r="N64" s="286">
        <f>(M64-K64)</f>
        <v>7</v>
      </c>
      <c r="O64" s="287">
        <v>42</v>
      </c>
      <c r="P64" s="444">
        <f>O64-N64</f>
        <v>35</v>
      </c>
      <c r="Q64" s="289" t="s">
        <v>3424</v>
      </c>
      <c r="R64" s="289"/>
      <c r="S64" s="306">
        <f>R64-M64</f>
        <v>-46121</v>
      </c>
      <c r="T64" s="270" t="s">
        <v>3355</v>
      </c>
      <c r="U64" s="289"/>
    </row>
    <row r="65" spans="1:21" customHeight="1" ht="15" hidden="true">
      <c r="A65" s="280" t="s">
        <v>3351</v>
      </c>
      <c r="B65" s="280" t="s">
        <v>3401</v>
      </c>
      <c r="C65" s="280" t="s">
        <v>128</v>
      </c>
      <c r="D65" s="280" t="s">
        <v>226</v>
      </c>
      <c r="E65" s="280" t="s">
        <v>552</v>
      </c>
      <c r="F65" s="280" t="s">
        <v>333</v>
      </c>
      <c r="G65" s="280" t="s">
        <v>2303</v>
      </c>
      <c r="H65" s="282" t="s">
        <v>561</v>
      </c>
      <c r="I65" s="283" t="s">
        <v>566</v>
      </c>
      <c r="J65" s="282" t="s">
        <v>561</v>
      </c>
      <c r="K65" s="284">
        <v>46115</v>
      </c>
      <c r="L65" s="285">
        <f>K65+O65</f>
        <v>46160</v>
      </c>
      <c r="M65" s="285"/>
      <c r="N65" s="286">
        <f>(M65-K65)</f>
        <v>-46115</v>
      </c>
      <c r="O65" s="287">
        <v>45</v>
      </c>
      <c r="P65" s="444">
        <f>O65-N65</f>
        <v>46160</v>
      </c>
      <c r="Q65" s="289" t="s">
        <v>3441</v>
      </c>
      <c r="R65" s="289"/>
      <c r="S65" s="306">
        <f>R65-M65</f>
        <v>0</v>
      </c>
      <c r="T65" s="270" t="s">
        <v>3355</v>
      </c>
      <c r="U65" s="289"/>
    </row>
    <row r="66" spans="1:21" customHeight="1" ht="15" hidden="true">
      <c r="A66" s="280" t="s">
        <v>3351</v>
      </c>
      <c r="B66" s="280" t="s">
        <v>3352</v>
      </c>
      <c r="C66" s="280" t="s">
        <v>128</v>
      </c>
      <c r="D66" s="280" t="s">
        <v>226</v>
      </c>
      <c r="E66" s="280" t="s">
        <v>552</v>
      </c>
      <c r="F66" s="280" t="s">
        <v>228</v>
      </c>
      <c r="G66" s="280" t="s">
        <v>3442</v>
      </c>
      <c r="H66" s="282" t="s">
        <v>561</v>
      </c>
      <c r="I66" s="283" t="s">
        <v>566</v>
      </c>
      <c r="J66" s="282" t="s">
        <v>561</v>
      </c>
      <c r="K66" s="284">
        <v>46115</v>
      </c>
      <c r="L66" s="285">
        <f>K66+O66</f>
        <v>46162</v>
      </c>
      <c r="M66" s="285">
        <v>46132</v>
      </c>
      <c r="N66" s="286">
        <f>(M66-K66)</f>
        <v>17</v>
      </c>
      <c r="O66" s="287">
        <v>47</v>
      </c>
      <c r="P66" s="444">
        <f>O66-N66</f>
        <v>30</v>
      </c>
      <c r="Q66" s="270" t="s">
        <v>3443</v>
      </c>
      <c r="R66" s="289"/>
      <c r="S66" s="306">
        <f>R66-M66</f>
        <v>-46132</v>
      </c>
      <c r="T66" s="270" t="s">
        <v>3362</v>
      </c>
      <c r="U66" s="289"/>
    </row>
    <row r="67" spans="1:21" customHeight="1" ht="15">
      <c r="A67" s="280" t="s">
        <v>3351</v>
      </c>
      <c r="B67" s="280" t="s">
        <v>3352</v>
      </c>
      <c r="C67" s="280" t="s">
        <v>128</v>
      </c>
      <c r="D67" s="189" t="s">
        <v>182</v>
      </c>
      <c r="E67" s="280" t="s">
        <v>552</v>
      </c>
      <c r="F67" s="280" t="s">
        <v>180</v>
      </c>
      <c r="G67" s="280" t="s">
        <v>3471</v>
      </c>
      <c r="H67" s="282" t="s">
        <v>561</v>
      </c>
      <c r="I67" s="283" t="s">
        <v>566</v>
      </c>
      <c r="J67" s="282"/>
      <c r="K67" s="284">
        <v>46125</v>
      </c>
      <c r="L67" s="285">
        <f>K67+O67</f>
        <v>46170</v>
      </c>
      <c r="M67" s="285"/>
      <c r="N67" s="286">
        <f>(M67-K67)</f>
        <v>-46125</v>
      </c>
      <c r="O67" s="287">
        <v>45</v>
      </c>
      <c r="P67" s="444">
        <f>O67-N67</f>
        <v>46170</v>
      </c>
      <c r="Q67" s="289"/>
      <c r="R67" s="289"/>
      <c r="S67" s="306">
        <f>R67-M67</f>
        <v>0</v>
      </c>
      <c r="T67" s="270" t="s">
        <v>3355</v>
      </c>
      <c r="U67" s="289"/>
    </row>
    <row r="68" spans="1:21" customHeight="1" ht="15">
      <c r="A68" s="280" t="s">
        <v>3351</v>
      </c>
      <c r="B68" s="280" t="s">
        <v>3401</v>
      </c>
      <c r="C68" s="280" t="s">
        <v>128</v>
      </c>
      <c r="D68" s="189" t="s">
        <v>509</v>
      </c>
      <c r="E68" s="280" t="s">
        <v>508</v>
      </c>
      <c r="F68" s="280" t="s">
        <v>2493</v>
      </c>
      <c r="G68" s="280" t="s">
        <v>2494</v>
      </c>
      <c r="H68" s="282" t="s">
        <v>561</v>
      </c>
      <c r="I68" s="283" t="s">
        <v>566</v>
      </c>
      <c r="J68" s="282"/>
      <c r="K68" s="284">
        <v>46125</v>
      </c>
      <c r="L68" s="285">
        <f>K68+O68</f>
        <v>46160</v>
      </c>
      <c r="M68" s="285"/>
      <c r="N68" s="286">
        <f>(M68-K68)</f>
        <v>-46125</v>
      </c>
      <c r="O68" s="287">
        <v>35</v>
      </c>
      <c r="P68" s="444">
        <f>O68-N68</f>
        <v>46160</v>
      </c>
      <c r="Q68" s="289"/>
      <c r="R68" s="289"/>
      <c r="S68" s="306">
        <f>R68-M68</f>
        <v>0</v>
      </c>
      <c r="T68" s="270" t="s">
        <v>3394</v>
      </c>
      <c r="U68" s="289"/>
    </row>
    <row r="69" spans="1:21" customHeight="1" ht="15" hidden="true">
      <c r="A69" s="280" t="s">
        <v>3351</v>
      </c>
      <c r="B69" s="280" t="s">
        <v>3352</v>
      </c>
      <c r="C69" s="280" t="s">
        <v>128</v>
      </c>
      <c r="D69" s="189" t="s">
        <v>509</v>
      </c>
      <c r="E69" s="280" t="s">
        <v>508</v>
      </c>
      <c r="F69" s="280" t="s">
        <v>3020</v>
      </c>
      <c r="G69" s="280" t="s">
        <v>510</v>
      </c>
      <c r="H69" s="282" t="s">
        <v>561</v>
      </c>
      <c r="I69" s="283" t="s">
        <v>566</v>
      </c>
      <c r="J69" s="282" t="s">
        <v>561</v>
      </c>
      <c r="K69" s="284">
        <v>46126</v>
      </c>
      <c r="L69" s="285">
        <f>K69+O69</f>
        <v>46161</v>
      </c>
      <c r="M69" s="285">
        <v>46149</v>
      </c>
      <c r="N69" s="286">
        <f>(M69-K69)</f>
        <v>23</v>
      </c>
      <c r="O69" s="287">
        <v>35</v>
      </c>
      <c r="P69" s="444">
        <f>O69-N69</f>
        <v>12</v>
      </c>
      <c r="Q69" s="289" t="s">
        <v>3472</v>
      </c>
      <c r="R69" s="289"/>
      <c r="S69" s="306">
        <f>R69-M69</f>
        <v>-46149</v>
      </c>
      <c r="T69" s="291" t="s">
        <v>3394</v>
      </c>
      <c r="U69" s="289"/>
    </row>
    <row r="70" spans="1:21" customHeight="1" ht="15">
      <c r="A70" s="280" t="s">
        <v>3351</v>
      </c>
      <c r="B70" s="280" t="s">
        <v>3401</v>
      </c>
      <c r="C70" s="280" t="s">
        <v>128</v>
      </c>
      <c r="D70" s="280" t="s">
        <v>176</v>
      </c>
      <c r="E70" s="280" t="s">
        <v>552</v>
      </c>
      <c r="F70" s="280" t="s">
        <v>3353</v>
      </c>
      <c r="G70" s="307" t="s">
        <v>254</v>
      </c>
      <c r="H70" s="282" t="s">
        <v>561</v>
      </c>
      <c r="I70" s="283" t="s">
        <v>566</v>
      </c>
      <c r="J70" s="282"/>
      <c r="K70" s="284">
        <v>46125</v>
      </c>
      <c r="L70" s="285">
        <f>K70+O70</f>
        <v>46167</v>
      </c>
      <c r="M70" s="285"/>
      <c r="N70" s="286">
        <f>(M70-K70)</f>
        <v>-46125</v>
      </c>
      <c r="O70" s="287">
        <v>42</v>
      </c>
      <c r="P70" s="444">
        <f>O70-N70</f>
        <v>46167</v>
      </c>
      <c r="Q70" s="289"/>
      <c r="R70" s="289"/>
      <c r="S70" s="309">
        <f>R70-M70</f>
        <v>0</v>
      </c>
      <c r="T70" s="270" t="s">
        <v>3355</v>
      </c>
      <c r="U70" s="289"/>
    </row>
    <row r="71" spans="1:21" customHeight="1" ht="15">
      <c r="A71" s="280" t="s">
        <v>3351</v>
      </c>
      <c r="B71" s="280" t="s">
        <v>3352</v>
      </c>
      <c r="C71" s="280" t="s">
        <v>128</v>
      </c>
      <c r="D71" s="280" t="s">
        <v>176</v>
      </c>
      <c r="E71" s="280" t="s">
        <v>552</v>
      </c>
      <c r="F71" s="280" t="s">
        <v>3353</v>
      </c>
      <c r="G71" s="307" t="s">
        <v>255</v>
      </c>
      <c r="H71" s="282" t="s">
        <v>561</v>
      </c>
      <c r="I71" s="283" t="s">
        <v>566</v>
      </c>
      <c r="J71" s="282"/>
      <c r="K71" s="284">
        <v>46125</v>
      </c>
      <c r="L71" s="285">
        <f>K71+O71</f>
        <v>46167</v>
      </c>
      <c r="M71" s="285"/>
      <c r="N71" s="286">
        <f>(M71-K71)</f>
        <v>-46125</v>
      </c>
      <c r="O71" s="287">
        <v>42</v>
      </c>
      <c r="P71" s="444">
        <f>O71-N71</f>
        <v>46167</v>
      </c>
      <c r="Q71" s="289"/>
      <c r="R71" s="289"/>
      <c r="S71" s="309">
        <f>R71-M71</f>
        <v>0</v>
      </c>
      <c r="T71" s="270" t="s">
        <v>3355</v>
      </c>
      <c r="U71" s="289"/>
    </row>
    <row r="72" spans="1:21" customHeight="1" ht="15" hidden="true">
      <c r="A72" s="280" t="s">
        <v>3351</v>
      </c>
      <c r="B72" s="280" t="s">
        <v>3352</v>
      </c>
      <c r="C72" s="280" t="s">
        <v>128</v>
      </c>
      <c r="D72" s="280" t="s">
        <v>176</v>
      </c>
      <c r="E72" s="280" t="s">
        <v>552</v>
      </c>
      <c r="F72" s="280" t="s">
        <v>1233</v>
      </c>
      <c r="G72" s="280" t="s">
        <v>1239</v>
      </c>
      <c r="H72" s="282" t="s">
        <v>561</v>
      </c>
      <c r="I72" s="283" t="s">
        <v>566</v>
      </c>
      <c r="J72" s="282" t="s">
        <v>561</v>
      </c>
      <c r="K72" s="284">
        <v>46125</v>
      </c>
      <c r="L72" s="285">
        <f>K72+O72</f>
        <v>46167</v>
      </c>
      <c r="M72" s="285">
        <v>46146</v>
      </c>
      <c r="N72" s="286">
        <f>(M72-K72)</f>
        <v>21</v>
      </c>
      <c r="O72" s="287">
        <v>42</v>
      </c>
      <c r="P72" s="286">
        <f>O72-N72</f>
        <v>21</v>
      </c>
      <c r="Q72" s="289" t="s">
        <v>3448</v>
      </c>
      <c r="R72" s="289"/>
      <c r="S72" s="306">
        <f>R72-M72</f>
        <v>-46146</v>
      </c>
      <c r="T72" s="270" t="s">
        <v>3355</v>
      </c>
      <c r="U72" s="289"/>
    </row>
    <row r="73" spans="1:21" customHeight="1" ht="15" hidden="true">
      <c r="A73" s="280" t="s">
        <v>3351</v>
      </c>
      <c r="B73" s="280" t="s">
        <v>3352</v>
      </c>
      <c r="C73" s="280" t="s">
        <v>128</v>
      </c>
      <c r="D73" s="189" t="s">
        <v>280</v>
      </c>
      <c r="E73" s="280" t="s">
        <v>552</v>
      </c>
      <c r="F73" s="280" t="s">
        <v>3411</v>
      </c>
      <c r="G73" s="280" t="s">
        <v>3412</v>
      </c>
      <c r="H73" s="282" t="s">
        <v>561</v>
      </c>
      <c r="I73" s="283" t="s">
        <v>566</v>
      </c>
      <c r="J73" s="282" t="s">
        <v>561</v>
      </c>
      <c r="K73" s="284">
        <v>46132</v>
      </c>
      <c r="L73" s="285">
        <f>K73+O73</f>
        <v>46167</v>
      </c>
      <c r="M73" s="285">
        <v>46141</v>
      </c>
      <c r="N73" s="286">
        <f>(M73-K73)</f>
        <v>9</v>
      </c>
      <c r="O73" s="287">
        <v>35</v>
      </c>
      <c r="P73" s="286">
        <f>O73-N73</f>
        <v>26</v>
      </c>
      <c r="Q73" s="289" t="s">
        <v>3449</v>
      </c>
      <c r="R73" s="289"/>
      <c r="S73" s="306">
        <f>R73-M73</f>
        <v>-46141</v>
      </c>
      <c r="T73" s="270" t="s">
        <v>3362</v>
      </c>
      <c r="U73" s="289"/>
    </row>
    <row r="74" spans="1:21" customHeight="1" ht="15" hidden="true">
      <c r="A74" s="280" t="s">
        <v>3351</v>
      </c>
      <c r="B74" s="280" t="s">
        <v>3352</v>
      </c>
      <c r="C74" s="280" t="s">
        <v>128</v>
      </c>
      <c r="D74" s="189" t="s">
        <v>280</v>
      </c>
      <c r="E74" s="280" t="s">
        <v>552</v>
      </c>
      <c r="F74" s="280" t="s">
        <v>3411</v>
      </c>
      <c r="G74" s="280" t="s">
        <v>3450</v>
      </c>
      <c r="H74" s="282" t="s">
        <v>561</v>
      </c>
      <c r="I74" s="283" t="s">
        <v>566</v>
      </c>
      <c r="J74" s="282" t="s">
        <v>561</v>
      </c>
      <c r="K74" s="284">
        <v>46132</v>
      </c>
      <c r="L74" s="285">
        <f>K74+O74</f>
        <v>46167</v>
      </c>
      <c r="M74" s="285">
        <v>46140</v>
      </c>
      <c r="N74" s="286">
        <f>(M74-K74)</f>
        <v>8</v>
      </c>
      <c r="O74" s="287">
        <v>35</v>
      </c>
      <c r="P74" s="286">
        <f>O74-N74</f>
        <v>27</v>
      </c>
      <c r="Q74" s="289" t="s">
        <v>3451</v>
      </c>
      <c r="R74" s="289"/>
      <c r="S74" s="306">
        <f>R74-M74</f>
        <v>-46140</v>
      </c>
      <c r="T74" s="270" t="s">
        <v>3362</v>
      </c>
      <c r="U74" s="289"/>
    </row>
    <row r="75" spans="1:21" customHeight="1" ht="15">
      <c r="A75" s="280" t="s">
        <v>3351</v>
      </c>
      <c r="B75" s="280" t="s">
        <v>3401</v>
      </c>
      <c r="C75" s="280" t="s">
        <v>128</v>
      </c>
      <c r="D75" s="280" t="s">
        <v>135</v>
      </c>
      <c r="E75" s="280" t="s">
        <v>567</v>
      </c>
      <c r="F75" s="280" t="s">
        <v>422</v>
      </c>
      <c r="G75" s="280" t="s">
        <v>1665</v>
      </c>
      <c r="H75" s="283" t="s">
        <v>561</v>
      </c>
      <c r="I75" s="283" t="s">
        <v>566</v>
      </c>
      <c r="J75" s="282"/>
      <c r="K75" s="284">
        <v>46134</v>
      </c>
      <c r="L75" s="285">
        <f>K75+O75</f>
        <v>46169</v>
      </c>
      <c r="M75" s="285"/>
      <c r="N75" s="286">
        <f>(M75-K75)</f>
        <v>-46134</v>
      </c>
      <c r="O75" s="287">
        <v>35</v>
      </c>
      <c r="P75" s="286">
        <f>O75-N75</f>
        <v>46169</v>
      </c>
      <c r="Q75" s="289"/>
      <c r="R75" s="289"/>
      <c r="S75" s="306">
        <f>R75-M75</f>
        <v>0</v>
      </c>
      <c r="T75" s="270" t="s">
        <v>3362</v>
      </c>
      <c r="U75" s="289"/>
    </row>
    <row r="76" spans="1:21" customHeight="1" ht="15">
      <c r="A76" s="280" t="s">
        <v>3351</v>
      </c>
      <c r="B76" s="280" t="s">
        <v>3401</v>
      </c>
      <c r="C76" s="280" t="s">
        <v>128</v>
      </c>
      <c r="D76" s="280" t="s">
        <v>135</v>
      </c>
      <c r="E76" s="280" t="s">
        <v>567</v>
      </c>
      <c r="F76" s="280" t="s">
        <v>422</v>
      </c>
      <c r="G76" s="280" t="s">
        <v>1665</v>
      </c>
      <c r="H76" s="283" t="s">
        <v>561</v>
      </c>
      <c r="I76" s="283" t="s">
        <v>566</v>
      </c>
      <c r="J76" s="282"/>
      <c r="K76" s="284">
        <v>46134</v>
      </c>
      <c r="L76" s="285">
        <f>K76+O76</f>
        <v>46169</v>
      </c>
      <c r="M76" s="285"/>
      <c r="N76" s="286">
        <f>(M76-K76)</f>
        <v>-46134</v>
      </c>
      <c r="O76" s="287">
        <v>35</v>
      </c>
      <c r="P76" s="286">
        <f>O76-N76</f>
        <v>46169</v>
      </c>
      <c r="Q76" s="289"/>
      <c r="R76" s="289"/>
      <c r="S76" s="306">
        <f>R76-M76</f>
        <v>0</v>
      </c>
      <c r="T76" s="270" t="s">
        <v>3362</v>
      </c>
      <c r="U76" s="289"/>
    </row>
    <row r="77" spans="1:21" customHeight="1" ht="15" hidden="true">
      <c r="A77" s="280" t="s">
        <v>3374</v>
      </c>
      <c r="B77" s="280" t="s">
        <v>3352</v>
      </c>
      <c r="C77" s="280" t="s">
        <v>128</v>
      </c>
      <c r="D77" s="189" t="s">
        <v>280</v>
      </c>
      <c r="E77" s="280" t="s">
        <v>552</v>
      </c>
      <c r="F77" s="280" t="s">
        <v>1812</v>
      </c>
      <c r="G77" s="280" t="s">
        <v>235</v>
      </c>
      <c r="H77" s="283" t="s">
        <v>561</v>
      </c>
      <c r="I77" s="283" t="s">
        <v>571</v>
      </c>
      <c r="J77" s="282" t="s">
        <v>561</v>
      </c>
      <c r="K77" s="284">
        <v>46136</v>
      </c>
      <c r="L77" s="285">
        <f>K77+O77</f>
        <v>46178</v>
      </c>
      <c r="M77" s="285">
        <v>46148</v>
      </c>
      <c r="N77" s="286">
        <f>(M77-K77)</f>
        <v>12</v>
      </c>
      <c r="O77" s="287">
        <v>42</v>
      </c>
      <c r="P77" s="286">
        <f>O77-N77</f>
        <v>30</v>
      </c>
      <c r="Q77" s="289" t="s">
        <v>3453</v>
      </c>
      <c r="R77" s="289"/>
      <c r="S77" s="306">
        <f>R77-M77</f>
        <v>-46148</v>
      </c>
      <c r="T77" s="270" t="s">
        <v>3362</v>
      </c>
      <c r="U77" s="289"/>
    </row>
    <row r="78" spans="1:21" customHeight="1" ht="15" hidden="true">
      <c r="A78" s="280" t="s">
        <v>3374</v>
      </c>
      <c r="B78" s="280" t="s">
        <v>3352</v>
      </c>
      <c r="C78" s="280" t="s">
        <v>128</v>
      </c>
      <c r="D78" s="189" t="s">
        <v>280</v>
      </c>
      <c r="E78" s="280" t="s">
        <v>552</v>
      </c>
      <c r="F78" s="280" t="s">
        <v>1812</v>
      </c>
      <c r="G78" s="280" t="s">
        <v>235</v>
      </c>
      <c r="H78" s="283" t="s">
        <v>561</v>
      </c>
      <c r="I78" s="283" t="s">
        <v>571</v>
      </c>
      <c r="J78" s="282" t="s">
        <v>561</v>
      </c>
      <c r="K78" s="284">
        <v>46136</v>
      </c>
      <c r="L78" s="285">
        <f>K78+O78</f>
        <v>46178</v>
      </c>
      <c r="M78" s="285">
        <v>46148</v>
      </c>
      <c r="N78" s="286">
        <f>(M78-K78)</f>
        <v>12</v>
      </c>
      <c r="O78" s="287">
        <v>42</v>
      </c>
      <c r="P78" s="286">
        <f>O78-N78</f>
        <v>30</v>
      </c>
      <c r="Q78" s="289" t="s">
        <v>3454</v>
      </c>
      <c r="R78" s="289"/>
      <c r="S78" s="306">
        <f>R78-M78</f>
        <v>-46148</v>
      </c>
      <c r="T78" s="270" t="s">
        <v>3362</v>
      </c>
      <c r="U78" s="289"/>
    </row>
    <row r="79" spans="1:21" customHeight="1" ht="15" hidden="true">
      <c r="A79" s="280" t="s">
        <v>3374</v>
      </c>
      <c r="B79" s="280" t="s">
        <v>3352</v>
      </c>
      <c r="C79" s="280" t="s">
        <v>128</v>
      </c>
      <c r="D79" s="189" t="s">
        <v>280</v>
      </c>
      <c r="E79" s="280" t="s">
        <v>552</v>
      </c>
      <c r="F79" s="280" t="s">
        <v>1812</v>
      </c>
      <c r="G79" s="280" t="s">
        <v>235</v>
      </c>
      <c r="H79" s="283" t="s">
        <v>561</v>
      </c>
      <c r="I79" s="283" t="s">
        <v>571</v>
      </c>
      <c r="J79" s="282" t="s">
        <v>566</v>
      </c>
      <c r="K79" s="284">
        <v>46136</v>
      </c>
      <c r="L79" s="285">
        <f>K79+O79</f>
        <v>46178</v>
      </c>
      <c r="M79" s="285">
        <v>46146</v>
      </c>
      <c r="N79" s="286">
        <f>(M79-K79)</f>
        <v>10</v>
      </c>
      <c r="O79" s="287">
        <v>42</v>
      </c>
      <c r="P79" s="286">
        <f>O79-N79</f>
        <v>32</v>
      </c>
      <c r="Q79" s="289" t="s">
        <v>3455</v>
      </c>
      <c r="R79" s="289"/>
      <c r="S79" s="306">
        <f>R79-M79</f>
        <v>-46146</v>
      </c>
      <c r="T79" s="270" t="s">
        <v>3362</v>
      </c>
      <c r="U79" s="289"/>
    </row>
    <row r="80" spans="1:21" customHeight="1" ht="15">
      <c r="A80" s="280" t="s">
        <v>3374</v>
      </c>
      <c r="B80" s="280" t="s">
        <v>3401</v>
      </c>
      <c r="C80" s="280" t="s">
        <v>128</v>
      </c>
      <c r="D80" s="189" t="s">
        <v>280</v>
      </c>
      <c r="E80" s="280" t="s">
        <v>552</v>
      </c>
      <c r="F80" s="280" t="s">
        <v>1812</v>
      </c>
      <c r="G80" s="280" t="s">
        <v>235</v>
      </c>
      <c r="H80" s="283" t="s">
        <v>561</v>
      </c>
      <c r="I80" s="283" t="s">
        <v>571</v>
      </c>
      <c r="J80" s="282"/>
      <c r="K80" s="284">
        <v>46136</v>
      </c>
      <c r="L80" s="285">
        <f>K80+O80</f>
        <v>46178</v>
      </c>
      <c r="M80" s="285"/>
      <c r="N80" s="286">
        <f>(M80-K80)</f>
        <v>-46136</v>
      </c>
      <c r="O80" s="287">
        <v>42</v>
      </c>
      <c r="P80" s="286">
        <f>O80-N80</f>
        <v>46178</v>
      </c>
      <c r="Q80" s="289"/>
      <c r="R80" s="289"/>
      <c r="S80" s="306">
        <f>R80-M80</f>
        <v>0</v>
      </c>
      <c r="T80" s="270" t="s">
        <v>3362</v>
      </c>
      <c r="U80" s="289"/>
    </row>
    <row r="81" spans="1:21" customHeight="1" ht="15">
      <c r="A81" s="280" t="s">
        <v>3374</v>
      </c>
      <c r="B81" s="280" t="s">
        <v>3401</v>
      </c>
      <c r="C81" s="280" t="s">
        <v>128</v>
      </c>
      <c r="D81" s="189" t="s">
        <v>280</v>
      </c>
      <c r="E81" s="280" t="s">
        <v>552</v>
      </c>
      <c r="F81" s="280" t="s">
        <v>1812</v>
      </c>
      <c r="G81" s="280" t="s">
        <v>235</v>
      </c>
      <c r="H81" s="283" t="s">
        <v>561</v>
      </c>
      <c r="I81" s="283" t="s">
        <v>571</v>
      </c>
      <c r="J81" s="282"/>
      <c r="K81" s="284">
        <v>46136</v>
      </c>
      <c r="L81" s="285">
        <f>K81+O81</f>
        <v>46178</v>
      </c>
      <c r="M81" s="285"/>
      <c r="N81" s="286">
        <f>(M81-K81)</f>
        <v>-46136</v>
      </c>
      <c r="O81" s="287">
        <v>42</v>
      </c>
      <c r="P81" s="286">
        <f>O81-N81</f>
        <v>46178</v>
      </c>
      <c r="Q81" s="289"/>
      <c r="R81" s="289"/>
      <c r="S81" s="306">
        <f>R81-M81</f>
        <v>0</v>
      </c>
      <c r="T81" s="270" t="s">
        <v>3362</v>
      </c>
      <c r="U81" s="289"/>
    </row>
    <row r="82" spans="1:21" customHeight="1" ht="15">
      <c r="A82" s="280" t="s">
        <v>3374</v>
      </c>
      <c r="B82" s="280" t="s">
        <v>3401</v>
      </c>
      <c r="C82" s="280" t="s">
        <v>128</v>
      </c>
      <c r="D82" s="189" t="s">
        <v>280</v>
      </c>
      <c r="E82" s="280" t="s">
        <v>552</v>
      </c>
      <c r="F82" s="280" t="s">
        <v>1812</v>
      </c>
      <c r="G82" s="280" t="s">
        <v>3414</v>
      </c>
      <c r="H82" s="283" t="s">
        <v>561</v>
      </c>
      <c r="I82" s="283" t="s">
        <v>571</v>
      </c>
      <c r="J82" s="282"/>
      <c r="K82" s="284">
        <v>46136</v>
      </c>
      <c r="L82" s="285">
        <f>K82+O82</f>
        <v>46178</v>
      </c>
      <c r="M82" s="285"/>
      <c r="N82" s="286">
        <f>(M82-K82)</f>
        <v>-46136</v>
      </c>
      <c r="O82" s="287">
        <v>42</v>
      </c>
      <c r="P82" s="286">
        <f>O82-N82</f>
        <v>46178</v>
      </c>
      <c r="Q82" s="289" t="s">
        <v>3473</v>
      </c>
      <c r="R82" s="289"/>
      <c r="S82" s="306">
        <f>R82-M82</f>
        <v>0</v>
      </c>
      <c r="T82" s="270" t="s">
        <v>3362</v>
      </c>
      <c r="U82" s="289"/>
    </row>
    <row r="83" spans="1:21" customHeight="1" ht="15" hidden="true">
      <c r="A83" s="280" t="s">
        <v>3374</v>
      </c>
      <c r="B83" s="280" t="s">
        <v>3352</v>
      </c>
      <c r="C83" s="280" t="s">
        <v>128</v>
      </c>
      <c r="D83" s="189" t="s">
        <v>280</v>
      </c>
      <c r="E83" s="280" t="s">
        <v>552</v>
      </c>
      <c r="F83" s="280" t="s">
        <v>1812</v>
      </c>
      <c r="G83" s="280" t="s">
        <v>1842</v>
      </c>
      <c r="H83" s="283" t="s">
        <v>561</v>
      </c>
      <c r="I83" s="283" t="s">
        <v>571</v>
      </c>
      <c r="J83" s="282" t="s">
        <v>561</v>
      </c>
      <c r="K83" s="284">
        <v>46136</v>
      </c>
      <c r="L83" s="285">
        <f>K83+O83</f>
        <v>46178</v>
      </c>
      <c r="M83" s="285">
        <v>46150</v>
      </c>
      <c r="N83" s="286">
        <f>(M83-K83)</f>
        <v>14</v>
      </c>
      <c r="O83" s="287">
        <v>42</v>
      </c>
      <c r="P83" s="286">
        <f>O83-N83</f>
        <v>28</v>
      </c>
      <c r="Q83" s="289" t="s">
        <v>3474</v>
      </c>
      <c r="R83" s="289"/>
      <c r="S83" s="306">
        <f>R83-M83</f>
        <v>-46150</v>
      </c>
      <c r="T83" s="270" t="s">
        <v>3362</v>
      </c>
      <c r="U83" s="289"/>
    </row>
    <row r="84" spans="1:21" customHeight="1" ht="15" hidden="true">
      <c r="A84" s="280" t="s">
        <v>3374</v>
      </c>
      <c r="B84" s="280" t="s">
        <v>3401</v>
      </c>
      <c r="C84" s="280" t="s">
        <v>128</v>
      </c>
      <c r="D84" s="189" t="s">
        <v>280</v>
      </c>
      <c r="E84" s="280" t="s">
        <v>552</v>
      </c>
      <c r="F84" s="280" t="s">
        <v>1812</v>
      </c>
      <c r="G84" s="280" t="s">
        <v>3459</v>
      </c>
      <c r="H84" s="283" t="s">
        <v>561</v>
      </c>
      <c r="I84" s="283" t="s">
        <v>571</v>
      </c>
      <c r="J84" s="282" t="s">
        <v>566</v>
      </c>
      <c r="K84" s="284">
        <v>46136</v>
      </c>
      <c r="L84" s="285">
        <f>K84+O84</f>
        <v>46178</v>
      </c>
      <c r="M84" s="285">
        <v>46146</v>
      </c>
      <c r="N84" s="286">
        <f>(M84-K84)</f>
        <v>10</v>
      </c>
      <c r="O84" s="287">
        <v>42</v>
      </c>
      <c r="P84" s="286">
        <f>O84-N84</f>
        <v>32</v>
      </c>
      <c r="Q84" s="289" t="s">
        <v>3460</v>
      </c>
      <c r="R84" s="289"/>
      <c r="S84" s="306">
        <f>R84-M84</f>
        <v>-46146</v>
      </c>
      <c r="T84" s="270" t="s">
        <v>3362</v>
      </c>
      <c r="U84" s="289"/>
    </row>
    <row r="85" spans="1:21" customHeight="1" ht="15" hidden="true">
      <c r="A85" s="280" t="s">
        <v>3351</v>
      </c>
      <c r="B85" s="280" t="s">
        <v>3352</v>
      </c>
      <c r="C85" s="280" t="s">
        <v>128</v>
      </c>
      <c r="D85" s="189" t="s">
        <v>280</v>
      </c>
      <c r="E85" s="280" t="s">
        <v>552</v>
      </c>
      <c r="F85" s="280" t="s">
        <v>3411</v>
      </c>
      <c r="G85" s="280" t="s">
        <v>3412</v>
      </c>
      <c r="H85" s="283" t="s">
        <v>561</v>
      </c>
      <c r="I85" s="283" t="s">
        <v>571</v>
      </c>
      <c r="J85" s="282" t="s">
        <v>561</v>
      </c>
      <c r="K85" s="284">
        <v>46136</v>
      </c>
      <c r="L85" s="285">
        <f>K85+O85</f>
        <v>46171</v>
      </c>
      <c r="M85" s="285">
        <v>46149</v>
      </c>
      <c r="N85" s="286">
        <f>(M85-K85)</f>
        <v>13</v>
      </c>
      <c r="O85" s="287">
        <v>35</v>
      </c>
      <c r="P85" s="286">
        <f>O85-N85</f>
        <v>22</v>
      </c>
      <c r="Q85" s="289" t="s">
        <v>3475</v>
      </c>
      <c r="R85" s="289"/>
      <c r="S85" s="306">
        <f>R85-M85</f>
        <v>-46149</v>
      </c>
      <c r="T85" s="270" t="s">
        <v>3362</v>
      </c>
      <c r="U85" s="289"/>
    </row>
    <row r="86" spans="1:21" customHeight="1" ht="15">
      <c r="A86" s="280" t="s">
        <v>3351</v>
      </c>
      <c r="B86" s="280" t="s">
        <v>3401</v>
      </c>
      <c r="C86" s="280" t="s">
        <v>128</v>
      </c>
      <c r="D86" s="189" t="s">
        <v>280</v>
      </c>
      <c r="E86" s="280" t="s">
        <v>552</v>
      </c>
      <c r="F86" s="280" t="s">
        <v>429</v>
      </c>
      <c r="G86" s="280" t="s">
        <v>356</v>
      </c>
      <c r="H86" s="283" t="s">
        <v>561</v>
      </c>
      <c r="I86" s="283" t="s">
        <v>571</v>
      </c>
      <c r="J86" s="282"/>
      <c r="K86" s="284">
        <v>46139</v>
      </c>
      <c r="L86" s="285">
        <f>K86+O86</f>
        <v>46181</v>
      </c>
      <c r="M86" s="285"/>
      <c r="N86" s="286">
        <f>(M86-K86)</f>
        <v>-46139</v>
      </c>
      <c r="O86" s="287">
        <v>42</v>
      </c>
      <c r="P86" s="286"/>
      <c r="Q86" s="289"/>
      <c r="R86" s="289"/>
      <c r="S86" s="306">
        <f>R86-M86</f>
        <v>0</v>
      </c>
      <c r="T86" s="270" t="s">
        <v>3355</v>
      </c>
      <c r="U86" s="289"/>
    </row>
    <row r="87" spans="1:21" customHeight="1" ht="15">
      <c r="A87" s="280"/>
      <c r="B87" s="280"/>
      <c r="C87" s="280"/>
      <c r="D87" s="280"/>
      <c r="E87" s="280"/>
      <c r="F87" s="280"/>
      <c r="G87" s="280"/>
      <c r="H87" s="282"/>
      <c r="I87" s="283"/>
      <c r="J87" s="282"/>
      <c r="K87" s="284"/>
      <c r="L87" s="285">
        <f>K87+O87</f>
        <v>0</v>
      </c>
      <c r="M87" s="285"/>
      <c r="N87" s="286">
        <f>(M87-K87)</f>
        <v>0</v>
      </c>
      <c r="O87" s="287"/>
      <c r="P87" s="286">
        <v>0.0</v>
      </c>
      <c r="Q87" s="289"/>
      <c r="R87" s="289"/>
      <c r="S87" s="306">
        <f>R87-M87</f>
        <v>0</v>
      </c>
      <c r="T87" s="270"/>
      <c r="U87" s="289"/>
    </row>
    <row r="88" spans="1:21" customHeight="1" ht="15">
      <c r="A88" s="280"/>
      <c r="B88" s="280"/>
      <c r="C88" s="280"/>
      <c r="D88" s="280"/>
      <c r="E88" s="280"/>
      <c r="F88" s="280"/>
      <c r="G88" s="280"/>
      <c r="H88" s="282"/>
      <c r="I88" s="283"/>
      <c r="J88" s="282"/>
      <c r="K88" s="284"/>
      <c r="L88" s="285">
        <f>K88+O88</f>
        <v>0</v>
      </c>
      <c r="M88" s="285"/>
      <c r="N88" s="286">
        <f>(M88-K88)</f>
        <v>0</v>
      </c>
      <c r="O88" s="287"/>
      <c r="P88" s="286">
        <v>0.0</v>
      </c>
      <c r="Q88" s="289"/>
      <c r="R88" s="289"/>
      <c r="S88" s="306">
        <f>R88-M88</f>
        <v>0</v>
      </c>
      <c r="T88" s="270"/>
      <c r="U88" s="289"/>
    </row>
    <row r="89" spans="1:21" customHeight="1" ht="15">
      <c r="A89" s="280"/>
      <c r="B89" s="280"/>
      <c r="C89" s="280"/>
      <c r="D89" s="280"/>
      <c r="E89" s="280"/>
      <c r="F89" s="280"/>
      <c r="G89" s="280"/>
      <c r="H89" s="282"/>
      <c r="I89" s="283"/>
      <c r="J89" s="282"/>
      <c r="K89" s="284"/>
      <c r="L89" s="285">
        <f>K89+O89</f>
        <v>0</v>
      </c>
      <c r="M89" s="285"/>
      <c r="N89" s="286">
        <f>(M89-K89)</f>
        <v>0</v>
      </c>
      <c r="O89" s="287"/>
      <c r="P89" s="286">
        <v>0.0</v>
      </c>
      <c r="Q89" s="289"/>
      <c r="R89" s="289"/>
      <c r="S89" s="306">
        <f>R89-M89</f>
        <v>0</v>
      </c>
      <c r="T89" s="270"/>
      <c r="U89" s="289"/>
    </row>
    <row r="90" spans="1:21" customHeight="1" ht="15">
      <c r="A90" s="280"/>
      <c r="B90" s="280"/>
      <c r="C90" s="280"/>
      <c r="D90" s="280"/>
      <c r="E90" s="280"/>
      <c r="F90" s="280"/>
      <c r="G90" s="280"/>
      <c r="H90" s="282"/>
      <c r="I90" s="283"/>
      <c r="J90" s="282"/>
      <c r="K90" s="284"/>
      <c r="L90" s="285">
        <f>K90+O90</f>
        <v>0</v>
      </c>
      <c r="M90" s="285"/>
      <c r="N90" s="286">
        <f>(M90-K90)</f>
        <v>0</v>
      </c>
      <c r="O90" s="287"/>
      <c r="P90" s="286">
        <v>0.0</v>
      </c>
      <c r="Q90" s="289"/>
      <c r="R90" s="289"/>
      <c r="S90" s="306">
        <f>R90-M90</f>
        <v>0</v>
      </c>
      <c r="T90" s="270"/>
      <c r="U90" s="289"/>
    </row>
    <row r="91" spans="1:21" customHeight="1" ht="15">
      <c r="A91" s="280"/>
      <c r="B91" s="280"/>
      <c r="C91" s="280"/>
      <c r="D91" s="280"/>
      <c r="E91" s="280"/>
      <c r="F91" s="280"/>
      <c r="G91" s="280"/>
      <c r="H91" s="282"/>
      <c r="I91" s="283"/>
      <c r="J91" s="282"/>
      <c r="K91" s="284"/>
      <c r="L91" s="285">
        <f>K91+O91</f>
        <v>0</v>
      </c>
      <c r="M91" s="285"/>
      <c r="N91" s="286">
        <f>(M91-K91)</f>
        <v>0</v>
      </c>
      <c r="O91" s="287"/>
      <c r="P91" s="286">
        <v>0.0</v>
      </c>
      <c r="Q91" s="289"/>
      <c r="R91" s="289"/>
      <c r="S91" s="306">
        <f>R91-M91</f>
        <v>0</v>
      </c>
      <c r="T91" s="270"/>
      <c r="U91" s="289"/>
    </row>
    <row r="92" spans="1:21" customHeight="1" ht="15">
      <c r="A92" s="280"/>
      <c r="B92" s="280"/>
      <c r="C92" s="280"/>
      <c r="D92" s="280"/>
      <c r="E92" s="280"/>
      <c r="F92" s="280"/>
      <c r="G92" s="280"/>
      <c r="H92" s="282"/>
      <c r="I92" s="283"/>
      <c r="J92" s="282"/>
      <c r="K92" s="284"/>
      <c r="L92" s="285">
        <f>K92+O92</f>
        <v>0</v>
      </c>
      <c r="M92" s="285"/>
      <c r="N92" s="286">
        <f>(M92-K92)</f>
        <v>0</v>
      </c>
      <c r="O92" s="287"/>
      <c r="P92" s="286">
        <v>0.0</v>
      </c>
      <c r="Q92" s="289"/>
      <c r="R92" s="289"/>
      <c r="S92" s="306">
        <f>R92-M92</f>
        <v>0</v>
      </c>
      <c r="T92" s="270"/>
      <c r="U92" s="289"/>
    </row>
    <row r="93" spans="1:21" customHeight="1" ht="15">
      <c r="A93" s="280"/>
      <c r="B93" s="280"/>
      <c r="C93" s="280"/>
      <c r="D93" s="280"/>
      <c r="E93" s="280"/>
      <c r="F93" s="280"/>
      <c r="G93" s="280"/>
      <c r="H93" s="282"/>
      <c r="I93" s="283"/>
      <c r="J93" s="282"/>
      <c r="K93" s="284"/>
      <c r="L93" s="285">
        <f>K93+O93</f>
        <v>0</v>
      </c>
      <c r="M93" s="285"/>
      <c r="N93" s="286">
        <f>(M93-K93)</f>
        <v>0</v>
      </c>
      <c r="O93" s="287"/>
      <c r="P93" s="286">
        <v>0.0</v>
      </c>
      <c r="Q93" s="289"/>
      <c r="R93" s="289"/>
      <c r="S93" s="306">
        <f>R93-M93</f>
        <v>0</v>
      </c>
      <c r="T93" s="270"/>
      <c r="U93" s="289"/>
    </row>
    <row r="94" spans="1:21" customHeight="1" ht="15">
      <c r="A94" s="280"/>
      <c r="B94" s="280"/>
      <c r="C94" s="280"/>
      <c r="D94" s="280"/>
      <c r="E94" s="280"/>
      <c r="F94" s="280"/>
      <c r="G94" s="280"/>
      <c r="H94" s="282"/>
      <c r="I94" s="283"/>
      <c r="J94" s="282"/>
      <c r="K94" s="284"/>
      <c r="L94" s="285">
        <f>K94+O94</f>
        <v>0</v>
      </c>
      <c r="M94" s="285"/>
      <c r="N94" s="286">
        <f>(M94-K94)</f>
        <v>0</v>
      </c>
      <c r="O94" s="287"/>
      <c r="P94" s="286">
        <v>0.0</v>
      </c>
      <c r="Q94" s="289"/>
      <c r="R94" s="289"/>
      <c r="S94" s="306">
        <f>R94-M94</f>
        <v>0</v>
      </c>
      <c r="T94" s="270"/>
      <c r="U94" s="289"/>
    </row>
    <row r="95" spans="1:21" customHeight="1" ht="15">
      <c r="A95" s="280"/>
      <c r="B95" s="280"/>
      <c r="C95" s="280"/>
      <c r="D95" s="280"/>
      <c r="E95" s="280"/>
      <c r="F95" s="280"/>
      <c r="G95" s="280"/>
      <c r="H95" s="282"/>
      <c r="I95" s="283"/>
      <c r="J95" s="282"/>
      <c r="K95" s="284"/>
      <c r="L95" s="285">
        <f>K95+O95</f>
        <v>0</v>
      </c>
      <c r="M95" s="285"/>
      <c r="N95" s="286">
        <f>(M95-K95)</f>
        <v>0</v>
      </c>
      <c r="O95" s="287"/>
      <c r="P95" s="286">
        <v>0.0</v>
      </c>
      <c r="Q95" s="289"/>
      <c r="R95" s="289"/>
      <c r="S95" s="306">
        <f>R95-M95</f>
        <v>0</v>
      </c>
      <c r="T95" s="270"/>
      <c r="U95" s="289"/>
    </row>
    <row r="96" spans="1:21" customHeight="1" ht="15">
      <c r="A96" s="280"/>
      <c r="B96" s="280"/>
      <c r="C96" s="280"/>
      <c r="D96" s="280"/>
      <c r="E96" s="280"/>
      <c r="F96" s="280"/>
      <c r="G96" s="280"/>
      <c r="H96" s="282"/>
      <c r="I96" s="283"/>
      <c r="J96" s="282"/>
      <c r="K96" s="284"/>
      <c r="L96" s="285">
        <f>K96+O96</f>
        <v>0</v>
      </c>
      <c r="M96" s="285"/>
      <c r="N96" s="286">
        <f>(M96-K96)</f>
        <v>0</v>
      </c>
      <c r="O96" s="287"/>
      <c r="P96" s="286">
        <v>0.0</v>
      </c>
      <c r="Q96" s="289"/>
      <c r="R96" s="289"/>
      <c r="S96" s="306">
        <f>R96-M96</f>
        <v>0</v>
      </c>
      <c r="T96" s="270"/>
      <c r="U96" s="289"/>
    </row>
    <row r="97" spans="1:21" customHeight="1" ht="15">
      <c r="A97" s="280"/>
      <c r="B97" s="280"/>
      <c r="C97" s="280"/>
      <c r="D97" s="280"/>
      <c r="E97" s="280"/>
      <c r="F97" s="280"/>
      <c r="G97" s="280"/>
      <c r="H97" s="282"/>
      <c r="I97" s="283"/>
      <c r="J97" s="282"/>
      <c r="K97" s="284"/>
      <c r="L97" s="285">
        <f>K97+O97</f>
        <v>0</v>
      </c>
      <c r="M97" s="285"/>
      <c r="N97" s="286">
        <f>(M97-K97)</f>
        <v>0</v>
      </c>
      <c r="O97" s="287"/>
      <c r="P97" s="286">
        <v>0.0</v>
      </c>
      <c r="Q97" s="289"/>
      <c r="R97" s="289"/>
      <c r="S97" s="306">
        <f>R97-M97</f>
        <v>0</v>
      </c>
      <c r="T97" s="270"/>
      <c r="U97" s="289"/>
    </row>
    <row r="98" spans="1:21" customHeight="1" ht="15">
      <c r="A98" s="280"/>
      <c r="B98" s="280"/>
      <c r="C98" s="280"/>
      <c r="D98" s="280"/>
      <c r="E98" s="280"/>
      <c r="F98" s="280"/>
      <c r="G98" s="280"/>
      <c r="H98" s="282"/>
      <c r="I98" s="283"/>
      <c r="J98" s="282"/>
      <c r="K98" s="284"/>
      <c r="L98" s="285">
        <f>K98+O98</f>
        <v>0</v>
      </c>
      <c r="M98" s="285"/>
      <c r="N98" s="286">
        <f>(M98-K98)</f>
        <v>0</v>
      </c>
      <c r="O98" s="287"/>
      <c r="P98" s="286">
        <v>0.0</v>
      </c>
      <c r="Q98" s="289"/>
      <c r="R98" s="289"/>
      <c r="S98" s="306">
        <f>R98-M98</f>
        <v>0</v>
      </c>
      <c r="T98" s="270"/>
      <c r="U98" s="289"/>
    </row>
    <row r="99" spans="1:21" customHeight="1" ht="15">
      <c r="A99" s="280"/>
      <c r="B99" s="280"/>
      <c r="C99" s="280"/>
      <c r="D99" s="280"/>
      <c r="E99" s="280"/>
      <c r="F99" s="280"/>
      <c r="G99" s="280"/>
      <c r="H99" s="282"/>
      <c r="I99" s="283"/>
      <c r="J99" s="282"/>
      <c r="K99" s="284"/>
      <c r="L99" s="285">
        <f>K99+O99</f>
        <v>0</v>
      </c>
      <c r="M99" s="285"/>
      <c r="N99" s="286">
        <f>(M99-K99)</f>
        <v>0</v>
      </c>
      <c r="O99" s="287"/>
      <c r="P99" s="286">
        <v>0.0</v>
      </c>
      <c r="Q99" s="289"/>
      <c r="R99" s="289"/>
      <c r="S99" s="306">
        <f>R99-M99</f>
        <v>0</v>
      </c>
      <c r="T99" s="270"/>
      <c r="U99" s="289"/>
    </row>
    <row r="100" spans="1:21" customHeight="1" ht="15">
      <c r="A100" s="280"/>
      <c r="B100" s="280"/>
      <c r="C100" s="280"/>
      <c r="D100" s="280"/>
      <c r="E100" s="280"/>
      <c r="F100" s="280"/>
      <c r="G100" s="280"/>
      <c r="H100" s="282"/>
      <c r="I100" s="283"/>
      <c r="J100" s="282"/>
      <c r="K100" s="284"/>
      <c r="L100" s="285">
        <f>K100+O100</f>
        <v>0</v>
      </c>
      <c r="M100" s="285"/>
      <c r="N100" s="286">
        <f>(M100-K100)</f>
        <v>0</v>
      </c>
      <c r="O100" s="287"/>
      <c r="P100" s="286">
        <v>0.0</v>
      </c>
      <c r="Q100" s="289"/>
      <c r="R100" s="289"/>
      <c r="S100" s="306">
        <f>R100-M100</f>
        <v>0</v>
      </c>
      <c r="T100" s="270"/>
      <c r="U100" s="289"/>
    </row>
    <row r="101" spans="1:21" customHeight="1" ht="15">
      <c r="A101" s="280"/>
      <c r="B101" s="280"/>
      <c r="C101" s="280"/>
      <c r="D101" s="280"/>
      <c r="E101" s="280"/>
      <c r="F101" s="280"/>
      <c r="G101" s="280"/>
      <c r="H101" s="282"/>
      <c r="I101" s="283"/>
      <c r="J101" s="282"/>
      <c r="K101" s="284"/>
      <c r="L101" s="285">
        <f>K101+O101</f>
        <v>0</v>
      </c>
      <c r="M101" s="285"/>
      <c r="N101" s="286">
        <f>(M101-K101)</f>
        <v>0</v>
      </c>
      <c r="O101" s="287"/>
      <c r="P101" s="286">
        <v>0.0</v>
      </c>
      <c r="Q101" s="289"/>
      <c r="R101" s="289"/>
      <c r="S101" s="306">
        <f>R101-M101</f>
        <v>0</v>
      </c>
      <c r="T101" s="270"/>
      <c r="U101" s="289"/>
    </row>
    <row r="102" spans="1:21" customHeight="1" ht="15">
      <c r="A102" s="280"/>
      <c r="B102" s="280"/>
      <c r="C102" s="280"/>
      <c r="D102" s="280"/>
      <c r="E102" s="280"/>
      <c r="F102" s="280"/>
      <c r="G102" s="280"/>
      <c r="H102" s="282"/>
      <c r="I102" s="283"/>
      <c r="J102" s="282"/>
      <c r="K102" s="284"/>
      <c r="L102" s="285">
        <f>K102+O102</f>
        <v>0</v>
      </c>
      <c r="M102" s="285"/>
      <c r="N102" s="286">
        <f>(M102-K102)</f>
        <v>0</v>
      </c>
      <c r="O102" s="287"/>
      <c r="P102" s="286">
        <v>0.0</v>
      </c>
      <c r="Q102" s="289"/>
      <c r="R102" s="289"/>
      <c r="S102" s="306">
        <f>R102-M102</f>
        <v>0</v>
      </c>
      <c r="T102" s="270"/>
      <c r="U102" s="289"/>
    </row>
    <row r="103" spans="1:21" customHeight="1" ht="15">
      <c r="A103" s="280"/>
      <c r="B103" s="280"/>
      <c r="C103" s="280"/>
      <c r="D103" s="280"/>
      <c r="E103" s="280"/>
      <c r="F103" s="280"/>
      <c r="G103" s="280"/>
      <c r="H103" s="282"/>
      <c r="I103" s="283"/>
      <c r="J103" s="282"/>
      <c r="K103" s="284"/>
      <c r="L103" s="285">
        <f>K103+O103</f>
        <v>0</v>
      </c>
      <c r="M103" s="285"/>
      <c r="N103" s="286">
        <f>(M103-K103)</f>
        <v>0</v>
      </c>
      <c r="O103" s="287"/>
      <c r="P103" s="286">
        <v>0.0</v>
      </c>
      <c r="Q103" s="289"/>
      <c r="R103" s="289"/>
      <c r="S103" s="306">
        <f>R103-M103</f>
        <v>0</v>
      </c>
      <c r="T103" s="270"/>
      <c r="U103" s="289"/>
    </row>
    <row r="104" spans="1:21" customHeight="1" ht="15">
      <c r="A104" s="280"/>
      <c r="B104" s="280"/>
      <c r="C104" s="280"/>
      <c r="D104" s="280"/>
      <c r="E104" s="280"/>
      <c r="F104" s="280"/>
      <c r="G104" s="280"/>
      <c r="H104" s="282"/>
      <c r="I104" s="283"/>
      <c r="J104" s="282"/>
      <c r="K104" s="284"/>
      <c r="L104" s="285">
        <f>K104+O104</f>
        <v>0</v>
      </c>
      <c r="M104" s="285"/>
      <c r="N104" s="286">
        <f>(M104-K104)</f>
        <v>0</v>
      </c>
      <c r="O104" s="287"/>
      <c r="P104" s="286">
        <v>0.0</v>
      </c>
      <c r="Q104" s="289"/>
      <c r="R104" s="289"/>
      <c r="S104" s="306">
        <f>R104-M104</f>
        <v>0</v>
      </c>
      <c r="T104" s="270"/>
      <c r="U104" s="289"/>
    </row>
    <row r="105" spans="1:21" customHeight="1" ht="15">
      <c r="A105" s="280"/>
      <c r="B105" s="280"/>
      <c r="C105" s="280"/>
      <c r="D105" s="280"/>
      <c r="E105" s="280"/>
      <c r="F105" s="280"/>
      <c r="G105" s="280"/>
      <c r="H105" s="282"/>
      <c r="I105" s="283"/>
      <c r="J105" s="282"/>
      <c r="K105" s="284"/>
      <c r="L105" s="285">
        <f>K105+O105</f>
        <v>0</v>
      </c>
      <c r="M105" s="285"/>
      <c r="N105" s="286">
        <f>(M105-K105)</f>
        <v>0</v>
      </c>
      <c r="O105" s="287"/>
      <c r="P105" s="286">
        <v>0.0</v>
      </c>
      <c r="Q105" s="289"/>
      <c r="R105" s="289"/>
      <c r="S105" s="306">
        <f>R105-M105</f>
        <v>0</v>
      </c>
      <c r="T105" s="270"/>
      <c r="U105" s="289"/>
    </row>
    <row r="106" spans="1:21" customHeight="1" ht="15">
      <c r="A106" s="280"/>
      <c r="B106" s="280"/>
      <c r="C106" s="280"/>
      <c r="D106" s="280"/>
      <c r="E106" s="280"/>
      <c r="F106" s="280"/>
      <c r="G106" s="280"/>
      <c r="H106" s="282"/>
      <c r="I106" s="283"/>
      <c r="J106" s="282"/>
      <c r="K106" s="284"/>
      <c r="L106" s="285">
        <f>K106+O106</f>
        <v>0</v>
      </c>
      <c r="M106" s="285"/>
      <c r="N106" s="286">
        <f>(M106-K106)</f>
        <v>0</v>
      </c>
      <c r="O106" s="287"/>
      <c r="P106" s="286">
        <v>0.0</v>
      </c>
      <c r="Q106" s="289"/>
      <c r="R106" s="289"/>
      <c r="S106" s="306">
        <f>R106-M106</f>
        <v>0</v>
      </c>
      <c r="T106" s="270"/>
      <c r="U106" s="289"/>
    </row>
    <row r="107" spans="1:21" customHeight="1" ht="15">
      <c r="A107" s="280"/>
      <c r="B107" s="280"/>
      <c r="C107" s="280"/>
      <c r="D107" s="280"/>
      <c r="E107" s="280"/>
      <c r="F107" s="280"/>
      <c r="G107" s="280"/>
      <c r="H107" s="282"/>
      <c r="I107" s="283"/>
      <c r="J107" s="282"/>
      <c r="K107" s="284"/>
      <c r="L107" s="285">
        <f>K107+O107</f>
        <v>0</v>
      </c>
      <c r="M107" s="285"/>
      <c r="N107" s="286">
        <f>(M107-K107)</f>
        <v>0</v>
      </c>
      <c r="O107" s="287"/>
      <c r="P107" s="286">
        <v>0.0</v>
      </c>
      <c r="Q107" s="289"/>
      <c r="R107" s="289"/>
      <c r="S107" s="306">
        <f>R107-M107</f>
        <v>0</v>
      </c>
      <c r="T107" s="270"/>
      <c r="U107" s="289"/>
    </row>
    <row r="108" spans="1:21" customHeight="1" ht="15">
      <c r="A108" s="280"/>
      <c r="B108" s="280"/>
      <c r="C108" s="280"/>
      <c r="D108" s="280"/>
      <c r="E108" s="280"/>
      <c r="F108" s="280"/>
      <c r="G108" s="280"/>
      <c r="H108" s="282"/>
      <c r="I108" s="283"/>
      <c r="J108" s="282"/>
      <c r="K108" s="284"/>
      <c r="L108" s="285">
        <f>K108+O108</f>
        <v>0</v>
      </c>
      <c r="M108" s="285"/>
      <c r="N108" s="286">
        <f>(M108-K108)</f>
        <v>0</v>
      </c>
      <c r="O108" s="287"/>
      <c r="P108" s="286">
        <v>0.0</v>
      </c>
      <c r="Q108" s="289"/>
      <c r="R108" s="289"/>
      <c r="S108" s="306">
        <f>R108-M108</f>
        <v>0</v>
      </c>
      <c r="T108" s="270"/>
      <c r="U108" s="289"/>
    </row>
    <row r="109" spans="1:21" customHeight="1" ht="15">
      <c r="A109" s="280"/>
      <c r="B109" s="280"/>
      <c r="C109" s="280"/>
      <c r="D109" s="280"/>
      <c r="E109" s="280"/>
      <c r="F109" s="280"/>
      <c r="G109" s="280"/>
      <c r="H109" s="282"/>
      <c r="I109" s="283"/>
      <c r="J109" s="282"/>
      <c r="K109" s="284"/>
      <c r="L109" s="285">
        <f>K109+O109</f>
        <v>0</v>
      </c>
      <c r="M109" s="285"/>
      <c r="N109" s="286">
        <f>(M109-K109)</f>
        <v>0</v>
      </c>
      <c r="O109" s="287"/>
      <c r="P109" s="286">
        <v>0.0</v>
      </c>
      <c r="Q109" s="289"/>
      <c r="R109" s="289"/>
      <c r="S109" s="306">
        <f>R109-M109</f>
        <v>0</v>
      </c>
      <c r="T109" s="270"/>
      <c r="U109" s="289"/>
    </row>
    <row r="110" spans="1:21" customHeight="1" ht="15">
      <c r="A110" s="280"/>
      <c r="B110" s="280"/>
      <c r="C110" s="280"/>
      <c r="D110" s="280"/>
      <c r="E110" s="280"/>
      <c r="F110" s="280"/>
      <c r="G110" s="280"/>
      <c r="H110" s="282"/>
      <c r="I110" s="283"/>
      <c r="J110" s="282"/>
      <c r="K110" s="284"/>
      <c r="L110" s="285">
        <f>K110+O110</f>
        <v>0</v>
      </c>
      <c r="M110" s="285"/>
      <c r="N110" s="286">
        <f>(M110-K110)</f>
        <v>0</v>
      </c>
      <c r="O110" s="287"/>
      <c r="P110" s="286">
        <v>0.0</v>
      </c>
      <c r="Q110" s="289"/>
      <c r="R110" s="289"/>
      <c r="S110" s="306">
        <f>R110-M110</f>
        <v>0</v>
      </c>
      <c r="T110" s="270"/>
      <c r="U110" s="289"/>
    </row>
    <row r="111" spans="1:21" customHeight="1" ht="15">
      <c r="A111" s="280"/>
      <c r="B111" s="280"/>
      <c r="C111" s="280"/>
      <c r="D111" s="280"/>
      <c r="E111" s="280"/>
      <c r="F111" s="280"/>
      <c r="G111" s="280"/>
      <c r="H111" s="282"/>
      <c r="I111" s="283"/>
      <c r="J111" s="282"/>
      <c r="K111" s="284"/>
      <c r="L111" s="285">
        <f>K111+O111</f>
        <v>0</v>
      </c>
      <c r="M111" s="285"/>
      <c r="N111" s="286">
        <f>(M111-K111)</f>
        <v>0</v>
      </c>
      <c r="O111" s="287"/>
      <c r="P111" s="286">
        <v>0.0</v>
      </c>
      <c r="Q111" s="289"/>
      <c r="R111" s="289"/>
      <c r="S111" s="306">
        <f>R111-M111</f>
        <v>0</v>
      </c>
      <c r="T111" s="270"/>
      <c r="U111" s="289"/>
    </row>
    <row r="112" spans="1:21" customHeight="1" ht="15">
      <c r="A112" s="280"/>
      <c r="B112" s="280"/>
      <c r="C112" s="280"/>
      <c r="D112" s="280"/>
      <c r="E112" s="280"/>
      <c r="F112" s="280"/>
      <c r="G112" s="280"/>
      <c r="H112" s="282"/>
      <c r="I112" s="283"/>
      <c r="J112" s="282"/>
      <c r="K112" s="284"/>
      <c r="L112" s="285">
        <f>K112+O112</f>
        <v>0</v>
      </c>
      <c r="M112" s="285"/>
      <c r="N112" s="286">
        <f>(M112-K112)</f>
        <v>0</v>
      </c>
      <c r="O112" s="287"/>
      <c r="P112" s="286">
        <v>0.0</v>
      </c>
      <c r="Q112" s="289"/>
      <c r="R112" s="289"/>
      <c r="S112" s="306">
        <f>R112-M112</f>
        <v>0</v>
      </c>
      <c r="T112" s="270"/>
      <c r="U112" s="289"/>
    </row>
    <row r="113" spans="1:21" customHeight="1" ht="15">
      <c r="A113" s="280"/>
      <c r="B113" s="280"/>
      <c r="C113" s="280"/>
      <c r="D113" s="280"/>
      <c r="E113" s="280"/>
      <c r="F113" s="280"/>
      <c r="G113" s="280"/>
      <c r="H113" s="282"/>
      <c r="I113" s="283"/>
      <c r="J113" s="282"/>
      <c r="K113" s="284"/>
      <c r="L113" s="285">
        <f>K113+O113</f>
        <v>0</v>
      </c>
      <c r="M113" s="285"/>
      <c r="N113" s="286">
        <f>(M113-K113)</f>
        <v>0</v>
      </c>
      <c r="O113" s="287"/>
      <c r="P113" s="286">
        <v>0.0</v>
      </c>
      <c r="Q113" s="289"/>
      <c r="R113" s="289"/>
      <c r="S113" s="306">
        <f>R113-M113</f>
        <v>0</v>
      </c>
      <c r="T113" s="270"/>
      <c r="U113" s="289"/>
    </row>
    <row r="114" spans="1:21" customHeight="1" ht="15">
      <c r="A114" s="280"/>
      <c r="B114" s="280"/>
      <c r="C114" s="280"/>
      <c r="D114" s="280"/>
      <c r="E114" s="280"/>
      <c r="F114" s="280"/>
      <c r="G114" s="280"/>
      <c r="H114" s="282"/>
      <c r="I114" s="283"/>
      <c r="J114" s="282"/>
      <c r="K114" s="284"/>
      <c r="L114" s="285">
        <f>K114+O114</f>
        <v>0</v>
      </c>
      <c r="M114" s="285"/>
      <c r="N114" s="286">
        <f>(M114-K114)</f>
        <v>0</v>
      </c>
      <c r="O114" s="287"/>
      <c r="P114" s="286">
        <v>0.0</v>
      </c>
      <c r="Q114" s="289"/>
      <c r="R114" s="289"/>
      <c r="S114" s="306">
        <f>R114-M114</f>
        <v>0</v>
      </c>
      <c r="T114" s="270"/>
      <c r="U114" s="289"/>
    </row>
    <row r="115" spans="1:21" customHeight="1" ht="15">
      <c r="A115" s="280"/>
      <c r="B115" s="280"/>
      <c r="C115" s="280"/>
      <c r="D115" s="280"/>
      <c r="E115" s="280"/>
      <c r="F115" s="280"/>
      <c r="G115" s="280"/>
      <c r="H115" s="282"/>
      <c r="I115" s="283"/>
      <c r="J115" s="282"/>
      <c r="K115" s="284"/>
      <c r="L115" s="285">
        <f>K115+O115</f>
        <v>0</v>
      </c>
      <c r="M115" s="285"/>
      <c r="N115" s="286">
        <f>(M115-K115)</f>
        <v>0</v>
      </c>
      <c r="O115" s="287"/>
      <c r="P115" s="286">
        <v>0.0</v>
      </c>
      <c r="Q115" s="289"/>
      <c r="R115" s="289"/>
      <c r="S115" s="306">
        <f>R115-M115</f>
        <v>0</v>
      </c>
      <c r="T115" s="270"/>
      <c r="U115" s="289"/>
    </row>
    <row r="116" spans="1:21" customHeight="1" ht="15">
      <c r="A116" s="280"/>
      <c r="B116" s="280"/>
      <c r="C116" s="280"/>
      <c r="D116" s="280"/>
      <c r="E116" s="280"/>
      <c r="F116" s="280"/>
      <c r="G116" s="280"/>
      <c r="H116" s="282"/>
      <c r="I116" s="283"/>
      <c r="J116" s="282"/>
      <c r="K116" s="284"/>
      <c r="L116" s="285">
        <f>K116+O116</f>
        <v>0</v>
      </c>
      <c r="M116" s="285"/>
      <c r="N116" s="286">
        <f>(M116-K116)</f>
        <v>0</v>
      </c>
      <c r="O116" s="287"/>
      <c r="P116" s="286">
        <v>0.0</v>
      </c>
      <c r="Q116" s="289"/>
      <c r="R116" s="289"/>
      <c r="S116" s="306">
        <f>R116-M116</f>
        <v>0</v>
      </c>
      <c r="T116" s="270"/>
      <c r="U116" s="289"/>
    </row>
    <row r="117" spans="1:21" customHeight="1" ht="15">
      <c r="A117" s="280"/>
      <c r="B117" s="280"/>
      <c r="C117" s="280"/>
      <c r="D117" s="280"/>
      <c r="E117" s="280"/>
      <c r="F117" s="280"/>
      <c r="G117" s="280"/>
      <c r="H117" s="282"/>
      <c r="I117" s="283"/>
      <c r="J117" s="282"/>
      <c r="K117" s="284"/>
      <c r="L117" s="285">
        <f>K117+O117</f>
        <v>0</v>
      </c>
      <c r="M117" s="285"/>
      <c r="N117" s="286">
        <f>(M117-K117)</f>
        <v>0</v>
      </c>
      <c r="O117" s="287"/>
      <c r="P117" s="286">
        <v>0.0</v>
      </c>
      <c r="Q117" s="289"/>
      <c r="R117" s="289"/>
      <c r="S117" s="306">
        <f>R117-M117</f>
        <v>0</v>
      </c>
      <c r="T117" s="270"/>
      <c r="U117" s="289"/>
    </row>
    <row r="118" spans="1:21" customHeight="1" ht="15">
      <c r="A118" s="280"/>
      <c r="B118" s="280"/>
      <c r="C118" s="280"/>
      <c r="D118" s="280"/>
      <c r="E118" s="280"/>
      <c r="F118" s="280"/>
      <c r="G118" s="280"/>
      <c r="H118" s="282"/>
      <c r="I118" s="283"/>
      <c r="J118" s="282"/>
      <c r="K118" s="284"/>
      <c r="L118" s="285">
        <f>K118+O118</f>
        <v>0</v>
      </c>
      <c r="M118" s="285"/>
      <c r="N118" s="286">
        <f>(M118-K118)</f>
        <v>0</v>
      </c>
      <c r="O118" s="287"/>
      <c r="P118" s="286">
        <v>0.0</v>
      </c>
      <c r="Q118" s="289"/>
      <c r="R118" s="289"/>
      <c r="S118" s="306">
        <f>R118-M118</f>
        <v>0</v>
      </c>
      <c r="T118" s="270"/>
      <c r="U118" s="289"/>
    </row>
    <row r="119" spans="1:21" customHeight="1" ht="15">
      <c r="A119" s="280"/>
      <c r="B119" s="280"/>
      <c r="C119" s="280"/>
      <c r="D119" s="280"/>
      <c r="E119" s="280"/>
      <c r="F119" s="280"/>
      <c r="G119" s="280"/>
      <c r="H119" s="282"/>
      <c r="I119" s="283"/>
      <c r="J119" s="282"/>
      <c r="K119" s="284"/>
      <c r="L119" s="285">
        <f>K119+O119</f>
        <v>0</v>
      </c>
      <c r="M119" s="285"/>
      <c r="N119" s="286">
        <f>(M119-K119)</f>
        <v>0</v>
      </c>
      <c r="O119" s="287"/>
      <c r="P119" s="286">
        <v>0.0</v>
      </c>
      <c r="Q119" s="289"/>
      <c r="R119" s="289"/>
      <c r="S119" s="306">
        <f>R119-M119</f>
        <v>0</v>
      </c>
      <c r="T119" s="270"/>
      <c r="U119" s="289"/>
    </row>
    <row r="120" spans="1:21" customHeight="1" ht="15">
      <c r="A120" s="280"/>
      <c r="B120" s="280"/>
      <c r="C120" s="280"/>
      <c r="D120" s="280"/>
      <c r="E120" s="280"/>
      <c r="F120" s="280"/>
      <c r="G120" s="280"/>
      <c r="H120" s="282"/>
      <c r="I120" s="283"/>
      <c r="J120" s="282"/>
      <c r="K120" s="284"/>
      <c r="L120" s="285">
        <f>K120+O120</f>
        <v>0</v>
      </c>
      <c r="M120" s="285"/>
      <c r="N120" s="286">
        <f>(M120-K120)</f>
        <v>0</v>
      </c>
      <c r="O120" s="287"/>
      <c r="P120" s="286">
        <v>0.0</v>
      </c>
      <c r="Q120" s="289"/>
      <c r="R120" s="289"/>
      <c r="S120" s="306">
        <f>R120-M120</f>
        <v>0</v>
      </c>
      <c r="T120" s="270"/>
      <c r="U120" s="289"/>
    </row>
    <row r="121" spans="1:21" customHeight="1" ht="15">
      <c r="A121" s="280"/>
      <c r="B121" s="280"/>
      <c r="C121" s="280"/>
      <c r="D121" s="280"/>
      <c r="E121" s="280"/>
      <c r="F121" s="280"/>
      <c r="G121" s="280"/>
      <c r="H121" s="282"/>
      <c r="I121" s="283"/>
      <c r="J121" s="282"/>
      <c r="K121" s="284"/>
      <c r="L121" s="285">
        <f>K121+O121</f>
        <v>0</v>
      </c>
      <c r="M121" s="285"/>
      <c r="N121" s="286">
        <f>(M121-K121)</f>
        <v>0</v>
      </c>
      <c r="O121" s="287"/>
      <c r="P121" s="286">
        <v>0.0</v>
      </c>
      <c r="Q121" s="289"/>
      <c r="R121" s="289"/>
      <c r="S121" s="306">
        <f>R121-M121</f>
        <v>0</v>
      </c>
      <c r="T121" s="270"/>
      <c r="U121" s="289"/>
    </row>
    <row r="122" spans="1:21" customHeight="1" ht="15">
      <c r="A122" s="280"/>
      <c r="B122" s="280"/>
      <c r="C122" s="280"/>
      <c r="D122" s="280"/>
      <c r="E122" s="280"/>
      <c r="F122" s="280"/>
      <c r="G122" s="280"/>
      <c r="H122" s="282"/>
      <c r="I122" s="283"/>
      <c r="J122" s="282"/>
      <c r="K122" s="284"/>
      <c r="L122" s="285">
        <f>K122+O122</f>
        <v>0</v>
      </c>
      <c r="M122" s="285"/>
      <c r="N122" s="286">
        <f>(M122-K122)</f>
        <v>0</v>
      </c>
      <c r="O122" s="287"/>
      <c r="P122" s="286">
        <v>0.0</v>
      </c>
      <c r="Q122" s="289"/>
      <c r="R122" s="289"/>
      <c r="S122" s="306">
        <f>R122-M122</f>
        <v>0</v>
      </c>
      <c r="T122" s="270"/>
      <c r="U122" s="289"/>
    </row>
    <row r="123" spans="1:21" customHeight="1" ht="15">
      <c r="A123" s="280"/>
      <c r="B123" s="280"/>
      <c r="C123" s="280"/>
      <c r="D123" s="280"/>
      <c r="E123" s="280"/>
      <c r="F123" s="280"/>
      <c r="G123" s="280"/>
      <c r="H123" s="282"/>
      <c r="I123" s="283"/>
      <c r="J123" s="282"/>
      <c r="K123" s="284"/>
      <c r="L123" s="285">
        <f>K123+O123</f>
        <v>0</v>
      </c>
      <c r="M123" s="285"/>
      <c r="N123" s="286">
        <f>(M123-K123)</f>
        <v>0</v>
      </c>
      <c r="O123" s="287"/>
      <c r="P123" s="286">
        <v>0.0</v>
      </c>
      <c r="Q123" s="289"/>
      <c r="R123" s="289"/>
      <c r="S123" s="306">
        <f>R123-M123</f>
        <v>0</v>
      </c>
      <c r="T123" s="270"/>
      <c r="U123" s="289"/>
    </row>
    <row r="124" spans="1:21" customHeight="1" ht="15">
      <c r="A124" s="280"/>
      <c r="B124" s="280"/>
      <c r="C124" s="280"/>
      <c r="D124" s="280"/>
      <c r="E124" s="280"/>
      <c r="F124" s="280"/>
      <c r="G124" s="280"/>
      <c r="H124" s="282"/>
      <c r="I124" s="283"/>
      <c r="J124" s="282"/>
      <c r="K124" s="284"/>
      <c r="L124" s="285">
        <f>K124+O124</f>
        <v>0</v>
      </c>
      <c r="M124" s="285"/>
      <c r="N124" s="286">
        <f>(M124-K124)</f>
        <v>0</v>
      </c>
      <c r="O124" s="287"/>
      <c r="P124" s="286">
        <v>0.0</v>
      </c>
      <c r="Q124" s="289"/>
      <c r="R124" s="289"/>
      <c r="S124" s="306">
        <f>R124-M124</f>
        <v>0</v>
      </c>
      <c r="T124" s="270"/>
      <c r="U124" s="289"/>
    </row>
    <row r="125" spans="1:21" customHeight="1" ht="15">
      <c r="A125" s="280"/>
      <c r="B125" s="280"/>
      <c r="C125" s="280"/>
      <c r="D125" s="280"/>
      <c r="E125" s="280"/>
      <c r="F125" s="280"/>
      <c r="G125" s="280"/>
      <c r="H125" s="282"/>
      <c r="I125" s="283"/>
      <c r="J125" s="282"/>
      <c r="K125" s="284"/>
      <c r="L125" s="285">
        <f>K125+O125</f>
        <v>0</v>
      </c>
      <c r="M125" s="285"/>
      <c r="N125" s="286">
        <f>(M125-K125)</f>
        <v>0</v>
      </c>
      <c r="O125" s="287"/>
      <c r="P125" s="286">
        <v>0.0</v>
      </c>
      <c r="Q125" s="289"/>
      <c r="R125" s="289"/>
      <c r="S125" s="306">
        <f>R125-M125</f>
        <v>0</v>
      </c>
      <c r="T125" s="270"/>
      <c r="U125" s="289"/>
    </row>
    <row r="126" spans="1:21" customHeight="1" ht="15">
      <c r="A126" s="280"/>
      <c r="B126" s="280"/>
      <c r="C126" s="280"/>
      <c r="D126" s="280"/>
      <c r="E126" s="280"/>
      <c r="F126" s="280"/>
      <c r="G126" s="280"/>
      <c r="H126" s="282"/>
      <c r="I126" s="283"/>
      <c r="J126" s="282"/>
      <c r="K126" s="284"/>
      <c r="L126" s="285">
        <f>K126+O126</f>
        <v>0</v>
      </c>
      <c r="M126" s="285"/>
      <c r="N126" s="286">
        <f>(M126-K126)</f>
        <v>0</v>
      </c>
      <c r="O126" s="287"/>
      <c r="P126" s="286">
        <v>0.0</v>
      </c>
      <c r="Q126" s="289"/>
      <c r="R126" s="289"/>
      <c r="S126" s="306">
        <f>R126-M126</f>
        <v>0</v>
      </c>
      <c r="T126" s="270"/>
      <c r="U126" s="289"/>
    </row>
    <row r="127" spans="1:21" customHeight="1" ht="15">
      <c r="A127" s="280"/>
      <c r="B127" s="280"/>
      <c r="C127" s="280"/>
      <c r="D127" s="280"/>
      <c r="E127" s="280"/>
      <c r="F127" s="280"/>
      <c r="G127" s="280"/>
      <c r="H127" s="282"/>
      <c r="I127" s="283"/>
      <c r="J127" s="282"/>
      <c r="K127" s="284"/>
      <c r="L127" s="285">
        <f>K127+O127</f>
        <v>0</v>
      </c>
      <c r="M127" s="285"/>
      <c r="N127" s="286">
        <f>(M127-K127)</f>
        <v>0</v>
      </c>
      <c r="O127" s="287"/>
      <c r="P127" s="286">
        <v>0.0</v>
      </c>
      <c r="Q127" s="289"/>
      <c r="R127" s="289"/>
      <c r="S127" s="306">
        <f>R127-M127</f>
        <v>0</v>
      </c>
      <c r="T127" s="270"/>
      <c r="U127" s="289"/>
    </row>
    <row r="128" spans="1:21" customHeight="1" ht="15">
      <c r="A128" s="280"/>
      <c r="B128" s="280"/>
      <c r="C128" s="280"/>
      <c r="D128" s="280"/>
      <c r="E128" s="280"/>
      <c r="F128" s="280"/>
      <c r="G128" s="280"/>
      <c r="H128" s="282"/>
      <c r="I128" s="283"/>
      <c r="J128" s="282"/>
      <c r="K128" s="284"/>
      <c r="L128" s="285">
        <f>K128+O128</f>
        <v>0</v>
      </c>
      <c r="M128" s="285"/>
      <c r="N128" s="286">
        <f>(M128-K128)</f>
        <v>0</v>
      </c>
      <c r="O128" s="287"/>
      <c r="P128" s="286">
        <v>0.0</v>
      </c>
      <c r="Q128" s="289"/>
      <c r="R128" s="289"/>
      <c r="S128" s="306">
        <f>R128-M128</f>
        <v>0</v>
      </c>
      <c r="T128" s="270"/>
      <c r="U128" s="289"/>
    </row>
    <row r="129" spans="1:21" customHeight="1" ht="15">
      <c r="A129" s="280"/>
      <c r="B129" s="280"/>
      <c r="C129" s="280"/>
      <c r="D129" s="280"/>
      <c r="E129" s="280"/>
      <c r="F129" s="280"/>
      <c r="G129" s="280"/>
      <c r="H129" s="282"/>
      <c r="I129" s="283"/>
      <c r="J129" s="282"/>
      <c r="K129" s="284"/>
      <c r="L129" s="285">
        <f>K129+O129</f>
        <v>0</v>
      </c>
      <c r="M129" s="285"/>
      <c r="N129" s="286">
        <f>(M129-K129)</f>
        <v>0</v>
      </c>
      <c r="O129" s="287"/>
      <c r="P129" s="286">
        <v>0.0</v>
      </c>
      <c r="Q129" s="289"/>
      <c r="R129" s="289"/>
      <c r="S129" s="306">
        <f>R129-M129</f>
        <v>0</v>
      </c>
      <c r="T129" s="270"/>
      <c r="U129" s="289"/>
    </row>
    <row r="130" spans="1:21" customHeight="1" ht="15">
      <c r="A130" s="280"/>
      <c r="B130" s="280"/>
      <c r="C130" s="280"/>
      <c r="D130" s="280"/>
      <c r="E130" s="280"/>
      <c r="F130" s="280"/>
      <c r="G130" s="280"/>
      <c r="H130" s="282"/>
      <c r="I130" s="283"/>
      <c r="J130" s="282"/>
      <c r="K130" s="284"/>
      <c r="L130" s="285">
        <f>K130+O130</f>
        <v>0</v>
      </c>
      <c r="M130" s="285"/>
      <c r="N130" s="286">
        <f>(M130-K130)</f>
        <v>0</v>
      </c>
      <c r="O130" s="287"/>
      <c r="P130" s="286">
        <v>0.0</v>
      </c>
      <c r="Q130" s="289"/>
      <c r="R130" s="289"/>
      <c r="S130" s="306">
        <f>R130-M130</f>
        <v>0</v>
      </c>
      <c r="T130" s="270"/>
      <c r="U130" s="289"/>
    </row>
    <row r="131" spans="1:21" customHeight="1" ht="15">
      <c r="A131" s="280"/>
      <c r="B131" s="280"/>
      <c r="C131" s="280"/>
      <c r="D131" s="280"/>
      <c r="E131" s="280"/>
      <c r="F131" s="280"/>
      <c r="G131" s="280"/>
      <c r="H131" s="282"/>
      <c r="I131" s="283"/>
      <c r="J131" s="282"/>
      <c r="K131" s="284"/>
      <c r="L131" s="285">
        <f>K131+O131</f>
        <v>0</v>
      </c>
      <c r="M131" s="285"/>
      <c r="N131" s="286">
        <f>(M131-K131)</f>
        <v>0</v>
      </c>
      <c r="O131" s="287"/>
      <c r="P131" s="286">
        <v>0.0</v>
      </c>
      <c r="Q131" s="289"/>
      <c r="R131" s="289"/>
      <c r="S131" s="306">
        <f>R131-M131</f>
        <v>0</v>
      </c>
      <c r="T131" s="270"/>
      <c r="U131" s="289"/>
    </row>
    <row r="132" spans="1:21" customHeight="1" ht="15">
      <c r="A132" s="280"/>
      <c r="B132" s="280"/>
      <c r="C132" s="280"/>
      <c r="D132" s="280"/>
      <c r="E132" s="280"/>
      <c r="F132" s="280"/>
      <c r="G132" s="280"/>
      <c r="H132" s="282"/>
      <c r="I132" s="283"/>
      <c r="J132" s="282"/>
      <c r="K132" s="284"/>
      <c r="L132" s="285">
        <f>K132+O132</f>
        <v>0</v>
      </c>
      <c r="M132" s="285"/>
      <c r="N132" s="286">
        <f>(M132-K132)</f>
        <v>0</v>
      </c>
      <c r="O132" s="287"/>
      <c r="P132" s="286">
        <v>0.0</v>
      </c>
      <c r="Q132" s="289"/>
      <c r="R132" s="289"/>
      <c r="S132" s="306">
        <f>R132-M132</f>
        <v>0</v>
      </c>
      <c r="T132" s="270"/>
      <c r="U132" s="289"/>
    </row>
    <row r="133" spans="1:21" customHeight="1" ht="15">
      <c r="A133" s="280"/>
      <c r="B133" s="280"/>
      <c r="C133" s="280"/>
      <c r="D133" s="280"/>
      <c r="E133" s="280"/>
      <c r="F133" s="280"/>
      <c r="G133" s="280"/>
      <c r="H133" s="282"/>
      <c r="I133" s="283"/>
      <c r="J133" s="282"/>
      <c r="K133" s="284"/>
      <c r="L133" s="285">
        <f>K133+O133</f>
        <v>0</v>
      </c>
      <c r="M133" s="285"/>
      <c r="N133" s="286">
        <f>(M133-K133)</f>
        <v>0</v>
      </c>
      <c r="O133" s="287"/>
      <c r="P133" s="286">
        <v>0.0</v>
      </c>
      <c r="Q133" s="289"/>
      <c r="R133" s="289"/>
      <c r="S133" s="306">
        <f>R133-M133</f>
        <v>0</v>
      </c>
      <c r="T133" s="270"/>
      <c r="U133" s="289"/>
    </row>
    <row r="134" spans="1:21" customHeight="1" ht="15">
      <c r="A134" s="280"/>
      <c r="B134" s="280"/>
      <c r="C134" s="280"/>
      <c r="D134" s="280"/>
      <c r="E134" s="280"/>
      <c r="F134" s="280"/>
      <c r="G134" s="280"/>
      <c r="H134" s="282"/>
      <c r="I134" s="283"/>
      <c r="J134" s="282"/>
      <c r="K134" s="284"/>
      <c r="L134" s="285">
        <f>K134+O134</f>
        <v>0</v>
      </c>
      <c r="M134" s="285"/>
      <c r="N134" s="286">
        <f>(M134-K134)</f>
        <v>0</v>
      </c>
      <c r="O134" s="287"/>
      <c r="P134" s="286">
        <v>0.0</v>
      </c>
      <c r="Q134" s="289"/>
      <c r="R134" s="289"/>
      <c r="S134" s="306">
        <f>R134-M134</f>
        <v>0</v>
      </c>
      <c r="T134" s="270"/>
      <c r="U134" s="289"/>
    </row>
    <row r="135" spans="1:21" customHeight="1" ht="15">
      <c r="A135" s="280"/>
      <c r="B135" s="280"/>
      <c r="C135" s="280"/>
      <c r="D135" s="280"/>
      <c r="E135" s="280"/>
      <c r="F135" s="280"/>
      <c r="G135" s="280"/>
      <c r="H135" s="282"/>
      <c r="I135" s="283"/>
      <c r="J135" s="282"/>
      <c r="K135" s="284"/>
      <c r="L135" s="285">
        <f>K135+O135</f>
        <v>0</v>
      </c>
      <c r="M135" s="285"/>
      <c r="N135" s="286">
        <f>(M135-K135)</f>
        <v>0</v>
      </c>
      <c r="O135" s="287"/>
      <c r="P135" s="286">
        <v>0.0</v>
      </c>
      <c r="Q135" s="289"/>
      <c r="R135" s="289"/>
      <c r="S135" s="306">
        <f>R135-M135</f>
        <v>0</v>
      </c>
      <c r="T135" s="270"/>
      <c r="U135" s="289"/>
    </row>
    <row r="136" spans="1:21" customHeight="1" ht="15">
      <c r="A136" s="280"/>
      <c r="B136" s="280"/>
      <c r="C136" s="280"/>
      <c r="D136" s="280"/>
      <c r="E136" s="280"/>
      <c r="F136" s="280"/>
      <c r="G136" s="280"/>
      <c r="H136" s="282"/>
      <c r="I136" s="283"/>
      <c r="J136" s="282"/>
      <c r="K136" s="284"/>
      <c r="L136" s="285">
        <f>K136+O136</f>
        <v>0</v>
      </c>
      <c r="M136" s="285"/>
      <c r="N136" s="286">
        <f>(M136-K136)</f>
        <v>0</v>
      </c>
      <c r="O136" s="287"/>
      <c r="P136" s="286">
        <v>0.0</v>
      </c>
      <c r="Q136" s="289"/>
      <c r="R136" s="289"/>
      <c r="S136" s="306">
        <f>R136-M136</f>
        <v>0</v>
      </c>
      <c r="T136" s="270"/>
      <c r="U136" s="289"/>
    </row>
    <row r="137" spans="1:21" customHeight="1" ht="15">
      <c r="A137" s="280"/>
      <c r="B137" s="280"/>
      <c r="C137" s="280"/>
      <c r="D137" s="280"/>
      <c r="E137" s="280"/>
      <c r="F137" s="280"/>
      <c r="G137" s="280"/>
      <c r="H137" s="282"/>
      <c r="I137" s="283"/>
      <c r="J137" s="282"/>
      <c r="K137" s="284"/>
      <c r="L137" s="285">
        <f>K137+O137</f>
        <v>0</v>
      </c>
      <c r="M137" s="285"/>
      <c r="N137" s="286">
        <f>(M137-K137)</f>
        <v>0</v>
      </c>
      <c r="O137" s="287"/>
      <c r="P137" s="286">
        <v>0.0</v>
      </c>
      <c r="Q137" s="289"/>
      <c r="R137" s="289"/>
      <c r="S137" s="306">
        <f>R137-M137</f>
        <v>0</v>
      </c>
      <c r="T137" s="270"/>
      <c r="U137" s="289"/>
    </row>
    <row r="138" spans="1:21" customHeight="1" ht="15">
      <c r="A138" s="280"/>
      <c r="B138" s="280"/>
      <c r="C138" s="280"/>
      <c r="D138" s="280"/>
      <c r="E138" s="280"/>
      <c r="F138" s="280"/>
      <c r="G138" s="280"/>
      <c r="H138" s="282"/>
      <c r="I138" s="283"/>
      <c r="J138" s="282"/>
      <c r="K138" s="284"/>
      <c r="L138" s="285">
        <f>K138+O138</f>
        <v>0</v>
      </c>
      <c r="M138" s="285"/>
      <c r="N138" s="286">
        <f>(M138-K138)</f>
        <v>0</v>
      </c>
      <c r="O138" s="287"/>
      <c r="P138" s="286">
        <v>0.0</v>
      </c>
      <c r="Q138" s="289"/>
      <c r="R138" s="289"/>
      <c r="S138" s="306">
        <f>R138-M138</f>
        <v>0</v>
      </c>
      <c r="T138" s="270"/>
      <c r="U138" s="289"/>
    </row>
    <row r="139" spans="1:21" customHeight="1" ht="15">
      <c r="A139" s="280"/>
      <c r="B139" s="280"/>
      <c r="C139" s="280"/>
      <c r="D139" s="280"/>
      <c r="E139" s="280"/>
      <c r="F139" s="280"/>
      <c r="G139" s="280"/>
      <c r="H139" s="282"/>
      <c r="I139" s="283"/>
      <c r="J139" s="282"/>
      <c r="K139" s="284"/>
      <c r="L139" s="285">
        <f>K139+O139</f>
        <v>0</v>
      </c>
      <c r="M139" s="285"/>
      <c r="N139" s="286">
        <f>(M139-K139)</f>
        <v>0</v>
      </c>
      <c r="O139" s="287"/>
      <c r="P139" s="286">
        <v>0.0</v>
      </c>
      <c r="Q139" s="289"/>
      <c r="R139" s="289"/>
      <c r="S139" s="306">
        <f>R139-M139</f>
        <v>0</v>
      </c>
      <c r="T139" s="270"/>
      <c r="U139" s="289"/>
    </row>
    <row r="140" spans="1:21" customHeight="1" ht="15">
      <c r="A140" s="280"/>
      <c r="B140" s="280"/>
      <c r="C140" s="280"/>
      <c r="D140" s="280"/>
      <c r="E140" s="280"/>
      <c r="F140" s="280"/>
      <c r="G140" s="280"/>
      <c r="H140" s="282"/>
      <c r="I140" s="283"/>
      <c r="J140" s="282"/>
      <c r="K140" s="284"/>
      <c r="L140" s="285">
        <f>K140+O140</f>
        <v>0</v>
      </c>
      <c r="M140" s="285"/>
      <c r="N140" s="286">
        <f>(M140-K140)</f>
        <v>0</v>
      </c>
      <c r="O140" s="287"/>
      <c r="P140" s="286">
        <v>0.0</v>
      </c>
      <c r="Q140" s="289"/>
      <c r="R140" s="289"/>
      <c r="S140" s="306">
        <f>R140-M140</f>
        <v>0</v>
      </c>
      <c r="T140" s="270"/>
      <c r="U140" s="289"/>
    </row>
    <row r="141" spans="1:21" customHeight="1" ht="15">
      <c r="A141" s="280"/>
      <c r="B141" s="280"/>
      <c r="C141" s="280"/>
      <c r="D141" s="280"/>
      <c r="E141" s="280"/>
      <c r="F141" s="280"/>
      <c r="G141" s="280"/>
      <c r="H141" s="282"/>
      <c r="I141" s="283"/>
      <c r="J141" s="282"/>
      <c r="K141" s="284"/>
      <c r="L141" s="285">
        <f>K141+O141</f>
        <v>0</v>
      </c>
      <c r="M141" s="285"/>
      <c r="N141" s="286">
        <f>(M141-K141)</f>
        <v>0</v>
      </c>
      <c r="O141" s="287"/>
      <c r="P141" s="286">
        <v>0.0</v>
      </c>
      <c r="Q141" s="289"/>
      <c r="R141" s="289"/>
      <c r="S141" s="306">
        <f>R141-M141</f>
        <v>0</v>
      </c>
      <c r="T141" s="270"/>
      <c r="U141" s="289"/>
    </row>
    <row r="142" spans="1:21" customHeight="1" ht="15">
      <c r="A142" s="280"/>
      <c r="B142" s="280"/>
      <c r="C142" s="280"/>
      <c r="D142" s="280"/>
      <c r="E142" s="280"/>
      <c r="F142" s="280"/>
      <c r="G142" s="280"/>
      <c r="H142" s="282"/>
      <c r="I142" s="283"/>
      <c r="J142" s="282"/>
      <c r="K142" s="284"/>
      <c r="L142" s="285">
        <f>K142+O142</f>
        <v>0</v>
      </c>
      <c r="M142" s="285"/>
      <c r="N142" s="286">
        <f>(M142-K142)</f>
        <v>0</v>
      </c>
      <c r="O142" s="287"/>
      <c r="P142" s="286">
        <v>0.0</v>
      </c>
      <c r="Q142" s="289"/>
      <c r="R142" s="289"/>
      <c r="S142" s="306">
        <f>R142-M142</f>
        <v>0</v>
      </c>
      <c r="T142" s="270"/>
      <c r="U142" s="289"/>
    </row>
    <row r="143" spans="1:21" customHeight="1" ht="15">
      <c r="A143" s="280"/>
      <c r="B143" s="280"/>
      <c r="C143" s="280"/>
      <c r="D143" s="280"/>
      <c r="E143" s="280"/>
      <c r="F143" s="280"/>
      <c r="G143" s="280"/>
      <c r="H143" s="282"/>
      <c r="I143" s="283"/>
      <c r="J143" s="282"/>
      <c r="K143" s="284"/>
      <c r="L143" s="285">
        <f>K143+O143</f>
        <v>0</v>
      </c>
      <c r="M143" s="285"/>
      <c r="N143" s="286">
        <f>(M143-K143)</f>
        <v>0</v>
      </c>
      <c r="O143" s="287"/>
      <c r="P143" s="286">
        <v>0.0</v>
      </c>
      <c r="Q143" s="289"/>
      <c r="R143" s="289"/>
      <c r="S143" s="306">
        <f>R143-M143</f>
        <v>0</v>
      </c>
      <c r="T143" s="270"/>
      <c r="U143" s="289"/>
    </row>
    <row r="144" spans="1:21" customHeight="1" ht="15">
      <c r="A144" s="280"/>
      <c r="B144" s="280"/>
      <c r="C144" s="280"/>
      <c r="D144" s="280"/>
      <c r="E144" s="280"/>
      <c r="F144" s="280"/>
      <c r="G144" s="280"/>
      <c r="H144" s="282"/>
      <c r="I144" s="283"/>
      <c r="J144" s="282"/>
      <c r="K144" s="284"/>
      <c r="L144" s="285">
        <f>K144+O144</f>
        <v>0</v>
      </c>
      <c r="M144" s="285"/>
      <c r="N144" s="286">
        <f>(M144-K144)</f>
        <v>0</v>
      </c>
      <c r="O144" s="287"/>
      <c r="P144" s="286">
        <v>0.0</v>
      </c>
      <c r="Q144" s="289"/>
      <c r="R144" s="289"/>
      <c r="S144" s="306">
        <f>R144-M144</f>
        <v>0</v>
      </c>
      <c r="T144" s="270"/>
      <c r="U144" s="289"/>
    </row>
    <row r="145" spans="1:21" customHeight="1" ht="15">
      <c r="A145" s="280"/>
      <c r="B145" s="280"/>
      <c r="C145" s="280"/>
      <c r="D145" s="280"/>
      <c r="E145" s="280"/>
      <c r="F145" s="280"/>
      <c r="G145" s="280"/>
      <c r="H145" s="282"/>
      <c r="I145" s="283"/>
      <c r="J145" s="282"/>
      <c r="K145" s="284"/>
      <c r="L145" s="285">
        <f>K145+O145</f>
        <v>0</v>
      </c>
      <c r="M145" s="285"/>
      <c r="N145" s="286">
        <f>(M145-K145)</f>
        <v>0</v>
      </c>
      <c r="O145" s="287"/>
      <c r="P145" s="286">
        <v>0.0</v>
      </c>
      <c r="Q145" s="289"/>
      <c r="R145" s="289"/>
      <c r="S145" s="306">
        <f>R145-M145</f>
        <v>0</v>
      </c>
      <c r="T145" s="270"/>
      <c r="U145" s="289"/>
    </row>
    <row r="146" spans="1:21" customHeight="1" ht="15">
      <c r="A146" s="280"/>
      <c r="B146" s="280"/>
      <c r="C146" s="280"/>
      <c r="D146" s="280"/>
      <c r="E146" s="280"/>
      <c r="F146" s="280"/>
      <c r="G146" s="280"/>
      <c r="H146" s="282"/>
      <c r="I146" s="283"/>
      <c r="J146" s="282"/>
      <c r="K146" s="284"/>
      <c r="L146" s="285">
        <f>K146+O146</f>
        <v>0</v>
      </c>
      <c r="M146" s="285"/>
      <c r="N146" s="286">
        <f>(M146-K146)</f>
        <v>0</v>
      </c>
      <c r="O146" s="287"/>
      <c r="P146" s="286">
        <v>0.0</v>
      </c>
      <c r="Q146" s="289"/>
      <c r="R146" s="289"/>
      <c r="S146" s="306">
        <f>R146-M146</f>
        <v>0</v>
      </c>
      <c r="T146" s="270"/>
      <c r="U146" s="289"/>
    </row>
    <row r="147" spans="1:21" customHeight="1" ht="15">
      <c r="A147" s="280"/>
      <c r="B147" s="280"/>
      <c r="C147" s="280"/>
      <c r="D147" s="280"/>
      <c r="E147" s="280"/>
      <c r="F147" s="280"/>
      <c r="G147" s="280"/>
      <c r="H147" s="282"/>
      <c r="I147" s="283"/>
      <c r="J147" s="282"/>
      <c r="K147" s="284"/>
      <c r="L147" s="285">
        <f>K147+O147</f>
        <v>0</v>
      </c>
      <c r="M147" s="285"/>
      <c r="N147" s="286">
        <f>(M147-K147)</f>
        <v>0</v>
      </c>
      <c r="O147" s="287"/>
      <c r="P147" s="286">
        <v>0.0</v>
      </c>
      <c r="Q147" s="289"/>
      <c r="R147" s="289"/>
      <c r="S147" s="306">
        <f>R147-M147</f>
        <v>0</v>
      </c>
      <c r="T147" s="270"/>
      <c r="U147" s="289"/>
    </row>
    <row r="148" spans="1:21" customHeight="1" ht="15">
      <c r="A148" s="280"/>
      <c r="B148" s="280"/>
      <c r="C148" s="280"/>
      <c r="D148" s="280"/>
      <c r="E148" s="280"/>
      <c r="F148" s="280"/>
      <c r="G148" s="280"/>
      <c r="H148" s="282"/>
      <c r="I148" s="283"/>
      <c r="J148" s="282"/>
      <c r="K148" s="284"/>
      <c r="L148" s="285">
        <f>K148+O148</f>
        <v>0</v>
      </c>
      <c r="M148" s="285"/>
      <c r="N148" s="286">
        <f>(M148-K148)</f>
        <v>0</v>
      </c>
      <c r="O148" s="287"/>
      <c r="P148" s="286">
        <v>0.0</v>
      </c>
      <c r="Q148" s="289"/>
      <c r="R148" s="289"/>
      <c r="S148" s="306">
        <f>R148-M148</f>
        <v>0</v>
      </c>
      <c r="T148" s="270"/>
      <c r="U148" s="289"/>
    </row>
    <row r="149" spans="1:21" customHeight="1" ht="15">
      <c r="A149" s="280"/>
      <c r="B149" s="280"/>
      <c r="C149" s="280"/>
      <c r="D149" s="280"/>
      <c r="E149" s="280"/>
      <c r="F149" s="280"/>
      <c r="G149" s="280"/>
      <c r="H149" s="282"/>
      <c r="I149" s="283"/>
      <c r="J149" s="282"/>
      <c r="K149" s="284"/>
      <c r="L149" s="285">
        <f>K149+O149</f>
        <v>0</v>
      </c>
      <c r="M149" s="285"/>
      <c r="N149" s="286">
        <f>(M149-K149)</f>
        <v>0</v>
      </c>
      <c r="O149" s="287"/>
      <c r="P149" s="286">
        <v>0.0</v>
      </c>
      <c r="Q149" s="289"/>
      <c r="R149" s="289"/>
      <c r="S149" s="306">
        <f>R149-M149</f>
        <v>0</v>
      </c>
      <c r="T149" s="270"/>
      <c r="U149" s="289"/>
    </row>
    <row r="150" spans="1:21" customHeight="1" ht="15">
      <c r="A150" s="280"/>
      <c r="B150" s="280"/>
      <c r="C150" s="280"/>
      <c r="D150" s="280"/>
      <c r="E150" s="280"/>
      <c r="F150" s="280"/>
      <c r="G150" s="280"/>
      <c r="H150" s="282"/>
      <c r="I150" s="283"/>
      <c r="J150" s="282"/>
      <c r="K150" s="284"/>
      <c r="L150" s="285">
        <f>K150+O150</f>
        <v>0</v>
      </c>
      <c r="M150" s="285"/>
      <c r="N150" s="286">
        <f>(M150-K150)</f>
        <v>0</v>
      </c>
      <c r="O150" s="287"/>
      <c r="P150" s="286">
        <v>0.0</v>
      </c>
      <c r="Q150" s="289"/>
      <c r="R150" s="289"/>
      <c r="S150" s="306">
        <f>R150-M150</f>
        <v>0</v>
      </c>
      <c r="T150" s="270"/>
      <c r="U150" s="289"/>
    </row>
    <row r="151" spans="1:21" customHeight="1" ht="15">
      <c r="A151" s="280"/>
      <c r="B151" s="280"/>
      <c r="C151" s="280"/>
      <c r="D151" s="280"/>
      <c r="E151" s="280"/>
      <c r="F151" s="280"/>
      <c r="G151" s="280"/>
      <c r="H151" s="282"/>
      <c r="I151" s="283"/>
      <c r="J151" s="282"/>
      <c r="K151" s="284"/>
      <c r="L151" s="285">
        <f>K151+O151</f>
        <v>0</v>
      </c>
      <c r="M151" s="285"/>
      <c r="N151" s="286">
        <f>(M151-K151)</f>
        <v>0</v>
      </c>
      <c r="O151" s="287"/>
      <c r="P151" s="286">
        <v>0.0</v>
      </c>
      <c r="Q151" s="289"/>
      <c r="R151" s="289"/>
      <c r="S151" s="306">
        <f>R151-M151</f>
        <v>0</v>
      </c>
      <c r="T151" s="270"/>
      <c r="U151" s="289"/>
    </row>
    <row r="152" spans="1:21" customHeight="1" ht="15">
      <c r="A152" s="280"/>
      <c r="B152" s="280"/>
      <c r="C152" s="280"/>
      <c r="D152" s="280"/>
      <c r="E152" s="280"/>
      <c r="F152" s="280"/>
      <c r="G152" s="280"/>
      <c r="H152" s="282"/>
      <c r="I152" s="283"/>
      <c r="J152" s="282"/>
      <c r="K152" s="284"/>
      <c r="L152" s="285">
        <f>K152+O152</f>
        <v>0</v>
      </c>
      <c r="M152" s="285"/>
      <c r="N152" s="286">
        <f>(M152-K152)</f>
        <v>0</v>
      </c>
      <c r="O152" s="287"/>
      <c r="P152" s="286">
        <v>0.0</v>
      </c>
      <c r="Q152" s="289"/>
      <c r="R152" s="289"/>
      <c r="S152" s="306">
        <f>R152-M152</f>
        <v>0</v>
      </c>
      <c r="T152" s="270"/>
      <c r="U152" s="289"/>
    </row>
    <row r="153" spans="1:21" customHeight="1" ht="15">
      <c r="A153" s="280"/>
      <c r="B153" s="280"/>
      <c r="C153" s="280"/>
      <c r="D153" s="280"/>
      <c r="E153" s="280"/>
      <c r="F153" s="280"/>
      <c r="G153" s="280"/>
      <c r="H153" s="282"/>
      <c r="I153" s="283"/>
      <c r="J153" s="282"/>
      <c r="K153" s="284"/>
      <c r="L153" s="285">
        <f>K153+O153</f>
        <v>0</v>
      </c>
      <c r="M153" s="285"/>
      <c r="N153" s="286">
        <f>(M153-K153)</f>
        <v>0</v>
      </c>
      <c r="O153" s="287"/>
      <c r="P153" s="286">
        <v>0.0</v>
      </c>
      <c r="Q153" s="289"/>
      <c r="R153" s="289"/>
      <c r="S153" s="306">
        <f>R153-M153</f>
        <v>0</v>
      </c>
      <c r="T153" s="270"/>
      <c r="U153" s="289"/>
    </row>
    <row r="154" spans="1:21" customHeight="1" ht="15">
      <c r="A154" s="280"/>
      <c r="B154" s="280"/>
      <c r="C154" s="280"/>
      <c r="D154" s="280"/>
      <c r="E154" s="280"/>
      <c r="F154" s="280"/>
      <c r="G154" s="280"/>
      <c r="H154" s="282"/>
      <c r="I154" s="283"/>
      <c r="J154" s="282"/>
      <c r="K154" s="284"/>
      <c r="L154" s="285">
        <f>K154+O154</f>
        <v>0</v>
      </c>
      <c r="M154" s="285"/>
      <c r="N154" s="286">
        <f>(M154-K154)</f>
        <v>0</v>
      </c>
      <c r="O154" s="287"/>
      <c r="P154" s="286">
        <v>0.0</v>
      </c>
      <c r="Q154" s="289"/>
      <c r="R154" s="289"/>
      <c r="S154" s="306">
        <f>R154-M154</f>
        <v>0</v>
      </c>
      <c r="T154" s="270"/>
      <c r="U154" s="289"/>
    </row>
    <row r="155" spans="1:21" customHeight="1" ht="15">
      <c r="A155" s="280"/>
      <c r="B155" s="280"/>
      <c r="C155" s="280"/>
      <c r="D155" s="280"/>
      <c r="E155" s="280"/>
      <c r="F155" s="280"/>
      <c r="G155" s="280"/>
      <c r="H155" s="282"/>
      <c r="I155" s="283"/>
      <c r="J155" s="282"/>
      <c r="K155" s="284"/>
      <c r="L155" s="285">
        <f>K155+O155</f>
        <v>0</v>
      </c>
      <c r="M155" s="285"/>
      <c r="N155" s="286">
        <f>(M155-K155)</f>
        <v>0</v>
      </c>
      <c r="O155" s="287"/>
      <c r="P155" s="286">
        <v>0.0</v>
      </c>
      <c r="Q155" s="289"/>
      <c r="R155" s="289"/>
      <c r="S155" s="306">
        <f>R155-M155</f>
        <v>0</v>
      </c>
      <c r="T155" s="270"/>
      <c r="U155" s="289"/>
    </row>
    <row r="156" spans="1:21" customHeight="1" ht="15">
      <c r="A156" s="280"/>
      <c r="B156" s="280"/>
      <c r="C156" s="280"/>
      <c r="D156" s="280"/>
      <c r="E156" s="280"/>
      <c r="F156" s="280"/>
      <c r="G156" s="280"/>
      <c r="H156" s="282"/>
      <c r="I156" s="283"/>
      <c r="J156" s="282"/>
      <c r="K156" s="284"/>
      <c r="L156" s="285">
        <f>K156+O156</f>
        <v>0</v>
      </c>
      <c r="M156" s="285"/>
      <c r="N156" s="286">
        <f>(M156-K156)</f>
        <v>0</v>
      </c>
      <c r="O156" s="287"/>
      <c r="P156" s="286">
        <v>0.0</v>
      </c>
      <c r="Q156" s="289"/>
      <c r="R156" s="289"/>
      <c r="S156" s="289"/>
      <c r="T156" s="270"/>
      <c r="U156" s="289"/>
    </row>
    <row r="157" spans="1:21" customHeight="1" ht="15">
      <c r="A157" s="280"/>
      <c r="B157" s="280"/>
      <c r="C157" s="280"/>
      <c r="D157" s="280"/>
      <c r="E157" s="280"/>
      <c r="F157" s="280"/>
      <c r="G157" s="280"/>
      <c r="H157" s="282"/>
      <c r="I157" s="283"/>
      <c r="J157" s="282"/>
      <c r="K157" s="284"/>
      <c r="L157" s="285">
        <f>K157+O157</f>
        <v>0</v>
      </c>
      <c r="M157" s="285"/>
      <c r="N157" s="286">
        <f>(M157-K157)</f>
        <v>0</v>
      </c>
      <c r="O157" s="287"/>
      <c r="P157" s="286">
        <v>0.0</v>
      </c>
      <c r="Q157" s="289"/>
      <c r="R157" s="289"/>
      <c r="S157" s="289"/>
      <c r="T157" s="270"/>
      <c r="U157" s="289"/>
    </row>
    <row r="158" spans="1:21" customHeight="1" ht="15">
      <c r="A158" s="280"/>
      <c r="B158" s="280"/>
      <c r="C158" s="280"/>
      <c r="D158" s="280"/>
      <c r="E158" s="280"/>
      <c r="F158" s="280"/>
      <c r="G158" s="280"/>
      <c r="H158" s="282"/>
      <c r="I158" s="283"/>
      <c r="J158" s="282"/>
      <c r="K158" s="284"/>
      <c r="L158" s="285">
        <f>K158+O158</f>
        <v>0</v>
      </c>
      <c r="M158" s="285"/>
      <c r="N158" s="286">
        <f>(M158-K158)</f>
        <v>0</v>
      </c>
      <c r="O158" s="287"/>
      <c r="P158" s="286">
        <v>0.0</v>
      </c>
      <c r="Q158" s="289"/>
      <c r="R158" s="289"/>
      <c r="S158" s="289"/>
      <c r="T158" s="270"/>
      <c r="U158" s="289"/>
    </row>
    <row r="159" spans="1:21" customHeight="1" ht="15">
      <c r="A159" s="280"/>
      <c r="B159" s="280"/>
      <c r="C159" s="280"/>
      <c r="D159" s="280"/>
      <c r="E159" s="280"/>
      <c r="F159" s="280"/>
      <c r="G159" s="280"/>
      <c r="H159" s="282"/>
      <c r="I159" s="283"/>
      <c r="J159" s="282"/>
      <c r="K159" s="284"/>
      <c r="L159" s="285">
        <f>K159+O159</f>
        <v>0</v>
      </c>
      <c r="M159" s="285"/>
      <c r="N159" s="286">
        <f>(M159-K159)</f>
        <v>0</v>
      </c>
      <c r="O159" s="287"/>
      <c r="P159" s="286">
        <v>0.0</v>
      </c>
      <c r="Q159" s="289"/>
      <c r="R159" s="289"/>
      <c r="S159" s="289"/>
      <c r="T159" s="270"/>
      <c r="U159" s="289"/>
    </row>
    <row r="160" spans="1:21" customHeight="1" ht="15">
      <c r="A160" s="280"/>
      <c r="B160" s="280"/>
      <c r="C160" s="280"/>
      <c r="D160" s="280"/>
      <c r="E160" s="280"/>
      <c r="F160" s="280"/>
      <c r="G160" s="280"/>
      <c r="H160" s="282"/>
      <c r="I160" s="283"/>
      <c r="J160" s="282"/>
      <c r="K160" s="284"/>
      <c r="L160" s="285">
        <f>K160+O160</f>
        <v>0</v>
      </c>
      <c r="M160" s="285"/>
      <c r="N160" s="286">
        <f>(M160-K160)</f>
        <v>0</v>
      </c>
      <c r="O160" s="287"/>
      <c r="P160" s="286">
        <v>0.0</v>
      </c>
      <c r="Q160" s="289"/>
      <c r="R160" s="289"/>
      <c r="S160" s="289"/>
      <c r="T160" s="270"/>
      <c r="U160" s="289"/>
    </row>
    <row r="161" spans="1:21" customHeight="1" ht="15">
      <c r="A161" s="280"/>
      <c r="B161" s="280"/>
      <c r="C161" s="280"/>
      <c r="D161" s="280"/>
      <c r="E161" s="280"/>
      <c r="F161" s="280"/>
      <c r="G161" s="280"/>
      <c r="H161" s="282"/>
      <c r="I161" s="283"/>
      <c r="J161" s="282"/>
      <c r="K161" s="284"/>
      <c r="L161" s="285">
        <f>K161+O161</f>
        <v>0</v>
      </c>
      <c r="M161" s="285"/>
      <c r="N161" s="286">
        <f>(M161-K161)</f>
        <v>0</v>
      </c>
      <c r="O161" s="287"/>
      <c r="P161" s="286">
        <v>0.0</v>
      </c>
      <c r="Q161" s="289"/>
      <c r="R161" s="289"/>
      <c r="S161" s="289"/>
      <c r="T161" s="270"/>
      <c r="U161" s="289"/>
    </row>
    <row r="162" spans="1:21" customHeight="1" ht="15">
      <c r="A162" s="280"/>
      <c r="B162" s="280"/>
      <c r="C162" s="280"/>
      <c r="D162" s="280"/>
      <c r="E162" s="280"/>
      <c r="F162" s="280"/>
      <c r="G162" s="280"/>
      <c r="H162" s="282"/>
      <c r="I162" s="283"/>
      <c r="J162" s="282"/>
      <c r="K162" s="284"/>
      <c r="L162" s="285">
        <f>K162+O162</f>
        <v>0</v>
      </c>
      <c r="M162" s="285"/>
      <c r="N162" s="286">
        <f>(M162-K162)</f>
        <v>0</v>
      </c>
      <c r="O162" s="287"/>
      <c r="P162" s="286">
        <v>0.0</v>
      </c>
      <c r="Q162" s="289"/>
      <c r="R162" s="289"/>
      <c r="S162" s="289"/>
      <c r="T162" s="270"/>
      <c r="U162" s="289"/>
    </row>
    <row r="163" spans="1:21" customHeight="1" ht="15">
      <c r="A163" s="280"/>
      <c r="B163" s="280"/>
      <c r="C163" s="280"/>
      <c r="D163" s="280"/>
      <c r="E163" s="280"/>
      <c r="F163" s="280"/>
      <c r="G163" s="280"/>
      <c r="H163" s="282"/>
      <c r="I163" s="283"/>
      <c r="J163" s="282"/>
      <c r="K163" s="284"/>
      <c r="L163" s="285">
        <f>K163+O163</f>
        <v>0</v>
      </c>
      <c r="M163" s="285"/>
      <c r="N163" s="286">
        <f>(M163-K163)</f>
        <v>0</v>
      </c>
      <c r="O163" s="287"/>
      <c r="P163" s="286">
        <v>0.0</v>
      </c>
      <c r="Q163" s="289"/>
      <c r="R163" s="289"/>
      <c r="S163" s="289"/>
      <c r="T163" s="270"/>
      <c r="U163" s="289"/>
    </row>
    <row r="164" spans="1:21" customHeight="1" ht="15">
      <c r="A164" s="280"/>
      <c r="B164" s="280"/>
      <c r="C164" s="280"/>
      <c r="D164" s="280"/>
      <c r="E164" s="280"/>
      <c r="F164" s="280"/>
      <c r="G164" s="280"/>
      <c r="H164" s="282"/>
      <c r="I164" s="283"/>
      <c r="J164" s="282"/>
      <c r="K164" s="284"/>
      <c r="L164" s="285">
        <f>K164+O164</f>
        <v>0</v>
      </c>
      <c r="M164" s="285"/>
      <c r="N164" s="286">
        <f>(M164-K164)</f>
        <v>0</v>
      </c>
      <c r="O164" s="287"/>
      <c r="P164" s="286">
        <v>0.0</v>
      </c>
      <c r="Q164" s="289"/>
      <c r="R164" s="289"/>
      <c r="S164" s="289"/>
      <c r="T164" s="270"/>
      <c r="U164" s="289"/>
    </row>
    <row r="165" spans="1:21" customHeight="1" ht="15">
      <c r="A165" s="280"/>
      <c r="B165" s="280"/>
      <c r="C165" s="280"/>
      <c r="D165" s="280"/>
      <c r="E165" s="280"/>
      <c r="F165" s="280"/>
      <c r="G165" s="280"/>
      <c r="H165" s="282"/>
      <c r="I165" s="283"/>
      <c r="J165" s="282"/>
      <c r="K165" s="284"/>
      <c r="L165" s="285">
        <f>K165+O165</f>
        <v>0</v>
      </c>
      <c r="M165" s="285"/>
      <c r="N165" s="286">
        <f>(M165-K165)</f>
        <v>0</v>
      </c>
      <c r="O165" s="287"/>
      <c r="P165" s="286">
        <v>0.0</v>
      </c>
      <c r="Q165" s="289"/>
      <c r="R165" s="289"/>
      <c r="S165" s="289"/>
      <c r="T165" s="270"/>
      <c r="U165" s="289"/>
    </row>
    <row r="166" spans="1:21" customHeight="1" ht="15">
      <c r="A166" s="280"/>
      <c r="B166" s="280"/>
      <c r="C166" s="280"/>
      <c r="D166" s="280"/>
      <c r="E166" s="280"/>
      <c r="F166" s="280"/>
      <c r="G166" s="280"/>
      <c r="H166" s="282"/>
      <c r="I166" s="283"/>
      <c r="J166" s="282"/>
      <c r="K166" s="284"/>
      <c r="L166" s="285">
        <f>K166+O166</f>
        <v>0</v>
      </c>
      <c r="M166" s="285"/>
      <c r="N166" s="286">
        <f>(M166-K166)</f>
        <v>0</v>
      </c>
      <c r="O166" s="287"/>
      <c r="P166" s="286">
        <v>0.0</v>
      </c>
      <c r="Q166" s="289"/>
      <c r="R166" s="289"/>
      <c r="S166" s="289"/>
      <c r="T166" s="270"/>
      <c r="U166" s="289"/>
    </row>
    <row r="167" spans="1:21" customHeight="1" ht="15">
      <c r="A167" s="280"/>
      <c r="B167" s="280"/>
      <c r="C167" s="280"/>
      <c r="D167" s="280"/>
      <c r="E167" s="280"/>
      <c r="F167" s="280"/>
      <c r="G167" s="280"/>
      <c r="H167" s="282"/>
      <c r="I167" s="283"/>
      <c r="J167" s="282"/>
      <c r="K167" s="284"/>
      <c r="L167" s="285">
        <f>K167+O167</f>
        <v>0</v>
      </c>
      <c r="M167" s="285"/>
      <c r="N167" s="286">
        <f>(M167-K167)</f>
        <v>0</v>
      </c>
      <c r="O167" s="287"/>
      <c r="P167" s="286">
        <v>0.0</v>
      </c>
      <c r="Q167" s="289"/>
      <c r="R167" s="289"/>
      <c r="S167" s="289"/>
      <c r="T167" s="270"/>
      <c r="U167" s="289"/>
    </row>
    <row r="168" spans="1:21" customHeight="1" ht="15">
      <c r="A168" s="280"/>
      <c r="B168" s="280"/>
      <c r="C168" s="280"/>
      <c r="D168" s="280"/>
      <c r="E168" s="280"/>
      <c r="F168" s="280"/>
      <c r="G168" s="280"/>
      <c r="H168" s="282"/>
      <c r="I168" s="283"/>
      <c r="J168" s="282"/>
      <c r="K168" s="284"/>
      <c r="L168" s="285">
        <f>K168+O168</f>
        <v>0</v>
      </c>
      <c r="M168" s="285"/>
      <c r="N168" s="286">
        <f>(M168-K168)</f>
        <v>0</v>
      </c>
      <c r="O168" s="287"/>
      <c r="P168" s="286">
        <v>0.0</v>
      </c>
      <c r="Q168" s="289"/>
      <c r="R168" s="289"/>
      <c r="S168" s="289"/>
      <c r="T168" s="270"/>
      <c r="U168" s="289"/>
    </row>
    <row r="169" spans="1:21" customHeight="1" ht="15">
      <c r="A169" s="280"/>
      <c r="B169" s="280"/>
      <c r="C169" s="280"/>
      <c r="D169" s="280"/>
      <c r="E169" s="280"/>
      <c r="F169" s="280"/>
      <c r="G169" s="280"/>
      <c r="H169" s="282"/>
      <c r="I169" s="283"/>
      <c r="J169" s="282"/>
      <c r="K169" s="284"/>
      <c r="L169" s="285">
        <f>K169+O169</f>
        <v>0</v>
      </c>
      <c r="M169" s="285"/>
      <c r="N169" s="286">
        <f>(M169-K169)</f>
        <v>0</v>
      </c>
      <c r="O169" s="287"/>
      <c r="P169" s="286">
        <v>0.0</v>
      </c>
      <c r="Q169" s="289"/>
      <c r="R169" s="289"/>
      <c r="S169" s="289"/>
      <c r="T169" s="270"/>
      <c r="U169" s="289"/>
    </row>
    <row r="170" spans="1:21" customHeight="1" ht="15">
      <c r="A170" s="280"/>
      <c r="B170" s="280"/>
      <c r="C170" s="280"/>
      <c r="D170" s="280"/>
      <c r="E170" s="280"/>
      <c r="F170" s="280"/>
      <c r="G170" s="280"/>
      <c r="H170" s="282"/>
      <c r="I170" s="283"/>
      <c r="J170" s="282"/>
      <c r="K170" s="284"/>
      <c r="L170" s="285">
        <f>K170+O170</f>
        <v>0</v>
      </c>
      <c r="M170" s="285"/>
      <c r="N170" s="286">
        <f>(M170-K170)</f>
        <v>0</v>
      </c>
      <c r="O170" s="287"/>
      <c r="P170" s="286">
        <v>0.0</v>
      </c>
      <c r="Q170" s="289"/>
      <c r="R170" s="289"/>
      <c r="S170" s="289"/>
      <c r="T170" s="289"/>
      <c r="U170" s="289"/>
    </row>
    <row r="171" spans="1:21" customHeight="1" ht="15">
      <c r="A171" s="280"/>
      <c r="B171" s="280"/>
      <c r="C171" s="280"/>
      <c r="D171" s="280"/>
      <c r="E171" s="280"/>
      <c r="F171" s="280"/>
      <c r="G171" s="280"/>
      <c r="H171" s="282"/>
      <c r="I171" s="283"/>
      <c r="J171" s="282"/>
      <c r="K171" s="284"/>
      <c r="L171" s="285">
        <f>K171+O171</f>
        <v>0</v>
      </c>
      <c r="M171" s="285"/>
      <c r="N171" s="286">
        <f>(M171-K171)</f>
        <v>0</v>
      </c>
      <c r="O171" s="287"/>
      <c r="P171" s="286">
        <v>0.0</v>
      </c>
      <c r="Q171" s="289"/>
      <c r="R171" s="289"/>
      <c r="S171" s="289"/>
      <c r="T171" s="289"/>
      <c r="U171" s="289"/>
    </row>
    <row r="172" spans="1:21" customHeight="1" ht="15">
      <c r="A172" s="280"/>
      <c r="B172" s="280"/>
      <c r="C172" s="280"/>
      <c r="D172" s="280"/>
      <c r="E172" s="280"/>
      <c r="F172" s="280"/>
      <c r="G172" s="280"/>
      <c r="H172" s="282"/>
      <c r="I172" s="283"/>
      <c r="J172" s="282"/>
      <c r="K172" s="284"/>
      <c r="L172" s="285">
        <f>K172+O172</f>
        <v>0</v>
      </c>
      <c r="M172" s="285"/>
      <c r="N172" s="286">
        <f>(M172-K172)</f>
        <v>0</v>
      </c>
      <c r="O172" s="287"/>
      <c r="P172" s="286">
        <v>0.0</v>
      </c>
      <c r="Q172" s="289"/>
      <c r="R172" s="289"/>
      <c r="S172" s="289"/>
      <c r="T172" s="289"/>
      <c r="U172" s="289"/>
    </row>
    <row r="173" spans="1:21" customHeight="1" ht="15">
      <c r="A173" s="280"/>
      <c r="B173" s="280"/>
      <c r="C173" s="280"/>
      <c r="D173" s="280"/>
      <c r="E173" s="280"/>
      <c r="F173" s="280"/>
      <c r="G173" s="280"/>
      <c r="H173" s="282"/>
      <c r="I173" s="283"/>
      <c r="J173" s="282"/>
      <c r="K173" s="284"/>
      <c r="L173" s="285">
        <f>K173+O173</f>
        <v>0</v>
      </c>
      <c r="M173" s="285"/>
      <c r="N173" s="286">
        <f>(M173-K173)</f>
        <v>0</v>
      </c>
      <c r="O173" s="287"/>
      <c r="P173" s="286">
        <v>0.0</v>
      </c>
      <c r="Q173" s="289"/>
      <c r="R173" s="289"/>
      <c r="S173" s="289"/>
      <c r="T173" s="289"/>
      <c r="U173" s="289"/>
    </row>
    <row r="174" spans="1:21" customHeight="1" ht="15">
      <c r="A174" s="280"/>
      <c r="B174" s="280"/>
      <c r="C174" s="280"/>
      <c r="D174" s="280"/>
      <c r="E174" s="280"/>
      <c r="F174" s="280"/>
      <c r="G174" s="280"/>
      <c r="H174" s="282"/>
      <c r="I174" s="283"/>
      <c r="J174" s="282"/>
      <c r="K174" s="284"/>
      <c r="L174" s="285">
        <f>K174+O174</f>
        <v>0</v>
      </c>
      <c r="M174" s="285"/>
      <c r="N174" s="286">
        <f>(M174-K174)</f>
        <v>0</v>
      </c>
      <c r="O174" s="287"/>
      <c r="P174" s="286">
        <v>0.0</v>
      </c>
      <c r="Q174" s="289"/>
      <c r="R174" s="289"/>
      <c r="S174" s="289"/>
      <c r="T174" s="289"/>
      <c r="U174" s="289"/>
    </row>
    <row r="175" spans="1:21" customHeight="1" ht="15">
      <c r="A175" s="280"/>
      <c r="B175" s="280"/>
      <c r="C175" s="280"/>
      <c r="D175" s="280"/>
      <c r="E175" s="280"/>
      <c r="F175" s="280"/>
      <c r="G175" s="280"/>
      <c r="H175" s="282"/>
      <c r="I175" s="283"/>
      <c r="J175" s="282"/>
      <c r="K175" s="284"/>
      <c r="L175" s="285">
        <f>K175+O175</f>
        <v>0</v>
      </c>
      <c r="M175" s="285"/>
      <c r="N175" s="286">
        <f>(M175-K175)</f>
        <v>0</v>
      </c>
      <c r="O175" s="287"/>
      <c r="P175" s="286">
        <v>0.0</v>
      </c>
      <c r="Q175" s="289"/>
      <c r="R175" s="289"/>
      <c r="S175" s="289"/>
      <c r="T175" s="289"/>
      <c r="U175" s="289"/>
    </row>
    <row r="176" spans="1:21" customHeight="1" ht="15">
      <c r="A176" s="280"/>
      <c r="B176" s="280"/>
      <c r="C176" s="280"/>
      <c r="D176" s="280"/>
      <c r="E176" s="280"/>
      <c r="F176" s="280"/>
      <c r="G176" s="280"/>
      <c r="H176" s="282"/>
      <c r="I176" s="283"/>
      <c r="J176" s="282"/>
      <c r="K176" s="284"/>
      <c r="L176" s="285">
        <f>K176+O176</f>
        <v>0</v>
      </c>
      <c r="M176" s="285"/>
      <c r="N176" s="286">
        <f>(M176-K176)</f>
        <v>0</v>
      </c>
      <c r="O176" s="287"/>
      <c r="P176" s="286">
        <v>0.0</v>
      </c>
      <c r="Q176" s="289"/>
      <c r="R176" s="289"/>
      <c r="S176" s="289"/>
      <c r="T176" s="289"/>
      <c r="U176" s="289"/>
    </row>
    <row r="177" spans="1:21" customHeight="1" ht="15">
      <c r="A177" s="280"/>
      <c r="B177" s="280"/>
      <c r="C177" s="280"/>
      <c r="D177" s="280"/>
      <c r="E177" s="280"/>
      <c r="F177" s="280"/>
      <c r="G177" s="280"/>
      <c r="H177" s="282"/>
      <c r="I177" s="283"/>
      <c r="J177" s="282"/>
      <c r="K177" s="284"/>
      <c r="L177" s="285">
        <f>K177+O177</f>
        <v>0</v>
      </c>
      <c r="M177" s="285"/>
      <c r="N177" s="286">
        <f>(M177-K177)</f>
        <v>0</v>
      </c>
      <c r="O177" s="287"/>
      <c r="P177" s="286">
        <v>0.0</v>
      </c>
      <c r="Q177" s="289"/>
      <c r="R177" s="289"/>
      <c r="S177" s="289"/>
      <c r="T177" s="289"/>
      <c r="U177" s="289"/>
    </row>
    <row r="178" spans="1:21" customHeight="1" ht="15">
      <c r="A178" s="280"/>
      <c r="B178" s="280"/>
      <c r="C178" s="280"/>
      <c r="D178" s="280"/>
      <c r="E178" s="280"/>
      <c r="F178" s="280"/>
      <c r="G178" s="280"/>
      <c r="H178" s="282"/>
      <c r="I178" s="283"/>
      <c r="J178" s="282"/>
      <c r="K178" s="284"/>
      <c r="L178" s="285">
        <f>K178+O178</f>
        <v>0</v>
      </c>
      <c r="M178" s="285"/>
      <c r="N178" s="286">
        <f>(M178-K178)</f>
        <v>0</v>
      </c>
      <c r="O178" s="287"/>
      <c r="P178" s="286">
        <v>0.0</v>
      </c>
      <c r="Q178" s="289"/>
      <c r="R178" s="289"/>
      <c r="S178" s="289"/>
      <c r="T178" s="289"/>
      <c r="U178" s="289"/>
    </row>
    <row r="179" spans="1:21" customHeight="1" ht="15">
      <c r="A179" s="280"/>
      <c r="B179" s="280"/>
      <c r="C179" s="280"/>
      <c r="D179" s="280"/>
      <c r="E179" s="280"/>
      <c r="F179" s="280"/>
      <c r="G179" s="280"/>
      <c r="H179" s="282"/>
      <c r="I179" s="283"/>
      <c r="J179" s="282"/>
      <c r="K179" s="284"/>
      <c r="L179" s="285">
        <f>K179+O179</f>
        <v>0</v>
      </c>
      <c r="M179" s="285"/>
      <c r="N179" s="286">
        <f>(M179-K179)</f>
        <v>0</v>
      </c>
      <c r="O179" s="287"/>
      <c r="P179" s="286">
        <v>0.0</v>
      </c>
      <c r="Q179" s="289"/>
      <c r="R179" s="289"/>
      <c r="S179" s="289"/>
      <c r="T179" s="289"/>
      <c r="U179" s="289"/>
    </row>
    <row r="180" spans="1:21" customHeight="1" ht="15">
      <c r="A180" s="280"/>
      <c r="B180" s="280"/>
      <c r="C180" s="280"/>
      <c r="D180" s="280"/>
      <c r="E180" s="280"/>
      <c r="F180" s="280"/>
      <c r="G180" s="280"/>
      <c r="H180" s="282"/>
      <c r="I180" s="283"/>
      <c r="J180" s="282"/>
      <c r="K180" s="284"/>
      <c r="L180" s="285">
        <f>K180+O180</f>
        <v>0</v>
      </c>
      <c r="M180" s="285"/>
      <c r="N180" s="286">
        <f>(M180-K180)</f>
        <v>0</v>
      </c>
      <c r="O180" s="287"/>
      <c r="P180" s="286">
        <v>0.0</v>
      </c>
      <c r="Q180" s="289"/>
      <c r="R180" s="289"/>
      <c r="S180" s="289"/>
      <c r="T180" s="289"/>
      <c r="U180" s="289"/>
    </row>
    <row r="181" spans="1:21" customHeight="1" ht="15">
      <c r="A181" s="280"/>
      <c r="B181" s="280"/>
      <c r="C181" s="280"/>
      <c r="D181" s="280"/>
      <c r="E181" s="280"/>
      <c r="F181" s="280"/>
      <c r="G181" s="280"/>
      <c r="H181" s="282"/>
      <c r="I181" s="283"/>
      <c r="J181" s="282"/>
      <c r="K181" s="284"/>
      <c r="L181" s="285">
        <f>K181+O181</f>
        <v>0</v>
      </c>
      <c r="M181" s="285"/>
      <c r="N181" s="286">
        <f>(M181-K181)</f>
        <v>0</v>
      </c>
      <c r="O181" s="287"/>
      <c r="P181" s="286">
        <v>0.0</v>
      </c>
      <c r="Q181" s="289"/>
      <c r="R181" s="289"/>
      <c r="S181" s="289"/>
      <c r="T181" s="289"/>
      <c r="U181" s="289"/>
    </row>
    <row r="182" spans="1:21" customHeight="1" ht="15">
      <c r="A182" s="280"/>
      <c r="B182" s="280"/>
      <c r="C182" s="280"/>
      <c r="D182" s="280"/>
      <c r="E182" s="280"/>
      <c r="F182" s="280"/>
      <c r="G182" s="280"/>
      <c r="H182" s="282"/>
      <c r="I182" s="283"/>
      <c r="J182" s="282"/>
      <c r="K182" s="284"/>
      <c r="L182" s="285">
        <f>K182+O182</f>
        <v>0</v>
      </c>
      <c r="M182" s="285"/>
      <c r="N182" s="286">
        <f>(M182-K182)</f>
        <v>0</v>
      </c>
      <c r="O182" s="287"/>
      <c r="P182" s="286">
        <v>0.0</v>
      </c>
      <c r="Q182" s="289"/>
      <c r="R182" s="289"/>
      <c r="S182" s="289"/>
      <c r="T182" s="289"/>
      <c r="U182" s="289"/>
    </row>
    <row r="183" spans="1:21" customHeight="1" ht="15">
      <c r="A183" s="280"/>
      <c r="B183" s="280"/>
      <c r="C183" s="280"/>
      <c r="D183" s="280"/>
      <c r="E183" s="280"/>
      <c r="F183" s="280"/>
      <c r="G183" s="280"/>
      <c r="H183" s="282"/>
      <c r="I183" s="283"/>
      <c r="J183" s="282"/>
      <c r="K183" s="284"/>
      <c r="L183" s="285">
        <f>K183+O183</f>
        <v>0</v>
      </c>
      <c r="M183" s="285"/>
      <c r="N183" s="286">
        <f>(M183-K183)</f>
        <v>0</v>
      </c>
      <c r="O183" s="287"/>
      <c r="P183" s="286">
        <v>0.0</v>
      </c>
      <c r="Q183" s="289"/>
      <c r="R183" s="289"/>
      <c r="S183" s="289"/>
      <c r="T183" s="289"/>
      <c r="U183" s="289"/>
    </row>
    <row r="184" spans="1:21" customHeight="1" ht="15">
      <c r="A184" s="280"/>
      <c r="B184" s="280"/>
      <c r="C184" s="280"/>
      <c r="D184" s="280"/>
      <c r="E184" s="280"/>
      <c r="F184" s="280"/>
      <c r="G184" s="280"/>
      <c r="H184" s="282"/>
      <c r="I184" s="283"/>
      <c r="J184" s="282"/>
      <c r="K184" s="284"/>
      <c r="L184" s="285">
        <f>K184+O184</f>
        <v>0</v>
      </c>
      <c r="M184" s="285"/>
      <c r="N184" s="286">
        <f>(M184-K184)</f>
        <v>0</v>
      </c>
      <c r="O184" s="287"/>
      <c r="P184" s="286">
        <v>0.0</v>
      </c>
      <c r="Q184" s="289"/>
      <c r="R184" s="289"/>
      <c r="S184" s="289"/>
      <c r="T184" s="289"/>
      <c r="U184" s="289"/>
    </row>
    <row r="185" spans="1:21" customHeight="1" ht="15">
      <c r="A185" s="280"/>
      <c r="B185" s="280"/>
      <c r="C185" s="280"/>
      <c r="D185" s="280"/>
      <c r="E185" s="280"/>
      <c r="F185" s="280"/>
      <c r="G185" s="280"/>
      <c r="H185" s="282"/>
      <c r="I185" s="283"/>
      <c r="J185" s="282"/>
      <c r="K185" s="284"/>
      <c r="L185" s="285">
        <f>K185+O185</f>
        <v>0</v>
      </c>
      <c r="M185" s="285"/>
      <c r="N185" s="286">
        <f>(M185-K185)</f>
        <v>0</v>
      </c>
      <c r="O185" s="287"/>
      <c r="P185" s="286">
        <v>0.0</v>
      </c>
      <c r="Q185" s="289"/>
      <c r="T185" s="289"/>
      <c r="U185" s="289"/>
    </row>
    <row r="186" spans="1:21" customHeight="1" ht="15">
      <c r="A186" s="280"/>
      <c r="B186" s="280"/>
      <c r="C186" s="280"/>
      <c r="D186" s="280"/>
      <c r="E186" s="280"/>
      <c r="F186" s="280"/>
      <c r="G186" s="280"/>
      <c r="H186" s="282"/>
      <c r="I186" s="283"/>
      <c r="J186" s="282"/>
      <c r="K186" s="284"/>
      <c r="L186" s="285">
        <f>K186+O186</f>
        <v>0</v>
      </c>
      <c r="M186" s="285"/>
      <c r="N186" s="286">
        <f>(M186-K186)</f>
        <v>0</v>
      </c>
      <c r="O186" s="287"/>
      <c r="P186" s="286">
        <v>0.0</v>
      </c>
      <c r="Q186" s="289"/>
      <c r="T186" s="289"/>
      <c r="U186" s="289"/>
    </row>
    <row r="187" spans="1:21" customHeight="1" ht="15">
      <c r="A187" s="280"/>
      <c r="B187" s="280"/>
      <c r="C187" s="280"/>
      <c r="D187" s="280"/>
      <c r="E187" s="280"/>
      <c r="F187" s="280"/>
      <c r="G187" s="280"/>
      <c r="H187" s="282"/>
      <c r="I187" s="283"/>
      <c r="J187" s="282"/>
      <c r="K187" s="284"/>
      <c r="L187" s="285">
        <f>K187+O187</f>
        <v>0</v>
      </c>
      <c r="M187" s="285"/>
      <c r="N187" s="286">
        <f>(M187-K187)</f>
        <v>0</v>
      </c>
      <c r="O187" s="287"/>
      <c r="P187" s="286">
        <v>0.0</v>
      </c>
      <c r="Q187" s="289"/>
      <c r="T187" s="289"/>
      <c r="U187" s="289"/>
    </row>
    <row r="188" spans="1:21" customHeight="1" ht="15">
      <c r="A188" s="280"/>
      <c r="B188" s="280"/>
      <c r="C188" s="280"/>
      <c r="D188" s="280"/>
      <c r="E188" s="280"/>
      <c r="F188" s="280"/>
      <c r="G188" s="280"/>
      <c r="H188" s="282"/>
      <c r="I188" s="283"/>
      <c r="J188" s="282"/>
      <c r="K188" s="284"/>
      <c r="L188" s="285">
        <f>K188+O188</f>
        <v>0</v>
      </c>
      <c r="M188" s="285"/>
      <c r="N188" s="286">
        <f>(M188-K188)</f>
        <v>0</v>
      </c>
      <c r="O188" s="287"/>
      <c r="P188" s="286">
        <v>0.0</v>
      </c>
      <c r="Q188" s="289"/>
      <c r="T188" s="289"/>
      <c r="U188" s="289"/>
    </row>
    <row r="189" spans="1:21" customHeight="1" ht="15">
      <c r="A189" s="280"/>
      <c r="B189" s="280"/>
      <c r="C189" s="280"/>
      <c r="D189" s="280"/>
      <c r="E189" s="280"/>
      <c r="F189" s="280"/>
      <c r="G189" s="280"/>
      <c r="H189" s="282"/>
      <c r="I189" s="283"/>
      <c r="J189" s="282"/>
      <c r="K189" s="284"/>
      <c r="L189" s="285">
        <f>K189+O189</f>
        <v>0</v>
      </c>
      <c r="M189" s="285"/>
      <c r="N189" s="286">
        <f>(M189-K189)</f>
        <v>0</v>
      </c>
      <c r="O189" s="287"/>
      <c r="P189" s="286">
        <v>0.0</v>
      </c>
      <c r="Q189" s="289"/>
      <c r="T189" s="289"/>
      <c r="U189" s="289"/>
    </row>
    <row r="190" spans="1:21" customHeight="1" ht="15">
      <c r="A190" s="280"/>
      <c r="B190" s="280"/>
      <c r="C190" s="280"/>
      <c r="D190" s="280"/>
      <c r="E190" s="280"/>
      <c r="F190" s="280"/>
      <c r="G190" s="280"/>
      <c r="H190" s="282"/>
      <c r="I190" s="283"/>
      <c r="J190" s="282"/>
      <c r="K190" s="284"/>
      <c r="L190" s="285">
        <f>K190+O190</f>
        <v>0</v>
      </c>
      <c r="M190" s="285"/>
      <c r="N190" s="286">
        <f>(M190-K190)</f>
        <v>0</v>
      </c>
      <c r="O190" s="287"/>
      <c r="P190" s="286">
        <v>0.0</v>
      </c>
      <c r="Q190" s="289"/>
      <c r="T190" s="289"/>
      <c r="U190" s="289"/>
    </row>
    <row r="191" spans="1:21" customHeight="1" ht="15">
      <c r="A191" s="280"/>
      <c r="B191" s="280"/>
      <c r="C191" s="280"/>
      <c r="D191" s="280"/>
      <c r="E191" s="280"/>
      <c r="F191" s="280"/>
      <c r="G191" s="280"/>
      <c r="H191" s="282"/>
      <c r="I191" s="283"/>
      <c r="J191" s="282"/>
      <c r="K191" s="284"/>
      <c r="L191" s="285">
        <f>K191+O191</f>
        <v>0</v>
      </c>
      <c r="M191" s="285"/>
      <c r="N191" s="286">
        <f>(M191-K191)</f>
        <v>0</v>
      </c>
      <c r="O191" s="287"/>
      <c r="P191" s="286">
        <v>0.0</v>
      </c>
      <c r="Q191" s="289"/>
      <c r="T191" s="289"/>
      <c r="U191" s="289"/>
    </row>
    <row r="192" spans="1:21" customHeight="1" ht="15">
      <c r="A192" s="280"/>
      <c r="B192" s="280"/>
      <c r="C192" s="280"/>
      <c r="D192" s="280"/>
      <c r="E192" s="280"/>
      <c r="F192" s="280"/>
      <c r="G192" s="280"/>
      <c r="H192" s="282"/>
      <c r="I192" s="283"/>
      <c r="J192" s="282"/>
      <c r="K192" s="284"/>
      <c r="L192" s="285">
        <f>K192+O192</f>
        <v>0</v>
      </c>
      <c r="M192" s="285"/>
      <c r="N192" s="286">
        <f>(M192-K192)</f>
        <v>0</v>
      </c>
      <c r="O192" s="287"/>
      <c r="P192" s="286">
        <v>0.0</v>
      </c>
      <c r="Q192" s="289"/>
      <c r="T192" s="289"/>
      <c r="U192" s="289"/>
    </row>
    <row r="193" spans="1:21" customHeight="1" ht="15">
      <c r="A193" s="280"/>
      <c r="B193" s="280"/>
      <c r="C193" s="280"/>
      <c r="D193" s="280"/>
      <c r="E193" s="280"/>
      <c r="F193" s="280"/>
      <c r="G193" s="280"/>
      <c r="H193" s="282"/>
      <c r="I193" s="283"/>
      <c r="J193" s="282"/>
      <c r="K193" s="284"/>
      <c r="L193" s="285">
        <f>K193+O193</f>
        <v>0</v>
      </c>
      <c r="M193" s="285"/>
      <c r="N193" s="286">
        <f>(M193-K193)</f>
        <v>0</v>
      </c>
      <c r="O193" s="287"/>
      <c r="P193" s="286">
        <v>0.0</v>
      </c>
      <c r="Q193" s="289"/>
      <c r="T193" s="289"/>
      <c r="U193" s="289"/>
    </row>
    <row r="194" spans="1:21" customHeight="1" ht="15">
      <c r="A194" s="280"/>
      <c r="B194" s="280"/>
      <c r="C194" s="280"/>
      <c r="D194" s="280"/>
      <c r="E194" s="280"/>
      <c r="F194" s="280"/>
      <c r="G194" s="280"/>
      <c r="H194" s="282"/>
      <c r="I194" s="283"/>
      <c r="J194" s="282"/>
      <c r="K194" s="284"/>
      <c r="L194" s="285">
        <f>K194+O194</f>
        <v>0</v>
      </c>
      <c r="M194" s="285"/>
      <c r="N194" s="286">
        <f>(M194-K194)</f>
        <v>0</v>
      </c>
      <c r="O194" s="287"/>
      <c r="P194" s="286">
        <v>0.0</v>
      </c>
      <c r="Q194" s="289"/>
      <c r="T194" s="289"/>
      <c r="U194" s="289"/>
    </row>
    <row r="195" spans="1:21" customHeight="1" ht="15">
      <c r="A195" s="280"/>
      <c r="B195" s="280"/>
      <c r="C195" s="280"/>
      <c r="D195" s="280"/>
      <c r="E195" s="280"/>
      <c r="F195" s="280"/>
      <c r="G195" s="280"/>
      <c r="H195" s="282"/>
      <c r="I195" s="283"/>
      <c r="J195" s="282"/>
      <c r="K195" s="284"/>
      <c r="L195" s="285">
        <f>K195+O195</f>
        <v>0</v>
      </c>
      <c r="M195" s="285"/>
      <c r="N195" s="286">
        <f>(M195-K195)</f>
        <v>0</v>
      </c>
      <c r="O195" s="287"/>
      <c r="P195" s="286">
        <v>0.0</v>
      </c>
      <c r="Q195" s="289"/>
      <c r="T195" s="289"/>
      <c r="U195" s="289"/>
    </row>
    <row r="196" spans="1:21" customHeight="1" ht="15">
      <c r="A196" s="280"/>
      <c r="B196" s="280"/>
      <c r="C196" s="280"/>
      <c r="D196" s="280"/>
      <c r="E196" s="280"/>
      <c r="F196" s="280"/>
      <c r="G196" s="280"/>
      <c r="H196" s="282"/>
      <c r="I196" s="283"/>
      <c r="J196" s="282"/>
      <c r="K196" s="284"/>
      <c r="L196" s="285">
        <f>K196+O196</f>
        <v>0</v>
      </c>
      <c r="M196" s="285"/>
      <c r="N196" s="286">
        <f>(M196-K196)</f>
        <v>0</v>
      </c>
      <c r="O196" s="287"/>
      <c r="P196" s="286">
        <v>0.0</v>
      </c>
      <c r="Q196" s="289"/>
      <c r="T196" s="289"/>
      <c r="U196" s="289"/>
    </row>
    <row r="197" spans="1:21" customHeight="1" ht="15">
      <c r="A197" s="280"/>
      <c r="B197" s="280"/>
      <c r="C197" s="280"/>
      <c r="D197" s="280"/>
      <c r="E197" s="280"/>
      <c r="F197" s="280"/>
      <c r="G197" s="280"/>
      <c r="H197" s="282"/>
      <c r="I197" s="283"/>
      <c r="J197" s="282"/>
      <c r="K197" s="284"/>
      <c r="L197" s="285">
        <f>K197+O197</f>
        <v>0</v>
      </c>
      <c r="M197" s="285"/>
      <c r="N197" s="286">
        <f>(M197-K197)</f>
        <v>0</v>
      </c>
      <c r="O197" s="287"/>
      <c r="P197" s="286">
        <v>0.0</v>
      </c>
      <c r="Q197" s="289"/>
      <c r="T197" s="289"/>
      <c r="U197" s="289"/>
    </row>
    <row r="198" spans="1:21" customHeight="1" ht="15">
      <c r="A198" s="280"/>
      <c r="B198" s="280"/>
      <c r="C198" s="280"/>
      <c r="D198" s="280"/>
      <c r="E198" s="280"/>
      <c r="F198" s="280"/>
      <c r="G198" s="280"/>
      <c r="H198" s="282"/>
      <c r="I198" s="283"/>
      <c r="J198" s="282"/>
      <c r="K198" s="284"/>
      <c r="L198" s="285">
        <f>K198+O198</f>
        <v>0</v>
      </c>
      <c r="M198" s="285"/>
      <c r="N198" s="286">
        <f>(M198-K198)</f>
        <v>0</v>
      </c>
      <c r="O198" s="287"/>
      <c r="P198" s="286">
        <v>0.0</v>
      </c>
      <c r="Q198" s="289"/>
      <c r="T198" s="289"/>
      <c r="U198" s="289"/>
    </row>
    <row r="199" spans="1:21" customHeight="1" ht="15">
      <c r="A199" s="280"/>
      <c r="B199" s="280"/>
      <c r="C199" s="280"/>
      <c r="D199" s="280"/>
      <c r="E199" s="280"/>
      <c r="F199" s="280"/>
      <c r="G199" s="280"/>
      <c r="H199" s="282"/>
      <c r="I199" s="283"/>
      <c r="J199" s="282"/>
      <c r="K199" s="284"/>
      <c r="L199" s="285">
        <f>K199+O199</f>
        <v>0</v>
      </c>
      <c r="M199" s="285"/>
      <c r="N199" s="286">
        <f>(M199-K199)</f>
        <v>0</v>
      </c>
      <c r="O199" s="287"/>
      <c r="P199" s="286">
        <v>0.0</v>
      </c>
      <c r="Q199" s="289"/>
      <c r="T199" s="289"/>
      <c r="U199" s="289"/>
    </row>
    <row r="200" spans="1:21" customHeight="1" ht="15">
      <c r="A200" s="280"/>
      <c r="B200" s="280"/>
      <c r="C200" s="280"/>
      <c r="D200" s="280"/>
      <c r="E200" s="280"/>
      <c r="F200" s="280"/>
      <c r="G200" s="280"/>
      <c r="H200" s="282"/>
      <c r="I200" s="283"/>
      <c r="J200" s="282"/>
      <c r="K200" s="284"/>
      <c r="L200" s="285">
        <f>K200+O200</f>
        <v>0</v>
      </c>
      <c r="M200" s="285"/>
      <c r="N200" s="286">
        <f>(M200-K200)</f>
        <v>0</v>
      </c>
      <c r="O200" s="287"/>
      <c r="P200" s="286">
        <v>0.0</v>
      </c>
      <c r="Q200" s="289"/>
      <c r="T200" s="289"/>
      <c r="U200" s="289"/>
    </row>
    <row r="201" spans="1:21" customHeight="1" ht="15">
      <c r="A201" s="280"/>
      <c r="B201" s="280"/>
      <c r="C201" s="280"/>
      <c r="D201" s="280"/>
      <c r="E201" s="280"/>
      <c r="F201" s="280"/>
      <c r="G201" s="280"/>
      <c r="H201" s="282"/>
      <c r="I201" s="283"/>
      <c r="J201" s="282"/>
      <c r="K201" s="284"/>
      <c r="L201" s="285">
        <f>K201+O201</f>
        <v>0</v>
      </c>
      <c r="M201" s="285"/>
      <c r="N201" s="286">
        <f>(M201-K201)</f>
        <v>0</v>
      </c>
      <c r="O201" s="287"/>
      <c r="P201" s="286">
        <v>0.0</v>
      </c>
      <c r="Q201" s="289"/>
      <c r="T201" s="289"/>
      <c r="U201" s="289"/>
    </row>
    <row r="202" spans="1:21" customHeight="1" ht="15">
      <c r="A202" s="280"/>
      <c r="B202" s="280"/>
      <c r="C202" s="280"/>
      <c r="D202" s="280"/>
      <c r="E202" s="280"/>
      <c r="F202" s="280"/>
      <c r="G202" s="280"/>
      <c r="H202" s="282"/>
      <c r="I202" s="283"/>
      <c r="J202" s="282"/>
      <c r="K202" s="284"/>
      <c r="L202" s="285">
        <f>K202+O202</f>
        <v>0</v>
      </c>
      <c r="M202" s="285"/>
      <c r="N202" s="286">
        <f>(M202-K202)</f>
        <v>0</v>
      </c>
      <c r="O202" s="287"/>
      <c r="P202" s="286">
        <v>0.0</v>
      </c>
      <c r="Q202" s="289"/>
      <c r="T202" s="289"/>
      <c r="U202" s="289"/>
    </row>
    <row r="203" spans="1:21" customHeight="1" ht="15">
      <c r="A203" s="280"/>
      <c r="B203" s="280"/>
      <c r="C203" s="280"/>
      <c r="D203" s="280"/>
      <c r="E203" s="280"/>
      <c r="F203" s="280"/>
      <c r="G203" s="280"/>
      <c r="H203" s="282"/>
      <c r="I203" s="283"/>
      <c r="J203" s="282"/>
      <c r="K203" s="284"/>
      <c r="L203" s="285">
        <f>K203+O203</f>
        <v>0</v>
      </c>
      <c r="M203" s="285"/>
      <c r="N203" s="286">
        <f>(M203-K203)</f>
        <v>0</v>
      </c>
      <c r="O203" s="287"/>
      <c r="P203" s="286">
        <v>0.0</v>
      </c>
      <c r="Q203" s="289"/>
      <c r="T203" s="289"/>
      <c r="U203" s="289"/>
    </row>
    <row r="204" spans="1:21" customHeight="1" ht="15">
      <c r="A204" s="280"/>
      <c r="B204" s="280"/>
      <c r="C204" s="280"/>
      <c r="D204" s="280"/>
      <c r="E204" s="280"/>
      <c r="F204" s="280"/>
      <c r="G204" s="280"/>
      <c r="H204" s="282"/>
      <c r="I204" s="283"/>
      <c r="J204" s="282"/>
      <c r="K204" s="284"/>
      <c r="L204" s="285">
        <f>K204+O204</f>
        <v>0</v>
      </c>
      <c r="M204" s="285"/>
      <c r="N204" s="286">
        <f>(M204-K204)</f>
        <v>0</v>
      </c>
      <c r="O204" s="287"/>
      <c r="P204" s="286">
        <v>0.0</v>
      </c>
      <c r="Q204" s="289"/>
      <c r="T204" s="289"/>
      <c r="U204" s="289"/>
    </row>
    <row r="205" spans="1:21" customHeight="1" ht="15">
      <c r="A205" s="280"/>
      <c r="B205" s="280"/>
      <c r="C205" s="280"/>
      <c r="D205" s="280"/>
      <c r="E205" s="280"/>
      <c r="F205" s="280"/>
      <c r="G205" s="280"/>
      <c r="H205" s="282"/>
      <c r="I205" s="283"/>
      <c r="J205" s="282"/>
      <c r="K205" s="284"/>
      <c r="L205" s="285">
        <f>K205+O205</f>
        <v>0</v>
      </c>
      <c r="M205" s="285"/>
      <c r="N205" s="286">
        <f>(M205-K205)</f>
        <v>0</v>
      </c>
      <c r="O205" s="287"/>
      <c r="P205" s="286">
        <v>0.0</v>
      </c>
      <c r="Q205" s="289"/>
      <c r="T205" s="289"/>
      <c r="U205" s="289"/>
    </row>
    <row r="206" spans="1:21" customHeight="1" ht="15">
      <c r="A206" s="280"/>
      <c r="B206" s="280"/>
      <c r="C206" s="280"/>
      <c r="D206" s="280"/>
      <c r="E206" s="280"/>
      <c r="F206" s="280"/>
      <c r="G206" s="280"/>
      <c r="H206" s="282"/>
      <c r="I206" s="283"/>
      <c r="J206" s="282"/>
      <c r="K206" s="284"/>
      <c r="L206" s="285">
        <f>K206+O206</f>
        <v>0</v>
      </c>
      <c r="M206" s="285"/>
      <c r="N206" s="286">
        <f>(M206-K206)</f>
        <v>0</v>
      </c>
      <c r="O206" s="287"/>
      <c r="P206" s="286">
        <v>0.0</v>
      </c>
      <c r="Q206" s="289"/>
      <c r="T206" s="289"/>
      <c r="U206" s="289"/>
    </row>
    <row r="207" spans="1:21" customHeight="1" ht="15">
      <c r="A207" s="280"/>
      <c r="B207" s="280"/>
      <c r="C207" s="280"/>
      <c r="D207" s="280"/>
      <c r="E207" s="280"/>
      <c r="F207" s="280"/>
      <c r="G207" s="280"/>
      <c r="H207" s="282"/>
      <c r="I207" s="283"/>
      <c r="J207" s="282"/>
      <c r="K207" s="284"/>
      <c r="L207" s="285">
        <f>K207+O207</f>
        <v>0</v>
      </c>
      <c r="M207" s="285"/>
      <c r="N207" s="286">
        <f>(M207-K207)</f>
        <v>0</v>
      </c>
      <c r="O207" s="287"/>
      <c r="P207" s="286">
        <v>0.0</v>
      </c>
      <c r="Q207" s="289"/>
      <c r="T207" s="289"/>
      <c r="U207" s="289"/>
    </row>
    <row r="208" spans="1:21" customHeight="1" ht="15">
      <c r="A208" s="280"/>
      <c r="B208" s="280"/>
      <c r="C208" s="280"/>
      <c r="D208" s="280"/>
      <c r="E208" s="280"/>
      <c r="F208" s="280"/>
      <c r="G208" s="280"/>
      <c r="H208" s="282"/>
      <c r="I208" s="283"/>
      <c r="J208" s="282"/>
      <c r="K208" s="284"/>
      <c r="L208" s="285">
        <f>K208+O208</f>
        <v>0</v>
      </c>
      <c r="M208" s="285"/>
      <c r="N208" s="286">
        <f>(M208-K208)</f>
        <v>0</v>
      </c>
      <c r="O208" s="287"/>
      <c r="P208" s="286">
        <v>0.0</v>
      </c>
      <c r="Q208" s="289"/>
      <c r="T208" s="289"/>
      <c r="U208" s="289"/>
    </row>
    <row r="209" spans="1:21" customHeight="1" ht="15">
      <c r="A209" s="280"/>
      <c r="B209" s="280"/>
      <c r="C209" s="280"/>
      <c r="D209" s="280"/>
      <c r="E209" s="280"/>
      <c r="F209" s="280"/>
      <c r="G209" s="280"/>
      <c r="H209" s="282"/>
      <c r="I209" s="283"/>
      <c r="J209" s="282"/>
      <c r="K209" s="284"/>
      <c r="L209" s="285">
        <f>K209+O209</f>
        <v>0</v>
      </c>
      <c r="M209" s="285"/>
      <c r="N209" s="286">
        <f>(M209-K209)</f>
        <v>0</v>
      </c>
      <c r="O209" s="287"/>
      <c r="P209" s="286">
        <v>0.0</v>
      </c>
      <c r="Q209" s="289"/>
      <c r="T209" s="289"/>
      <c r="U209" s="289"/>
    </row>
    <row r="210" spans="1:21" customHeight="1" ht="15">
      <c r="A210" s="280"/>
      <c r="B210" s="280"/>
      <c r="C210" s="280"/>
      <c r="D210" s="280"/>
      <c r="E210" s="280"/>
      <c r="F210" s="280"/>
      <c r="G210" s="280"/>
      <c r="H210" s="282"/>
      <c r="I210" s="283"/>
      <c r="J210" s="282"/>
      <c r="K210" s="284"/>
      <c r="L210" s="285">
        <f>K210+O210</f>
        <v>0</v>
      </c>
      <c r="M210" s="285"/>
      <c r="N210" s="286">
        <f>(M210-K210)</f>
        <v>0</v>
      </c>
      <c r="O210" s="287"/>
      <c r="P210" s="286">
        <v>0.0</v>
      </c>
      <c r="Q210" s="289"/>
      <c r="T210" s="289"/>
      <c r="U210" s="289"/>
    </row>
    <row r="211" spans="1:21" customHeight="1" ht="15">
      <c r="A211" s="280"/>
      <c r="B211" s="280"/>
      <c r="C211" s="280"/>
      <c r="D211" s="280"/>
      <c r="E211" s="280"/>
      <c r="F211" s="280"/>
      <c r="G211" s="280"/>
      <c r="H211" s="282"/>
      <c r="I211" s="283"/>
      <c r="J211" s="282"/>
      <c r="K211" s="284"/>
      <c r="L211" s="285">
        <f>K211+O211</f>
        <v>0</v>
      </c>
      <c r="M211" s="285"/>
      <c r="N211" s="286">
        <f>(M211-K211)</f>
        <v>0</v>
      </c>
      <c r="O211" s="287"/>
      <c r="P211" s="286">
        <v>0.0</v>
      </c>
      <c r="Q211" s="289"/>
      <c r="T211" s="289"/>
      <c r="U211" s="289"/>
    </row>
    <row r="212" spans="1:21" customHeight="1" ht="15">
      <c r="A212" s="280"/>
      <c r="B212" s="280"/>
      <c r="C212" s="280"/>
      <c r="D212" s="280"/>
      <c r="E212" s="280"/>
      <c r="F212" s="280"/>
      <c r="G212" s="280"/>
      <c r="H212" s="282"/>
      <c r="I212" s="283"/>
      <c r="J212" s="282"/>
      <c r="K212" s="284"/>
      <c r="L212" s="285">
        <f>K212+O212</f>
        <v>0</v>
      </c>
      <c r="M212" s="285"/>
      <c r="N212" s="286">
        <f>(M212-K212)</f>
        <v>0</v>
      </c>
      <c r="O212" s="287"/>
      <c r="P212" s="286">
        <v>0.0</v>
      </c>
      <c r="Q212" s="289"/>
      <c r="T212" s="289"/>
      <c r="U212" s="289"/>
    </row>
    <row r="213" spans="1:21" customHeight="1" ht="15">
      <c r="A213" s="280"/>
      <c r="B213" s="280"/>
      <c r="C213" s="280"/>
      <c r="D213" s="280"/>
      <c r="E213" s="280"/>
      <c r="F213" s="280"/>
      <c r="G213" s="280"/>
      <c r="H213" s="282"/>
      <c r="I213" s="283"/>
      <c r="J213" s="282"/>
      <c r="K213" s="284"/>
      <c r="L213" s="285">
        <f>K213+O213</f>
        <v>0</v>
      </c>
      <c r="M213" s="285"/>
      <c r="N213" s="286">
        <f>(M213-K213)</f>
        <v>0</v>
      </c>
      <c r="O213" s="287"/>
      <c r="P213" s="286">
        <v>0.0</v>
      </c>
      <c r="Q213" s="289"/>
      <c r="T213" s="289"/>
      <c r="U213" s="289"/>
    </row>
    <row r="214" spans="1:21" customHeight="1" ht="15">
      <c r="A214" s="280"/>
      <c r="B214" s="280"/>
      <c r="C214" s="280"/>
      <c r="D214" s="280"/>
      <c r="E214" s="280"/>
      <c r="F214" s="280"/>
      <c r="G214" s="280"/>
      <c r="H214" s="282"/>
      <c r="I214" s="283"/>
      <c r="J214" s="282"/>
      <c r="K214" s="284"/>
      <c r="L214" s="285">
        <f>K214+O214</f>
        <v>0</v>
      </c>
      <c r="M214" s="285"/>
      <c r="N214" s="286">
        <f>(M214-K214)</f>
        <v>0</v>
      </c>
      <c r="O214" s="287"/>
      <c r="P214" s="286">
        <v>0.0</v>
      </c>
      <c r="Q214" s="289"/>
      <c r="T214" s="289"/>
      <c r="U214" s="289"/>
    </row>
    <row r="215" spans="1:21" customHeight="1" ht="15">
      <c r="A215" s="280"/>
      <c r="B215" s="280"/>
      <c r="C215" s="280"/>
      <c r="D215" s="280"/>
      <c r="E215" s="280"/>
      <c r="F215" s="280"/>
      <c r="G215" s="280"/>
      <c r="H215" s="282"/>
      <c r="I215" s="283"/>
      <c r="J215" s="282"/>
      <c r="K215" s="284"/>
      <c r="L215" s="285">
        <f>K215+O215</f>
        <v>0</v>
      </c>
      <c r="M215" s="285"/>
      <c r="N215" s="286">
        <f>(M215-K215)</f>
        <v>0</v>
      </c>
      <c r="O215" s="287"/>
      <c r="P215" s="286">
        <v>0.0</v>
      </c>
      <c r="Q215" s="289"/>
      <c r="T215" s="289"/>
      <c r="U215" s="289"/>
    </row>
    <row r="216" spans="1:21" customHeight="1" ht="15">
      <c r="A216" s="280"/>
      <c r="B216" s="280"/>
      <c r="C216" s="280"/>
      <c r="D216" s="280"/>
      <c r="E216" s="280"/>
      <c r="F216" s="280"/>
      <c r="G216" s="280"/>
      <c r="H216" s="282"/>
      <c r="I216" s="283"/>
      <c r="J216" s="282"/>
      <c r="K216" s="284"/>
      <c r="L216" s="285">
        <f>K216+O216</f>
        <v>0</v>
      </c>
      <c r="M216" s="285"/>
      <c r="N216" s="286">
        <f>(M216-K216)</f>
        <v>0</v>
      </c>
      <c r="O216" s="287"/>
      <c r="P216" s="286">
        <v>0.0</v>
      </c>
      <c r="Q216" s="289"/>
      <c r="T216" s="289"/>
      <c r="U216" s="289"/>
    </row>
    <row r="217" spans="1:21" customHeight="1" ht="15">
      <c r="A217" s="280"/>
      <c r="B217" s="280"/>
      <c r="C217" s="280"/>
      <c r="D217" s="280"/>
      <c r="E217" s="280"/>
      <c r="F217" s="280"/>
      <c r="G217" s="280"/>
      <c r="H217" s="282"/>
      <c r="I217" s="283"/>
      <c r="J217" s="282"/>
      <c r="K217" s="284"/>
      <c r="L217" s="285">
        <f>K217+O217</f>
        <v>0</v>
      </c>
      <c r="M217" s="285"/>
      <c r="N217" s="286">
        <f>(M217-K217)</f>
        <v>0</v>
      </c>
      <c r="O217" s="287"/>
      <c r="P217" s="286">
        <v>0.0</v>
      </c>
      <c r="Q217" s="289"/>
      <c r="T217" s="289"/>
      <c r="U217" s="289"/>
    </row>
    <row r="218" spans="1:21" customHeight="1" ht="15">
      <c r="A218" s="280"/>
      <c r="B218" s="280"/>
      <c r="C218" s="280"/>
      <c r="D218" s="280"/>
      <c r="E218" s="280"/>
      <c r="F218" s="280"/>
      <c r="G218" s="280"/>
      <c r="H218" s="282"/>
      <c r="I218" s="283"/>
      <c r="J218" s="282"/>
      <c r="K218" s="284"/>
      <c r="L218" s="285">
        <f>K218+O218</f>
        <v>0</v>
      </c>
      <c r="M218" s="285"/>
      <c r="N218" s="286">
        <f>(M218-K218)</f>
        <v>0</v>
      </c>
      <c r="O218" s="287"/>
      <c r="P218" s="286">
        <v>0.0</v>
      </c>
      <c r="Q218" s="289"/>
      <c r="T218" s="289"/>
      <c r="U218" s="289"/>
    </row>
    <row r="219" spans="1:21" customHeight="1" ht="15">
      <c r="A219" s="280"/>
      <c r="B219" s="280"/>
      <c r="C219" s="280"/>
      <c r="D219" s="280"/>
      <c r="E219" s="280"/>
      <c r="F219" s="280"/>
      <c r="G219" s="280"/>
      <c r="H219" s="282"/>
      <c r="I219" s="283"/>
      <c r="J219" s="282"/>
      <c r="K219" s="284"/>
      <c r="L219" s="285">
        <f>K219+O219</f>
        <v>0</v>
      </c>
      <c r="M219" s="285"/>
      <c r="N219" s="286">
        <f>(M219-K219)</f>
        <v>0</v>
      </c>
      <c r="O219" s="287"/>
      <c r="P219" s="286">
        <v>0.0</v>
      </c>
      <c r="Q219" s="289"/>
      <c r="T219" s="289"/>
      <c r="U219" s="289"/>
    </row>
    <row r="220" spans="1:21" customHeight="1" ht="15">
      <c r="A220" s="280"/>
      <c r="B220" s="280"/>
      <c r="C220" s="280"/>
      <c r="D220" s="280"/>
      <c r="E220" s="280"/>
      <c r="F220" s="280"/>
      <c r="G220" s="280"/>
      <c r="H220" s="282"/>
      <c r="I220" s="283"/>
      <c r="J220" s="282"/>
      <c r="K220" s="284"/>
      <c r="L220" s="285">
        <f>K220+O220</f>
        <v>0</v>
      </c>
      <c r="M220" s="285"/>
      <c r="N220" s="286">
        <f>(M220-K220)</f>
        <v>0</v>
      </c>
      <c r="O220" s="287"/>
      <c r="P220" s="286">
        <v>0.0</v>
      </c>
      <c r="Q220" s="289"/>
      <c r="T220" s="289"/>
      <c r="U220" s="289"/>
    </row>
    <row r="221" spans="1:21" customHeight="1" ht="15">
      <c r="A221" s="280"/>
      <c r="B221" s="280"/>
      <c r="C221" s="280"/>
      <c r="D221" s="280"/>
      <c r="E221" s="280"/>
      <c r="F221" s="280"/>
      <c r="G221" s="280"/>
      <c r="H221" s="282"/>
      <c r="I221" s="283"/>
      <c r="J221" s="282"/>
      <c r="K221" s="284"/>
      <c r="L221" s="285">
        <f>K221+O221</f>
        <v>0</v>
      </c>
      <c r="M221" s="285"/>
      <c r="N221" s="286">
        <f>(M221-K221)</f>
        <v>0</v>
      </c>
      <c r="O221" s="287"/>
      <c r="P221" s="286">
        <v>0.0</v>
      </c>
      <c r="Q221" s="289"/>
      <c r="T221" s="289"/>
      <c r="U221" s="289"/>
    </row>
    <row r="222" spans="1:21" customHeight="1" ht="15">
      <c r="A222" s="280"/>
      <c r="B222" s="280"/>
      <c r="C222" s="280"/>
      <c r="D222" s="280"/>
      <c r="E222" s="280"/>
      <c r="F222" s="280"/>
      <c r="G222" s="280"/>
      <c r="H222" s="282"/>
      <c r="I222" s="283"/>
      <c r="J222" s="282"/>
      <c r="K222" s="284"/>
      <c r="L222" s="285">
        <f>K222+O222</f>
        <v>0</v>
      </c>
      <c r="M222" s="285"/>
      <c r="N222" s="286">
        <f>(M222-K222)</f>
        <v>0</v>
      </c>
      <c r="O222" s="287"/>
      <c r="P222" s="286">
        <v>0.0</v>
      </c>
      <c r="Q222" s="289"/>
      <c r="T222" s="289"/>
      <c r="U222" s="289"/>
    </row>
    <row r="223" spans="1:21" customHeight="1" ht="15">
      <c r="A223" s="280"/>
      <c r="B223" s="280"/>
      <c r="C223" s="280"/>
      <c r="D223" s="280"/>
      <c r="E223" s="280"/>
      <c r="F223" s="280"/>
      <c r="G223" s="280"/>
      <c r="H223" s="282"/>
      <c r="I223" s="283"/>
      <c r="J223" s="282"/>
      <c r="K223" s="284"/>
      <c r="L223" s="285">
        <f>K223+O223</f>
        <v>0</v>
      </c>
      <c r="M223" s="285"/>
      <c r="N223" s="286">
        <f>(M223-K223)</f>
        <v>0</v>
      </c>
      <c r="O223" s="287"/>
      <c r="P223" s="286">
        <v>0.0</v>
      </c>
      <c r="Q223" s="289"/>
      <c r="T223" s="289"/>
      <c r="U223" s="289"/>
    </row>
    <row r="224" spans="1:21" customHeight="1" ht="15">
      <c r="A224" s="280"/>
      <c r="B224" s="280"/>
      <c r="C224" s="280"/>
      <c r="D224" s="280"/>
      <c r="E224" s="280"/>
      <c r="F224" s="280"/>
      <c r="G224" s="280"/>
      <c r="H224" s="282"/>
      <c r="I224" s="283"/>
      <c r="J224" s="282"/>
      <c r="K224" s="284"/>
      <c r="L224" s="285">
        <f>K224+O224</f>
        <v>0</v>
      </c>
      <c r="M224" s="285"/>
      <c r="N224" s="286">
        <f>(M224-K224)</f>
        <v>0</v>
      </c>
      <c r="O224" s="287"/>
      <c r="P224" s="286">
        <v>0.0</v>
      </c>
      <c r="Q224" s="289"/>
      <c r="T224" s="289"/>
      <c r="U224" s="289"/>
    </row>
    <row r="225" spans="1:21" customHeight="1" ht="15">
      <c r="A225" s="280"/>
      <c r="B225" s="280"/>
      <c r="C225" s="280"/>
      <c r="D225" s="280"/>
      <c r="E225" s="280"/>
      <c r="F225" s="280"/>
      <c r="G225" s="280"/>
      <c r="H225" s="282"/>
      <c r="I225" s="283"/>
      <c r="J225" s="282"/>
      <c r="K225" s="284"/>
      <c r="L225" s="285">
        <f>K225+O225</f>
        <v>0</v>
      </c>
      <c r="M225" s="285"/>
      <c r="N225" s="286">
        <f>(M225-K225)</f>
        <v>0</v>
      </c>
      <c r="O225" s="287"/>
      <c r="P225" s="286">
        <v>0.0</v>
      </c>
      <c r="Q225" s="289"/>
      <c r="T225" s="289"/>
      <c r="U225" s="289"/>
    </row>
    <row r="226" spans="1:21" customHeight="1" ht="15">
      <c r="A226" s="280"/>
      <c r="B226" s="280"/>
      <c r="C226" s="280"/>
      <c r="D226" s="280"/>
      <c r="E226" s="280"/>
      <c r="F226" s="280"/>
      <c r="G226" s="280"/>
      <c r="H226" s="282"/>
      <c r="I226" s="283"/>
      <c r="J226" s="282"/>
      <c r="K226" s="284"/>
      <c r="L226" s="285">
        <f>K226+O226</f>
        <v>0</v>
      </c>
      <c r="M226" s="285"/>
      <c r="N226" s="286">
        <f>(M226-K226)</f>
        <v>0</v>
      </c>
      <c r="O226" s="287"/>
      <c r="P226" s="286">
        <v>0.0</v>
      </c>
      <c r="Q226" s="289"/>
      <c r="T226" s="289"/>
      <c r="U226" s="289"/>
    </row>
    <row r="227" spans="1:21" customHeight="1" ht="15">
      <c r="A227" s="280"/>
      <c r="B227" s="280"/>
      <c r="C227" s="280"/>
      <c r="D227" s="280"/>
      <c r="E227" s="280"/>
      <c r="F227" s="280"/>
      <c r="G227" s="280"/>
      <c r="H227" s="282"/>
      <c r="I227" s="283"/>
      <c r="J227" s="282"/>
      <c r="K227" s="284"/>
      <c r="L227" s="285">
        <f>K227+O227</f>
        <v>0</v>
      </c>
      <c r="M227" s="285"/>
      <c r="N227" s="286">
        <f>(M227-K227)</f>
        <v>0</v>
      </c>
      <c r="O227" s="287"/>
      <c r="P227" s="286">
        <v>0.0</v>
      </c>
      <c r="Q227" s="289"/>
      <c r="T227" s="289"/>
      <c r="U227" s="289"/>
    </row>
    <row r="228" spans="1:21" customHeight="1" ht="15">
      <c r="A228" s="280"/>
      <c r="B228" s="280"/>
      <c r="C228" s="280"/>
      <c r="D228" s="280"/>
      <c r="E228" s="280"/>
      <c r="F228" s="280"/>
      <c r="G228" s="280"/>
      <c r="H228" s="282"/>
      <c r="I228" s="283"/>
      <c r="J228" s="282"/>
      <c r="K228" s="284"/>
      <c r="L228" s="285">
        <f>K228+O228</f>
        <v>0</v>
      </c>
      <c r="M228" s="285"/>
      <c r="N228" s="286">
        <f>(M228-K228)</f>
        <v>0</v>
      </c>
      <c r="O228" s="287"/>
      <c r="P228" s="286">
        <v>0.0</v>
      </c>
      <c r="Q228" s="289"/>
      <c r="T228" s="289"/>
      <c r="U228" s="289"/>
    </row>
    <row r="229" spans="1:21" customHeight="1" ht="15">
      <c r="A229" s="280"/>
      <c r="B229" s="280"/>
      <c r="C229" s="280"/>
      <c r="D229" s="280"/>
      <c r="E229" s="280"/>
      <c r="F229" s="280"/>
      <c r="G229" s="280"/>
      <c r="H229" s="282"/>
      <c r="I229" s="283"/>
      <c r="J229" s="282"/>
      <c r="K229" s="284"/>
      <c r="L229" s="285">
        <f>K229+O229</f>
        <v>0</v>
      </c>
      <c r="M229" s="285"/>
      <c r="N229" s="286">
        <f>(M229-K229)</f>
        <v>0</v>
      </c>
      <c r="O229" s="287"/>
      <c r="P229" s="286">
        <v>0.0</v>
      </c>
      <c r="Q229" s="289"/>
      <c r="T229" s="289"/>
      <c r="U229" s="289"/>
    </row>
    <row r="230" spans="1:21" customHeight="1" ht="15">
      <c r="A230" s="280"/>
      <c r="B230" s="280"/>
      <c r="C230" s="280"/>
      <c r="D230" s="280"/>
      <c r="E230" s="280"/>
      <c r="F230" s="280"/>
      <c r="G230" s="280"/>
      <c r="H230" s="282"/>
      <c r="I230" s="283"/>
      <c r="J230" s="282"/>
      <c r="K230" s="284"/>
      <c r="L230" s="285">
        <f>K230+O230</f>
        <v>0</v>
      </c>
      <c r="M230" s="285"/>
      <c r="N230" s="286">
        <f>(M230-K230)</f>
        <v>0</v>
      </c>
      <c r="O230" s="287"/>
      <c r="P230" s="286">
        <v>0.0</v>
      </c>
      <c r="Q230" s="289"/>
      <c r="T230" s="289"/>
      <c r="U230" s="289"/>
    </row>
    <row r="231" spans="1:21" customHeight="1" ht="15">
      <c r="A231" s="280"/>
      <c r="B231" s="280"/>
      <c r="C231" s="280"/>
      <c r="D231" s="280"/>
      <c r="E231" s="280"/>
      <c r="F231" s="280"/>
      <c r="G231" s="280"/>
      <c r="H231" s="282"/>
      <c r="I231" s="283"/>
      <c r="J231" s="282"/>
      <c r="K231" s="284"/>
      <c r="L231" s="285">
        <f>K231+O231</f>
        <v>0</v>
      </c>
      <c r="M231" s="285"/>
      <c r="N231" s="286">
        <f>(M231-K231)</f>
        <v>0</v>
      </c>
      <c r="O231" s="287"/>
      <c r="P231" s="286">
        <v>0.0</v>
      </c>
      <c r="Q231" s="289"/>
      <c r="T231" s="289"/>
      <c r="U231" s="289"/>
    </row>
    <row r="232" spans="1:21" customHeight="1" ht="15">
      <c r="A232" s="280"/>
      <c r="B232" s="280"/>
      <c r="C232" s="280"/>
      <c r="D232" s="280"/>
      <c r="E232" s="280"/>
      <c r="F232" s="280"/>
      <c r="G232" s="280"/>
      <c r="H232" s="282"/>
      <c r="I232" s="283"/>
      <c r="J232" s="282"/>
      <c r="K232" s="284"/>
      <c r="L232" s="285">
        <f>K232+O232</f>
        <v>0</v>
      </c>
      <c r="M232" s="285"/>
      <c r="N232" s="286">
        <f>(M232-K232)</f>
        <v>0</v>
      </c>
      <c r="O232" s="287"/>
      <c r="P232" s="286">
        <v>0.0</v>
      </c>
      <c r="Q232" s="289"/>
      <c r="T232" s="289"/>
      <c r="U232" s="289"/>
    </row>
    <row r="233" spans="1:21" customHeight="1" ht="15">
      <c r="A233" s="280"/>
      <c r="B233" s="280"/>
      <c r="C233" s="280"/>
      <c r="D233" s="280"/>
      <c r="E233" s="280"/>
      <c r="F233" s="280"/>
      <c r="G233" s="280"/>
      <c r="H233" s="282"/>
      <c r="I233" s="283"/>
      <c r="J233" s="282"/>
      <c r="K233" s="284"/>
      <c r="L233" s="285">
        <f>K233+O233</f>
        <v>0</v>
      </c>
      <c r="M233" s="285"/>
      <c r="N233" s="286">
        <f>(M233-K233)</f>
        <v>0</v>
      </c>
      <c r="O233" s="287"/>
      <c r="P233" s="286">
        <v>0.0</v>
      </c>
      <c r="Q233" s="289"/>
      <c r="T233" s="289"/>
      <c r="U233" s="289"/>
    </row>
    <row r="234" spans="1:21" customHeight="1" ht="15">
      <c r="A234" s="280"/>
      <c r="B234" s="280"/>
      <c r="C234" s="280"/>
      <c r="D234" s="280"/>
      <c r="E234" s="280"/>
      <c r="F234" s="280"/>
      <c r="G234" s="280"/>
      <c r="H234" s="282"/>
      <c r="I234" s="283"/>
      <c r="J234" s="282"/>
      <c r="K234" s="284"/>
      <c r="L234" s="285">
        <f>K234+O234</f>
        <v>0</v>
      </c>
      <c r="M234" s="285"/>
      <c r="N234" s="286">
        <f>(M234-K234)</f>
        <v>0</v>
      </c>
      <c r="O234" s="287"/>
      <c r="P234" s="286">
        <v>0.0</v>
      </c>
      <c r="Q234" s="289"/>
      <c r="T234" s="289"/>
      <c r="U234" s="289"/>
    </row>
    <row r="235" spans="1:21" customHeight="1" ht="15">
      <c r="A235" s="280"/>
      <c r="B235" s="280"/>
      <c r="C235" s="280"/>
      <c r="D235" s="280"/>
      <c r="E235" s="280"/>
      <c r="F235" s="280"/>
      <c r="G235" s="280"/>
      <c r="H235" s="282"/>
      <c r="I235" s="283"/>
      <c r="J235" s="282"/>
      <c r="K235" s="284"/>
      <c r="L235" s="285">
        <f>K235+O235</f>
        <v>0</v>
      </c>
      <c r="M235" s="285"/>
      <c r="N235" s="286">
        <f>(M235-K235)</f>
        <v>0</v>
      </c>
      <c r="O235" s="287"/>
      <c r="P235" s="286">
        <v>0.0</v>
      </c>
      <c r="Q235" s="289"/>
      <c r="T235" s="289"/>
      <c r="U235" s="289"/>
    </row>
    <row r="236" spans="1:21" customHeight="1" ht="15">
      <c r="A236" s="280"/>
      <c r="B236" s="280"/>
      <c r="C236" s="280"/>
      <c r="D236" s="280"/>
      <c r="E236" s="280"/>
      <c r="F236" s="280"/>
      <c r="G236" s="280"/>
      <c r="H236" s="282"/>
      <c r="I236" s="283"/>
      <c r="J236" s="282"/>
      <c r="K236" s="284"/>
      <c r="L236" s="285">
        <f>K236+O236</f>
        <v>0</v>
      </c>
      <c r="M236" s="285"/>
      <c r="N236" s="286">
        <f>(M236-K236)</f>
        <v>0</v>
      </c>
      <c r="O236" s="287"/>
      <c r="P236" s="286">
        <v>0.0</v>
      </c>
      <c r="Q236" s="289"/>
      <c r="T236" s="289"/>
      <c r="U236" s="289"/>
    </row>
    <row r="237" spans="1:21" customHeight="1" ht="15">
      <c r="A237" s="280"/>
      <c r="B237" s="280"/>
      <c r="C237" s="280"/>
      <c r="D237" s="280"/>
      <c r="E237" s="280"/>
      <c r="F237" s="280"/>
      <c r="G237" s="280"/>
      <c r="H237" s="282"/>
      <c r="I237" s="283"/>
      <c r="J237" s="282"/>
      <c r="K237" s="284"/>
      <c r="L237" s="285">
        <f>K237+O237</f>
        <v>0</v>
      </c>
      <c r="M237" s="285"/>
      <c r="N237" s="286">
        <f>(M237-K237)</f>
        <v>0</v>
      </c>
      <c r="O237" s="287"/>
      <c r="P237" s="286">
        <v>0.0</v>
      </c>
      <c r="Q237" s="289"/>
      <c r="T237" s="289"/>
      <c r="U237" s="289"/>
    </row>
    <row r="238" spans="1:21" customHeight="1" ht="15">
      <c r="A238" s="280"/>
      <c r="B238" s="280"/>
      <c r="C238" s="280"/>
      <c r="D238" s="280"/>
      <c r="E238" s="280"/>
      <c r="F238" s="280"/>
      <c r="G238" s="280"/>
      <c r="H238" s="282"/>
      <c r="I238" s="283"/>
      <c r="J238" s="282"/>
      <c r="K238" s="284"/>
      <c r="L238" s="285">
        <f>K238+O238</f>
        <v>0</v>
      </c>
      <c r="M238" s="285"/>
      <c r="N238" s="286">
        <f>(M238-K238)</f>
        <v>0</v>
      </c>
      <c r="O238" s="287"/>
      <c r="P238" s="286">
        <v>0.0</v>
      </c>
      <c r="Q238" s="289"/>
      <c r="T238" s="289"/>
      <c r="U238" s="289"/>
    </row>
    <row r="239" spans="1:21" customHeight="1" ht="15">
      <c r="A239" s="280"/>
      <c r="B239" s="280"/>
      <c r="C239" s="280"/>
      <c r="D239" s="280"/>
      <c r="E239" s="280"/>
      <c r="F239" s="280"/>
      <c r="G239" s="280"/>
      <c r="H239" s="282"/>
      <c r="I239" s="283"/>
      <c r="J239" s="282"/>
      <c r="K239" s="284"/>
      <c r="L239" s="285">
        <f>K239+O239</f>
        <v>0</v>
      </c>
      <c r="M239" s="285"/>
      <c r="N239" s="286">
        <f>(M239-K239)</f>
        <v>0</v>
      </c>
      <c r="O239" s="287"/>
      <c r="P239" s="286">
        <v>0.0</v>
      </c>
      <c r="Q239" s="289"/>
      <c r="T239" s="289"/>
      <c r="U239" s="289"/>
    </row>
    <row r="240" spans="1:21" customHeight="1" ht="15">
      <c r="A240" s="280"/>
      <c r="B240" s="280"/>
      <c r="C240" s="280"/>
      <c r="D240" s="280"/>
      <c r="E240" s="280"/>
      <c r="F240" s="280"/>
      <c r="G240" s="280"/>
      <c r="H240" s="282"/>
      <c r="I240" s="283"/>
      <c r="J240" s="282"/>
      <c r="K240" s="284"/>
      <c r="L240" s="285">
        <f>K240+O240</f>
        <v>0</v>
      </c>
      <c r="M240" s="285"/>
      <c r="N240" s="286">
        <f>(M240-K240)</f>
        <v>0</v>
      </c>
      <c r="O240" s="287"/>
      <c r="P240" s="286">
        <v>0.0</v>
      </c>
      <c r="Q240" s="289"/>
      <c r="T240" s="289"/>
      <c r="U240" s="289"/>
    </row>
    <row r="241" spans="1:21" customHeight="1" ht="15">
      <c r="A241" s="280"/>
      <c r="B241" s="280"/>
      <c r="C241" s="280"/>
      <c r="D241" s="280"/>
      <c r="E241" s="280"/>
      <c r="F241" s="280"/>
      <c r="G241" s="280"/>
      <c r="H241" s="282"/>
      <c r="I241" s="283"/>
      <c r="J241" s="282"/>
      <c r="K241" s="284"/>
      <c r="L241" s="285">
        <f>K241+O241</f>
        <v>0</v>
      </c>
      <c r="M241" s="285"/>
      <c r="N241" s="286">
        <f>(M241-K241)</f>
        <v>0</v>
      </c>
      <c r="O241" s="287"/>
      <c r="P241" s="286">
        <v>0.0</v>
      </c>
      <c r="Q241" s="289"/>
      <c r="T241" s="289"/>
      <c r="U241" s="289"/>
    </row>
    <row r="242" spans="1:21" customHeight="1" ht="15">
      <c r="A242" s="280"/>
      <c r="B242" s="280"/>
      <c r="C242" s="280"/>
      <c r="D242" s="280"/>
      <c r="E242" s="280"/>
      <c r="F242" s="280"/>
      <c r="G242" s="280"/>
      <c r="H242" s="282"/>
      <c r="I242" s="283"/>
      <c r="J242" s="282"/>
      <c r="K242" s="284"/>
      <c r="L242" s="285">
        <f>K242+O242</f>
        <v>0</v>
      </c>
      <c r="M242" s="285"/>
      <c r="N242" s="286">
        <f>(M242-K242)</f>
        <v>0</v>
      </c>
      <c r="O242" s="287"/>
      <c r="P242" s="286">
        <v>0.0</v>
      </c>
      <c r="Q242" s="289"/>
      <c r="T242" s="289"/>
      <c r="U242" s="289"/>
    </row>
    <row r="243" spans="1:21" customHeight="1" ht="15">
      <c r="A243" s="280"/>
      <c r="B243" s="280"/>
      <c r="C243" s="280"/>
      <c r="D243" s="280"/>
      <c r="E243" s="280"/>
      <c r="F243" s="280"/>
      <c r="G243" s="280"/>
      <c r="H243" s="282"/>
      <c r="I243" s="283"/>
      <c r="J243" s="282"/>
      <c r="K243" s="284"/>
      <c r="L243" s="285">
        <f>K243+O243</f>
        <v>0</v>
      </c>
      <c r="M243" s="285"/>
      <c r="N243" s="286">
        <f>(M243-K243)</f>
        <v>0</v>
      </c>
      <c r="O243" s="287"/>
      <c r="P243" s="286">
        <v>0.0</v>
      </c>
      <c r="Q243" s="289"/>
      <c r="T243" s="289"/>
      <c r="U243" s="289"/>
    </row>
    <row r="244" spans="1:21" customHeight="1" ht="15">
      <c r="A244" s="280"/>
      <c r="B244" s="280"/>
      <c r="C244" s="280"/>
      <c r="D244" s="280"/>
      <c r="E244" s="280"/>
      <c r="F244" s="280"/>
      <c r="G244" s="280"/>
      <c r="H244" s="282"/>
      <c r="I244" s="283"/>
      <c r="J244" s="282"/>
      <c r="K244" s="284"/>
      <c r="L244" s="285">
        <f>K244+O244</f>
        <v>0</v>
      </c>
      <c r="M244" s="285"/>
      <c r="N244" s="286">
        <f>(M244-K244)</f>
        <v>0</v>
      </c>
      <c r="O244" s="287"/>
      <c r="P244" s="286">
        <v>0.0</v>
      </c>
      <c r="Q244" s="289"/>
      <c r="T244" s="289"/>
      <c r="U244" s="289"/>
    </row>
    <row r="245" spans="1:21" customHeight="1" ht="15">
      <c r="A245" s="280"/>
      <c r="B245" s="280"/>
      <c r="C245" s="280"/>
      <c r="D245" s="280"/>
      <c r="E245" s="280"/>
      <c r="F245" s="280"/>
      <c r="G245" s="280"/>
      <c r="H245" s="282"/>
      <c r="I245" s="283"/>
      <c r="J245" s="282"/>
      <c r="K245" s="284"/>
      <c r="L245" s="285">
        <f>K245+O245</f>
        <v>0</v>
      </c>
      <c r="M245" s="285"/>
      <c r="N245" s="286">
        <f>(M245-K245)</f>
        <v>0</v>
      </c>
      <c r="O245" s="287"/>
      <c r="P245" s="286">
        <v>0.0</v>
      </c>
      <c r="Q245" s="289"/>
      <c r="T245" s="289"/>
      <c r="U245" s="289"/>
    </row>
    <row r="246" spans="1:21" customHeight="1" ht="15">
      <c r="A246" s="280"/>
      <c r="B246" s="280"/>
      <c r="C246" s="280"/>
      <c r="D246" s="280"/>
      <c r="E246" s="280"/>
      <c r="F246" s="280"/>
      <c r="G246" s="280"/>
      <c r="H246" s="282"/>
      <c r="I246" s="283"/>
      <c r="J246" s="282"/>
      <c r="K246" s="284"/>
      <c r="L246" s="285">
        <f>K246+O246</f>
        <v>0</v>
      </c>
      <c r="M246" s="285"/>
      <c r="N246" s="286">
        <f>(M246-K246)</f>
        <v>0</v>
      </c>
      <c r="O246" s="287"/>
      <c r="P246" s="286">
        <v>0.0</v>
      </c>
      <c r="Q246" s="289"/>
      <c r="T246" s="289"/>
      <c r="U246" s="289"/>
    </row>
    <row r="247" spans="1:21" customHeight="1" ht="15">
      <c r="A247" s="280"/>
      <c r="B247" s="280"/>
      <c r="C247" s="280"/>
      <c r="D247" s="280"/>
      <c r="E247" s="280"/>
      <c r="F247" s="280"/>
      <c r="G247" s="280"/>
      <c r="H247" s="282"/>
      <c r="I247" s="283"/>
      <c r="J247" s="282"/>
      <c r="K247" s="284"/>
      <c r="L247" s="285">
        <f>K247+O247</f>
        <v>0</v>
      </c>
      <c r="M247" s="285"/>
      <c r="N247" s="286">
        <f>(M247-K247)</f>
        <v>0</v>
      </c>
      <c r="O247" s="287"/>
      <c r="P247" s="286">
        <v>0.0</v>
      </c>
      <c r="Q247" s="289"/>
      <c r="T247" s="289"/>
      <c r="U247" s="289"/>
    </row>
    <row r="248" spans="1:21" customHeight="1" ht="15">
      <c r="A248" s="280"/>
      <c r="B248" s="280"/>
      <c r="C248" s="280"/>
      <c r="D248" s="280"/>
      <c r="E248" s="280"/>
      <c r="F248" s="280"/>
      <c r="G248" s="280"/>
      <c r="H248" s="282"/>
      <c r="I248" s="283"/>
      <c r="J248" s="282"/>
      <c r="K248" s="284"/>
      <c r="L248" s="285">
        <f>K248+O248</f>
        <v>0</v>
      </c>
      <c r="M248" s="285"/>
      <c r="N248" s="286">
        <f>(M248-K248)</f>
        <v>0</v>
      </c>
      <c r="O248" s="287"/>
      <c r="P248" s="286">
        <v>0.0</v>
      </c>
      <c r="Q248" s="289"/>
      <c r="T248" s="289"/>
      <c r="U248" s="289"/>
    </row>
    <row r="249" spans="1:21" customHeight="1" ht="15">
      <c r="A249" s="280"/>
      <c r="B249" s="280"/>
      <c r="C249" s="280"/>
      <c r="D249" s="280"/>
      <c r="E249" s="280"/>
      <c r="F249" s="280"/>
      <c r="G249" s="280"/>
      <c r="H249" s="282"/>
      <c r="I249" s="283"/>
      <c r="J249" s="282"/>
      <c r="K249" s="284"/>
      <c r="L249" s="285">
        <f>K249+O249</f>
        <v>0</v>
      </c>
      <c r="M249" s="285"/>
      <c r="N249" s="286">
        <f>(M249-K249)</f>
        <v>0</v>
      </c>
      <c r="O249" s="287"/>
      <c r="P249" s="286">
        <v>0.0</v>
      </c>
      <c r="Q249" s="289"/>
      <c r="T249" s="289"/>
      <c r="U249" s="289"/>
    </row>
    <row r="250" spans="1:21" customHeight="1" ht="15">
      <c r="A250" s="280"/>
      <c r="B250" s="280"/>
      <c r="C250" s="280"/>
      <c r="D250" s="280"/>
      <c r="E250" s="280"/>
      <c r="F250" s="280"/>
      <c r="G250" s="280"/>
      <c r="H250" s="282"/>
      <c r="I250" s="283"/>
      <c r="J250" s="282"/>
      <c r="K250" s="284"/>
      <c r="L250" s="285">
        <f>K250+O250</f>
        <v>0</v>
      </c>
      <c r="M250" s="285"/>
      <c r="N250" s="286">
        <f>(M250-K250)</f>
        <v>0</v>
      </c>
      <c r="O250" s="287"/>
      <c r="P250" s="286">
        <v>0.0</v>
      </c>
      <c r="Q250" s="289"/>
      <c r="T250" s="289"/>
      <c r="U250" s="289"/>
    </row>
    <row r="251" spans="1:21" customHeight="1" ht="15">
      <c r="A251" s="280"/>
      <c r="B251" s="280"/>
      <c r="C251" s="280"/>
      <c r="D251" s="280"/>
      <c r="E251" s="280"/>
      <c r="F251" s="280"/>
      <c r="G251" s="280"/>
      <c r="H251" s="282"/>
      <c r="I251" s="283"/>
      <c r="J251" s="282"/>
      <c r="K251" s="284"/>
      <c r="L251" s="285">
        <f>K251+O251</f>
        <v>0</v>
      </c>
      <c r="M251" s="285"/>
      <c r="N251" s="286">
        <f>(M251-K251)</f>
        <v>0</v>
      </c>
      <c r="O251" s="287"/>
      <c r="P251" s="286">
        <v>0.0</v>
      </c>
      <c r="Q251" s="289"/>
      <c r="T251" s="289"/>
      <c r="U251" s="289"/>
    </row>
    <row r="252" spans="1:21" customHeight="1" ht="15">
      <c r="A252" s="280"/>
      <c r="B252" s="280"/>
      <c r="C252" s="280"/>
      <c r="D252" s="280"/>
      <c r="E252" s="280"/>
      <c r="F252" s="280"/>
      <c r="G252" s="280"/>
      <c r="H252" s="282"/>
      <c r="I252" s="283"/>
      <c r="J252" s="282"/>
      <c r="K252" s="284"/>
      <c r="L252" s="285">
        <f>K252+O252</f>
        <v>0</v>
      </c>
      <c r="M252" s="285"/>
      <c r="N252" s="286">
        <f>(M252-K252)</f>
        <v>0</v>
      </c>
      <c r="O252" s="287"/>
      <c r="P252" s="286">
        <v>0.0</v>
      </c>
      <c r="Q252" s="289"/>
      <c r="T252" s="289"/>
      <c r="U252" s="289"/>
    </row>
    <row r="253" spans="1:21" customHeight="1" ht="15">
      <c r="A253" s="280"/>
      <c r="B253" s="280"/>
      <c r="C253" s="280"/>
      <c r="D253" s="280"/>
      <c r="E253" s="280"/>
      <c r="F253" s="280"/>
      <c r="G253" s="280"/>
      <c r="H253" s="282"/>
      <c r="I253" s="283"/>
      <c r="J253" s="282"/>
      <c r="K253" s="284"/>
      <c r="L253" s="285">
        <f>K253+O253</f>
        <v>0</v>
      </c>
      <c r="M253" s="285"/>
      <c r="N253" s="286">
        <f>(M253-K253)</f>
        <v>0</v>
      </c>
      <c r="O253" s="287"/>
      <c r="P253" s="286">
        <v>0.0</v>
      </c>
      <c r="Q253" s="289"/>
      <c r="T253" s="289"/>
      <c r="U253" s="289"/>
    </row>
    <row r="254" spans="1:21" customHeight="1" ht="15">
      <c r="A254" s="280"/>
      <c r="B254" s="280"/>
      <c r="C254" s="280"/>
      <c r="D254" s="280"/>
      <c r="E254" s="280"/>
      <c r="F254" s="280"/>
      <c r="G254" s="280"/>
      <c r="H254" s="282"/>
      <c r="I254" s="283"/>
      <c r="J254" s="282"/>
      <c r="K254" s="284"/>
      <c r="L254" s="285">
        <f>K254+O254</f>
        <v>0</v>
      </c>
      <c r="M254" s="285"/>
      <c r="N254" s="286">
        <f>(M254-K254)</f>
        <v>0</v>
      </c>
      <c r="O254" s="287"/>
      <c r="P254" s="286">
        <v>0.0</v>
      </c>
      <c r="Q254" s="289"/>
      <c r="T254" s="289"/>
      <c r="U254" s="289"/>
    </row>
    <row r="255" spans="1:21" customHeight="1" ht="15">
      <c r="A255" s="280"/>
      <c r="B255" s="280"/>
      <c r="C255" s="280"/>
      <c r="D255" s="280"/>
      <c r="E255" s="280"/>
      <c r="F255" s="280"/>
      <c r="G255" s="280"/>
      <c r="H255" s="282"/>
      <c r="I255" s="283"/>
      <c r="J255" s="282"/>
      <c r="K255" s="284"/>
      <c r="L255" s="285">
        <f>K255+O255</f>
        <v>0</v>
      </c>
      <c r="M255" s="285"/>
      <c r="N255" s="286">
        <f>(M255-K255)</f>
        <v>0</v>
      </c>
      <c r="O255" s="287"/>
      <c r="P255" s="286">
        <v>0.0</v>
      </c>
      <c r="Q255" s="289"/>
      <c r="T255" s="289"/>
      <c r="U255" s="289"/>
    </row>
    <row r="256" spans="1:21" customHeight="1" ht="15">
      <c r="A256" s="280"/>
      <c r="B256" s="280"/>
      <c r="C256" s="280"/>
      <c r="D256" s="280"/>
      <c r="E256" s="280"/>
      <c r="F256" s="280"/>
      <c r="G256" s="280"/>
      <c r="H256" s="282"/>
      <c r="I256" s="283"/>
      <c r="J256" s="282"/>
      <c r="K256" s="284"/>
      <c r="L256" s="285">
        <f>K256+O256</f>
        <v>0</v>
      </c>
      <c r="M256" s="285"/>
      <c r="N256" s="286">
        <f>(M256-K256)</f>
        <v>0</v>
      </c>
      <c r="O256" s="287"/>
      <c r="P256" s="286">
        <v>0.0</v>
      </c>
      <c r="Q256" s="289"/>
      <c r="T256" s="289"/>
      <c r="U256" s="289"/>
    </row>
    <row r="257" spans="1:21" customHeight="1" ht="15">
      <c r="A257" s="280"/>
      <c r="B257" s="280"/>
      <c r="C257" s="280"/>
      <c r="D257" s="280"/>
      <c r="E257" s="280"/>
      <c r="F257" s="280"/>
      <c r="G257" s="280"/>
      <c r="H257" s="282"/>
      <c r="I257" s="283"/>
      <c r="J257" s="282"/>
      <c r="K257" s="284"/>
      <c r="L257" s="285">
        <f>K257+O257</f>
        <v>0</v>
      </c>
      <c r="M257" s="285"/>
      <c r="N257" s="286">
        <f>(M257-K257)</f>
        <v>0</v>
      </c>
      <c r="O257" s="287"/>
      <c r="P257" s="286">
        <v>0.0</v>
      </c>
      <c r="Q257" s="289"/>
      <c r="T257" s="289"/>
      <c r="U257" s="289"/>
    </row>
    <row r="258" spans="1:21" customHeight="1" ht="15">
      <c r="A258" s="280"/>
      <c r="B258" s="280"/>
      <c r="C258" s="280"/>
      <c r="D258" s="280"/>
      <c r="E258" s="280"/>
      <c r="F258" s="280"/>
      <c r="G258" s="280"/>
      <c r="H258" s="282"/>
      <c r="I258" s="283"/>
      <c r="J258" s="282"/>
      <c r="K258" s="284"/>
      <c r="L258" s="285">
        <f>K258+O258</f>
        <v>0</v>
      </c>
      <c r="M258" s="285"/>
      <c r="N258" s="286">
        <f>(M258-K258)</f>
        <v>0</v>
      </c>
      <c r="O258" s="287"/>
      <c r="P258" s="286">
        <v>0.0</v>
      </c>
      <c r="Q258" s="289"/>
      <c r="T258" s="289"/>
      <c r="U258" s="289"/>
    </row>
    <row r="259" spans="1:21" customHeight="1" ht="15">
      <c r="A259" s="280"/>
      <c r="B259" s="280"/>
      <c r="C259" s="280"/>
      <c r="D259" s="280"/>
      <c r="E259" s="280"/>
      <c r="F259" s="280"/>
      <c r="G259" s="280"/>
      <c r="H259" s="282"/>
      <c r="I259" s="283"/>
      <c r="J259" s="282"/>
      <c r="K259" s="284"/>
      <c r="L259" s="285">
        <f>K259+O259</f>
        <v>0</v>
      </c>
      <c r="M259" s="285"/>
      <c r="N259" s="286">
        <f>(M259-K259)</f>
        <v>0</v>
      </c>
      <c r="O259" s="287"/>
      <c r="P259" s="286">
        <v>0.0</v>
      </c>
      <c r="Q259" s="289"/>
      <c r="T259" s="289"/>
      <c r="U259" s="289"/>
    </row>
    <row r="260" spans="1:21" customHeight="1" ht="15">
      <c r="A260" s="280"/>
      <c r="B260" s="280"/>
      <c r="C260" s="280"/>
      <c r="D260" s="280"/>
      <c r="E260" s="280"/>
      <c r="F260" s="280"/>
      <c r="G260" s="280"/>
      <c r="H260" s="282"/>
      <c r="I260" s="283"/>
      <c r="J260" s="282"/>
      <c r="K260" s="284"/>
      <c r="L260" s="285">
        <f>K260+O260</f>
        <v>0</v>
      </c>
      <c r="M260" s="285"/>
      <c r="N260" s="286">
        <f>(M260-K260)</f>
        <v>0</v>
      </c>
      <c r="O260" s="287"/>
      <c r="P260" s="286">
        <v>0.0</v>
      </c>
      <c r="Q260" s="289"/>
      <c r="T260" s="289"/>
      <c r="U260" s="289"/>
    </row>
    <row r="261" spans="1:21" customHeight="1" ht="15">
      <c r="A261" s="280"/>
      <c r="B261" s="280"/>
      <c r="C261" s="280"/>
      <c r="D261" s="280"/>
      <c r="E261" s="280"/>
      <c r="F261" s="280"/>
      <c r="G261" s="280"/>
      <c r="H261" s="282"/>
      <c r="I261" s="283"/>
      <c r="J261" s="282"/>
      <c r="K261" s="284"/>
      <c r="L261" s="285">
        <f>K261+O261</f>
        <v>0</v>
      </c>
      <c r="M261" s="285"/>
      <c r="N261" s="286">
        <f>(M261-K261)</f>
        <v>0</v>
      </c>
      <c r="O261" s="287"/>
      <c r="P261" s="286">
        <v>0.0</v>
      </c>
      <c r="Q261" s="289"/>
      <c r="T261" s="289"/>
      <c r="U261" s="289"/>
    </row>
    <row r="262" spans="1:21" customHeight="1" ht="15">
      <c r="A262" s="280"/>
      <c r="B262" s="280"/>
      <c r="C262" s="280"/>
      <c r="D262" s="280"/>
      <c r="E262" s="280"/>
      <c r="F262" s="280"/>
      <c r="G262" s="280"/>
      <c r="H262" s="282"/>
      <c r="I262" s="283"/>
      <c r="J262" s="282"/>
      <c r="K262" s="284"/>
      <c r="L262" s="285">
        <f>K262+O262</f>
        <v>0</v>
      </c>
      <c r="M262" s="285"/>
      <c r="N262" s="286">
        <f>(M262-K262)</f>
        <v>0</v>
      </c>
      <c r="O262" s="287"/>
      <c r="P262" s="286">
        <v>0.0</v>
      </c>
      <c r="Q262" s="289"/>
      <c r="T262" s="289"/>
      <c r="U262" s="289"/>
    </row>
    <row r="263" spans="1:21" customHeight="1" ht="15">
      <c r="A263" s="280"/>
      <c r="B263" s="280"/>
      <c r="C263" s="280"/>
      <c r="D263" s="280"/>
      <c r="E263" s="280"/>
      <c r="F263" s="280"/>
      <c r="G263" s="280"/>
      <c r="H263" s="282"/>
      <c r="I263" s="283"/>
      <c r="J263" s="282"/>
      <c r="K263" s="284"/>
      <c r="L263" s="285">
        <f>K263+O263</f>
        <v>0</v>
      </c>
      <c r="M263" s="285"/>
      <c r="N263" s="286">
        <f>(M263-K263)</f>
        <v>0</v>
      </c>
      <c r="O263" s="287"/>
      <c r="P263" s="286">
        <v>0.0</v>
      </c>
      <c r="Q263" s="289"/>
      <c r="T263" s="289"/>
      <c r="U263" s="289"/>
    </row>
    <row r="264" spans="1:21" customHeight="1" ht="15">
      <c r="A264" s="280"/>
      <c r="B264" s="280"/>
      <c r="C264" s="280"/>
      <c r="D264" s="280"/>
      <c r="E264" s="280"/>
      <c r="F264" s="280"/>
      <c r="G264" s="280"/>
      <c r="H264" s="282"/>
      <c r="I264" s="283"/>
      <c r="J264" s="282"/>
      <c r="K264" s="284"/>
      <c r="L264" s="285">
        <f>K264+O264</f>
        <v>0</v>
      </c>
      <c r="M264" s="285"/>
      <c r="N264" s="286">
        <f>(M264-K264)</f>
        <v>0</v>
      </c>
      <c r="O264" s="287"/>
      <c r="P264" s="286">
        <v>0.0</v>
      </c>
      <c r="Q264" s="289"/>
      <c r="T264" s="289"/>
      <c r="U264" s="289"/>
    </row>
    <row r="265" spans="1:21" customHeight="1" ht="15">
      <c r="A265" s="280"/>
      <c r="B265" s="280"/>
      <c r="C265" s="280"/>
      <c r="D265" s="280"/>
      <c r="E265" s="280"/>
      <c r="F265" s="280"/>
      <c r="G265" s="280"/>
      <c r="H265" s="282"/>
      <c r="I265" s="283"/>
      <c r="J265" s="282"/>
      <c r="K265" s="284"/>
      <c r="L265" s="285">
        <f>K265+O265</f>
        <v>0</v>
      </c>
      <c r="M265" s="285"/>
      <c r="N265" s="286">
        <f>(M265-K265)</f>
        <v>0</v>
      </c>
      <c r="O265" s="287"/>
      <c r="P265" s="286">
        <v>0.0</v>
      </c>
      <c r="Q265" s="289"/>
      <c r="T265" s="289"/>
      <c r="U265" s="289"/>
    </row>
    <row r="266" spans="1:21" customHeight="1" ht="15">
      <c r="A266" s="280"/>
      <c r="B266" s="280"/>
      <c r="C266" s="280"/>
      <c r="D266" s="280"/>
      <c r="E266" s="280"/>
      <c r="F266" s="280"/>
      <c r="G266" s="280"/>
      <c r="H266" s="282"/>
      <c r="I266" s="283"/>
      <c r="J266" s="282"/>
      <c r="K266" s="284"/>
      <c r="L266" s="285">
        <f>K266+O266</f>
        <v>0</v>
      </c>
      <c r="M266" s="285"/>
      <c r="N266" s="286">
        <f>(M266-K266)</f>
        <v>0</v>
      </c>
      <c r="O266" s="287"/>
      <c r="P266" s="286">
        <v>0.0</v>
      </c>
      <c r="Q266" s="289"/>
      <c r="T266" s="289"/>
      <c r="U266" s="289"/>
    </row>
    <row r="267" spans="1:21" customHeight="1" ht="15">
      <c r="K267" s="301"/>
      <c r="L267" s="301"/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false" autoFilter="false" pivotTables="true" selectUnlockedCells="true"/>
  <dataValidations count="10">
    <dataValidation type="none" errorStyle="stop" operator="between" allowBlank="1" showDropDown="0" showInputMessage="0" showErrorMessage="1" sqref="F10"/>
    <dataValidation type="none" errorStyle="stop" operator="between" allowBlank="1" showDropDown="0" showInputMessage="0" showErrorMessage="1" sqref="F23"/>
    <dataValidation type="none" errorStyle="stop" operator="between" allowBlank="1" showDropDown="0" showInputMessage="0" showErrorMessage="1" sqref="F26:F29"/>
    <dataValidation type="none" errorStyle="stop" operator="between" allowBlank="1" showDropDown="0" showInputMessage="0" showErrorMessage="1" sqref="F31:F33"/>
    <dataValidation type="none" errorStyle="stop" operator="between" allowBlank="1" showDropDown="0" showInputMessage="0" showErrorMessage="1" sqref="F36"/>
    <dataValidation type="none" errorStyle="stop" operator="between" allowBlank="1" showDropDown="0" showInputMessage="0" showErrorMessage="1" sqref="F41"/>
    <dataValidation type="none" errorStyle="stop" operator="between" allowBlank="1" showDropDown="0" showInputMessage="0" showErrorMessage="1" sqref="F46:F47"/>
    <dataValidation type="none" errorStyle="stop" operator="between" allowBlank="1" showDropDown="0" showInputMessage="0" showErrorMessage="1" sqref="F75:F76"/>
    <dataValidation type="none" errorStyle="stop" operator="between" allowBlank="1" showDropDown="0" showInputMessage="0" showErrorMessage="1" sqref="N6"/>
    <dataValidation type="none" errorStyle="stop" operator="between" allowBlank="1" showDropDown="0" showInputMessage="0" showErrorMessage="1" sqref="P6"/>
  </dataValidations>
  <printOptions gridLines="false" gridLinesSet="true"/>
  <pageMargins left="0.23622047244094" right="0" top="0.39370078740157" bottom="0.39370078740157" header="0.51181102362205" footer="0.51181102362205"/>
  <pageSetup paperSize="9" orientation="landscape" scale="54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10"/>
  <sheetViews>
    <sheetView tabSelected="0" workbookViewId="0" showGridLines="true" showRowColHeaders="1">
      <selection activeCell="B16" sqref="B16"/>
    </sheetView>
  </sheetViews>
  <sheetFormatPr customHeight="true" defaultRowHeight="15" defaultColWidth="8.85546875" outlineLevelRow="0" outlineLevelCol="0"/>
  <cols>
    <col min="1" max="1" width="21.140625" customWidth="true" style="73"/>
    <col min="2" max="2" width="13.85546875" customWidth="true" style="73"/>
    <col min="3" max="3" width="10.42578125" customWidth="true" style="73"/>
    <col min="4" max="4" width="10.140625" customWidth="true" style="73"/>
    <col min="5" max="5" width="27.28515625" customWidth="true" style="73"/>
    <col min="6" max="6" width="10" customWidth="true" style="73"/>
    <col min="7" max="7" width="33.28515625" customWidth="true" style="73"/>
    <col min="8" max="8" width="39.42578125" customWidth="true" style="73"/>
    <col min="9" max="9" width="39.42578125" customWidth="true" style="73"/>
    <col min="10" max="10" width="33.85546875" customWidth="true" style="73"/>
    <col min="11" max="11" width="45.140625" customWidth="true" style="73"/>
    <col min="12" max="12" width="44.140625" customWidth="true" style="73"/>
    <col min="13" max="13" width="40.28515625" customWidth="true" style="73"/>
    <col min="14" max="14" width="8.5703125" customWidth="true" style="73"/>
    <col min="15" max="15" width="11.7109375" customWidth="true" style="73"/>
  </cols>
  <sheetData>
    <row r="1" spans="1:15" customHeight="1" ht="15">
      <c r="A1" s="253" t="s">
        <v>3339</v>
      </c>
      <c r="B1" s="253" t="s">
        <v>2629</v>
      </c>
      <c r="E1" s="63" t="s">
        <v>3476</v>
      </c>
    </row>
    <row r="2" spans="1:15" customHeight="1" ht="15">
      <c r="A2" s="253" t="s">
        <v>3340</v>
      </c>
      <c r="B2" s="253" t="s">
        <v>2629</v>
      </c>
    </row>
    <row r="3" spans="1:15" customHeight="1" ht="15">
      <c r="A3" s="253" t="s">
        <v>3341</v>
      </c>
      <c r="B3" s="253" t="s">
        <v>2629</v>
      </c>
    </row>
    <row r="4" spans="1:15" customHeight="1" ht="15">
      <c r="A4" s="253" t="s">
        <v>3350</v>
      </c>
      <c r="B4" s="253" t="s">
        <v>2629</v>
      </c>
    </row>
    <row r="5" spans="1:15" customHeight="1" ht="15">
      <c r="A5"/>
      <c r="B5"/>
      <c r="C5"/>
      <c r="D5"/>
      <c r="E5"/>
    </row>
    <row r="6" spans="1:15" customHeight="1" ht="15" s="74" customFormat="1">
      <c r="A6" s="254"/>
      <c r="B6" s="255"/>
      <c r="C6" s="254" t="s">
        <v>3477</v>
      </c>
      <c r="D6" s="255"/>
      <c r="E6" s="255"/>
      <c r="F6" s="256"/>
    </row>
    <row r="7" spans="1:15" customHeight="1" ht="75" s="193" customFormat="1">
      <c r="A7" s="261" t="s">
        <v>122</v>
      </c>
      <c r="B7" s="261" t="s">
        <v>3338</v>
      </c>
      <c r="C7" s="261" t="s">
        <v>3478</v>
      </c>
      <c r="D7" s="262" t="s">
        <v>3479</v>
      </c>
      <c r="E7" s="262" t="s">
        <v>3480</v>
      </c>
      <c r="F7" s="263" t="s">
        <v>3481</v>
      </c>
    </row>
    <row r="8" spans="1:15" customHeight="1" ht="15">
      <c r="A8" s="257" t="s">
        <v>2651</v>
      </c>
      <c r="B8" s="293"/>
      <c r="C8" s="258"/>
      <c r="D8" s="259"/>
      <c r="E8" s="259"/>
      <c r="F8" s="260"/>
    </row>
    <row r="9" spans="1:15" customHeight="1" ht="15">
      <c r="A9"/>
      <c r="B9"/>
      <c r="C9"/>
      <c r="D9"/>
      <c r="E9"/>
      <c r="F9"/>
    </row>
    <row r="10" spans="1:15" customHeight="1" ht="15">
      <c r="A10"/>
      <c r="B10"/>
      <c r="C10"/>
      <c r="D10"/>
      <c r="E10"/>
      <c r="F10"/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" right="0.7" top="0.75" bottom="0.75" header="0.51180555555556" footer="0.51180555555556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85"/>
  <sheetViews>
    <sheetView tabSelected="0" workbookViewId="0" showGridLines="true" showRowColHeaders="1">
      <selection activeCell="C59" sqref="C59:C61"/>
    </sheetView>
  </sheetViews>
  <sheetFormatPr customHeight="true" defaultRowHeight="15" defaultColWidth="8.85546875" outlineLevelRow="0" outlineLevelCol="0"/>
  <cols>
    <col min="1" max="1" width="28" customWidth="true" style="73"/>
    <col min="2" max="2" width="42.140625" customWidth="true" style="73"/>
    <col min="3" max="3" width="9.42578125" customWidth="true" style="73"/>
    <col min="4" max="4" width="10.140625" customWidth="true" style="73"/>
    <col min="5" max="5" width="27.5703125" customWidth="true" style="73"/>
    <col min="6" max="6" width="11.140625" customWidth="true" style="73"/>
    <col min="7" max="7" width="39.42578125" customWidth="true" style="73"/>
    <col min="8" max="8" width="39.42578125" customWidth="true" style="73"/>
    <col min="9" max="9" width="39.42578125" customWidth="true" style="73"/>
    <col min="10" max="10" width="33.85546875" customWidth="true" style="73"/>
    <col min="11" max="11" width="45.140625" customWidth="true" style="73"/>
    <col min="12" max="12" width="44.140625" customWidth="true" style="73"/>
    <col min="13" max="13" width="40.28515625" customWidth="true" style="73"/>
    <col min="14" max="14" width="8.5703125" customWidth="true" style="73"/>
    <col min="15" max="15" width="11.7109375" customWidth="true" style="73"/>
  </cols>
  <sheetData>
    <row r="1" spans="1:15" customHeight="1" ht="15">
      <c r="A1" s="253" t="s">
        <v>3339</v>
      </c>
      <c r="B1" s="253" t="s">
        <v>2629</v>
      </c>
      <c r="E1" s="63" t="s">
        <v>3482</v>
      </c>
    </row>
    <row r="2" spans="1:15" customHeight="1" ht="15">
      <c r="A2" s="253" t="s">
        <v>3340</v>
      </c>
      <c r="B2" s="253" t="s">
        <v>2629</v>
      </c>
    </row>
    <row r="3" spans="1:15" customHeight="1" ht="15">
      <c r="A3" s="253" t="s">
        <v>3341</v>
      </c>
      <c r="B3" s="253" t="s">
        <v>2629</v>
      </c>
    </row>
    <row r="5" spans="1:15" customHeight="1" ht="15">
      <c r="A5" s="254"/>
      <c r="B5" s="255"/>
      <c r="C5" s="254" t="s">
        <v>3477</v>
      </c>
      <c r="D5" s="255"/>
      <c r="E5" s="255"/>
      <c r="F5" s="256"/>
    </row>
    <row r="6" spans="1:15" customHeight="1" ht="75" s="193" customFormat="1">
      <c r="A6" s="261" t="s">
        <v>122</v>
      </c>
      <c r="B6" s="261" t="s">
        <v>3338</v>
      </c>
      <c r="C6" s="261" t="s">
        <v>3478</v>
      </c>
      <c r="D6" s="262" t="s">
        <v>3479</v>
      </c>
      <c r="E6" s="262" t="s">
        <v>3480</v>
      </c>
      <c r="F6" s="263" t="s">
        <v>3481</v>
      </c>
    </row>
    <row r="7" spans="1:15" customHeight="1" ht="15">
      <c r="A7" s="254" t="s">
        <v>176</v>
      </c>
      <c r="B7" s="254" t="s">
        <v>256</v>
      </c>
      <c r="C7" s="271">
        <v>1</v>
      </c>
      <c r="D7" s="272">
        <v>42</v>
      </c>
      <c r="E7" s="272">
        <v>-45709</v>
      </c>
      <c r="F7" s="273">
        <v>45751</v>
      </c>
    </row>
    <row r="8" spans="1:15" customHeight="1" ht="15">
      <c r="A8" s="294"/>
      <c r="B8" s="274" t="s">
        <v>255</v>
      </c>
      <c r="C8" s="275">
        <v>6</v>
      </c>
      <c r="D8" s="230">
        <v>504</v>
      </c>
      <c r="E8" s="230">
        <v>-228379</v>
      </c>
      <c r="F8" s="276">
        <v>228883</v>
      </c>
    </row>
    <row r="9" spans="1:15" customHeight="1" ht="15">
      <c r="A9" s="294"/>
      <c r="B9" s="274" t="s">
        <v>254</v>
      </c>
      <c r="C9" s="275">
        <v>5</v>
      </c>
      <c r="D9" s="230">
        <v>462</v>
      </c>
      <c r="E9" s="230">
        <v>-228389</v>
      </c>
      <c r="F9" s="276">
        <v>228851</v>
      </c>
    </row>
    <row r="10" spans="1:15" customHeight="1" ht="15">
      <c r="A10" s="294"/>
      <c r="B10" s="274" t="s">
        <v>1253</v>
      </c>
      <c r="C10" s="275">
        <v>1</v>
      </c>
      <c r="D10" s="230">
        <v>84</v>
      </c>
      <c r="E10" s="230">
        <v>-45671</v>
      </c>
      <c r="F10" s="276">
        <v>45755</v>
      </c>
    </row>
    <row r="11" spans="1:15" customHeight="1" ht="15">
      <c r="A11" s="254" t="s">
        <v>169</v>
      </c>
      <c r="B11" s="254" t="s">
        <v>3483</v>
      </c>
      <c r="C11" s="271">
        <v>1</v>
      </c>
      <c r="D11" s="272">
        <v>84</v>
      </c>
      <c r="E11" s="272">
        <v>-45677</v>
      </c>
      <c r="F11" s="273">
        <v>45761</v>
      </c>
    </row>
    <row r="12" spans="1:15" customHeight="1" ht="15">
      <c r="A12" s="294"/>
      <c r="B12" s="274" t="s">
        <v>1583</v>
      </c>
      <c r="C12" s="275">
        <v>1</v>
      </c>
      <c r="D12" s="230">
        <v>42</v>
      </c>
      <c r="E12" s="230">
        <v>-45709</v>
      </c>
      <c r="F12" s="276">
        <v>45751</v>
      </c>
    </row>
    <row r="13" spans="1:15" customHeight="1" ht="15">
      <c r="A13" s="254" t="s">
        <v>414</v>
      </c>
      <c r="B13" s="254" t="s">
        <v>417</v>
      </c>
      <c r="C13" s="271">
        <v>1</v>
      </c>
      <c r="D13" s="272">
        <v>42</v>
      </c>
      <c r="E13" s="272">
        <v>-45680</v>
      </c>
      <c r="F13" s="273">
        <v>45722</v>
      </c>
    </row>
    <row r="14" spans="1:15" customHeight="1" ht="15">
      <c r="A14" s="294"/>
      <c r="B14" s="274" t="s">
        <v>3484</v>
      </c>
      <c r="C14" s="275">
        <v>1</v>
      </c>
      <c r="D14" s="230">
        <v>42</v>
      </c>
      <c r="E14" s="230">
        <v>-45680</v>
      </c>
      <c r="F14" s="276">
        <v>45722</v>
      </c>
    </row>
    <row r="15" spans="1:15" customHeight="1" ht="15">
      <c r="A15" s="254" t="s">
        <v>182</v>
      </c>
      <c r="B15" s="254" t="s">
        <v>3485</v>
      </c>
      <c r="C15" s="271">
        <v>1</v>
      </c>
      <c r="D15" s="272">
        <v>84</v>
      </c>
      <c r="E15" s="272">
        <v>-45671</v>
      </c>
      <c r="F15" s="273">
        <v>45755</v>
      </c>
    </row>
    <row r="16" spans="1:15" customHeight="1" ht="15">
      <c r="A16" s="294"/>
      <c r="B16" s="274" t="s">
        <v>3486</v>
      </c>
      <c r="C16" s="275">
        <v>1</v>
      </c>
      <c r="D16" s="230">
        <v>84</v>
      </c>
      <c r="E16" s="230">
        <v>-45671</v>
      </c>
      <c r="F16" s="276">
        <v>45755</v>
      </c>
    </row>
    <row r="17" spans="1:15" customHeight="1" ht="15">
      <c r="A17" s="294"/>
      <c r="B17" s="274" t="s">
        <v>1270</v>
      </c>
      <c r="C17" s="275">
        <v>1</v>
      </c>
      <c r="D17" s="230">
        <v>42</v>
      </c>
      <c r="E17" s="230">
        <v>48</v>
      </c>
      <c r="F17" s="276">
        <v>-6</v>
      </c>
    </row>
    <row r="18" spans="1:15" customHeight="1" ht="15">
      <c r="A18" s="294"/>
      <c r="B18" s="274" t="s">
        <v>2303</v>
      </c>
      <c r="C18" s="275">
        <v>1</v>
      </c>
      <c r="D18" s="230">
        <v>42</v>
      </c>
      <c r="E18" s="230">
        <v>47</v>
      </c>
      <c r="F18" s="276">
        <v>-5</v>
      </c>
    </row>
    <row r="19" spans="1:15" customHeight="1" ht="15">
      <c r="A19" s="294"/>
      <c r="B19" s="274" t="s">
        <v>3487</v>
      </c>
      <c r="C19" s="275">
        <v>3</v>
      </c>
      <c r="D19" s="230">
        <v>252</v>
      </c>
      <c r="E19" s="230">
        <v>-137085</v>
      </c>
      <c r="F19" s="276">
        <v>137337</v>
      </c>
    </row>
    <row r="20" spans="1:15" customHeight="1" ht="15">
      <c r="A20" s="294"/>
      <c r="B20" s="274" t="s">
        <v>3488</v>
      </c>
      <c r="C20" s="275">
        <v>2</v>
      </c>
      <c r="D20" s="230">
        <v>126</v>
      </c>
      <c r="E20" s="230">
        <v>-45674</v>
      </c>
      <c r="F20" s="276">
        <v>45800</v>
      </c>
    </row>
    <row r="21" spans="1:15" customHeight="1" ht="15">
      <c r="A21" s="294"/>
      <c r="B21" s="274" t="s">
        <v>3489</v>
      </c>
      <c r="C21" s="275">
        <v>1</v>
      </c>
      <c r="D21" s="230">
        <v>42</v>
      </c>
      <c r="E21" s="230">
        <v>-45709</v>
      </c>
      <c r="F21" s="276">
        <v>45751</v>
      </c>
    </row>
    <row r="22" spans="1:15" customHeight="1" ht="15">
      <c r="A22" s="254" t="s">
        <v>280</v>
      </c>
      <c r="B22" s="254" t="s">
        <v>359</v>
      </c>
      <c r="C22" s="271">
        <v>3</v>
      </c>
      <c r="D22" s="272">
        <v>105</v>
      </c>
      <c r="E22" s="272">
        <v>-91396</v>
      </c>
      <c r="F22" s="273">
        <v>91501</v>
      </c>
    </row>
    <row r="23" spans="1:15" customHeight="1" ht="15">
      <c r="A23" s="294"/>
      <c r="B23" s="274" t="s">
        <v>444</v>
      </c>
      <c r="C23" s="275">
        <v>1</v>
      </c>
      <c r="D23" s="230">
        <v>35</v>
      </c>
      <c r="E23" s="230">
        <v>-45705</v>
      </c>
      <c r="F23" s="276">
        <v>45740</v>
      </c>
    </row>
    <row r="24" spans="1:15" customHeight="1" ht="15">
      <c r="A24" s="254" t="s">
        <v>226</v>
      </c>
      <c r="B24" s="254" t="s">
        <v>3490</v>
      </c>
      <c r="C24" s="271">
        <v>1</v>
      </c>
      <c r="D24" s="272">
        <v>42</v>
      </c>
      <c r="E24" s="272">
        <v>-45671</v>
      </c>
      <c r="F24" s="273">
        <v>45713</v>
      </c>
    </row>
    <row r="25" spans="1:15" customHeight="1" ht="15">
      <c r="A25" s="294"/>
      <c r="B25" s="274" t="s">
        <v>3491</v>
      </c>
      <c r="C25" s="275">
        <v>1</v>
      </c>
      <c r="D25" s="230">
        <v>42</v>
      </c>
      <c r="E25" s="230">
        <v>25</v>
      </c>
      <c r="F25" s="276">
        <v>17</v>
      </c>
    </row>
    <row r="26" spans="1:15" customHeight="1" ht="15">
      <c r="A26" s="294"/>
      <c r="B26" s="274" t="s">
        <v>3492</v>
      </c>
      <c r="C26" s="275">
        <v>1</v>
      </c>
      <c r="D26" s="230">
        <v>42</v>
      </c>
      <c r="E26" s="230">
        <v>-45705</v>
      </c>
      <c r="F26" s="276">
        <v>45747</v>
      </c>
    </row>
    <row r="27" spans="1:15" customHeight="1" ht="15">
      <c r="A27" s="294"/>
      <c r="B27" s="274" t="s">
        <v>335</v>
      </c>
      <c r="C27" s="275">
        <v>1</v>
      </c>
      <c r="D27" s="230">
        <v>42</v>
      </c>
      <c r="E27" s="230">
        <v>9</v>
      </c>
      <c r="F27" s="276">
        <v>33</v>
      </c>
    </row>
    <row r="28" spans="1:15" customHeight="1" ht="15">
      <c r="A28" s="254" t="s">
        <v>402</v>
      </c>
      <c r="B28" s="254" t="s">
        <v>3493</v>
      </c>
      <c r="C28" s="271">
        <v>1</v>
      </c>
      <c r="D28" s="272">
        <v>42</v>
      </c>
      <c r="E28" s="272">
        <v>55</v>
      </c>
      <c r="F28" s="273">
        <v>-13</v>
      </c>
    </row>
    <row r="29" spans="1:15" customHeight="1" ht="15">
      <c r="A29" s="254" t="s">
        <v>156</v>
      </c>
      <c r="B29" s="254" t="s">
        <v>161</v>
      </c>
      <c r="C29" s="271">
        <v>1</v>
      </c>
      <c r="D29" s="272">
        <v>42</v>
      </c>
      <c r="E29" s="272">
        <v>-45709</v>
      </c>
      <c r="F29" s="273">
        <v>45751</v>
      </c>
    </row>
    <row r="30" spans="1:15" customHeight="1" ht="15">
      <c r="A30" s="254" t="s">
        <v>135</v>
      </c>
      <c r="B30" s="254" t="s">
        <v>3387</v>
      </c>
      <c r="C30" s="271">
        <v>1</v>
      </c>
      <c r="D30" s="272">
        <v>35</v>
      </c>
      <c r="E30" s="272">
        <v>-45677</v>
      </c>
      <c r="F30" s="273">
        <v>45712</v>
      </c>
    </row>
    <row r="31" spans="1:15" customHeight="1" ht="15">
      <c r="A31" s="254" t="s">
        <v>300</v>
      </c>
      <c r="B31" s="254" t="s">
        <v>304</v>
      </c>
      <c r="C31" s="271">
        <v>1</v>
      </c>
      <c r="D31" s="272">
        <v>42</v>
      </c>
      <c r="E31" s="272">
        <v>-45677</v>
      </c>
      <c r="F31" s="273">
        <v>45719</v>
      </c>
    </row>
    <row r="32" spans="1:15" customHeight="1" ht="15">
      <c r="A32" s="294"/>
      <c r="B32" s="274" t="s">
        <v>431</v>
      </c>
      <c r="C32" s="275">
        <v>1</v>
      </c>
      <c r="D32" s="230">
        <v>42</v>
      </c>
      <c r="E32" s="230">
        <v>53</v>
      </c>
      <c r="F32" s="276">
        <v>-11</v>
      </c>
    </row>
    <row r="33" spans="1:15" customHeight="1" ht="15">
      <c r="A33" s="254" t="s">
        <v>509</v>
      </c>
      <c r="B33" s="254" t="s">
        <v>3398</v>
      </c>
      <c r="C33" s="271">
        <v>1</v>
      </c>
      <c r="D33" s="272">
        <v>84</v>
      </c>
      <c r="E33" s="272">
        <v>-45671</v>
      </c>
      <c r="F33" s="273">
        <v>45755</v>
      </c>
    </row>
    <row r="34" spans="1:15" customHeight="1" ht="15">
      <c r="A34" s="254" t="s">
        <v>3494</v>
      </c>
      <c r="B34" s="254" t="s">
        <v>3398</v>
      </c>
      <c r="C34" s="271">
        <v>1</v>
      </c>
      <c r="D34" s="272">
        <v>84</v>
      </c>
      <c r="E34" s="272">
        <v>17</v>
      </c>
      <c r="F34" s="273">
        <v>67</v>
      </c>
    </row>
    <row r="35" spans="1:15" customHeight="1" ht="15">
      <c r="A35" s="294"/>
      <c r="B35" s="274" t="s">
        <v>3495</v>
      </c>
      <c r="C35" s="275">
        <v>1</v>
      </c>
      <c r="D35" s="230">
        <v>84</v>
      </c>
      <c r="E35" s="230">
        <v>-45709</v>
      </c>
      <c r="F35" s="276">
        <v>45793</v>
      </c>
    </row>
    <row r="36" spans="1:15" customHeight="1" ht="15">
      <c r="A36" s="294"/>
      <c r="B36" s="274" t="s">
        <v>3496</v>
      </c>
      <c r="C36" s="275">
        <v>1</v>
      </c>
      <c r="D36" s="230">
        <v>84</v>
      </c>
      <c r="E36" s="230">
        <v>-45709</v>
      </c>
      <c r="F36" s="276">
        <v>45793</v>
      </c>
    </row>
    <row r="37" spans="1:15" customHeight="1" ht="15">
      <c r="A37" s="294"/>
      <c r="B37" s="274" t="s">
        <v>3497</v>
      </c>
      <c r="C37" s="275">
        <v>1</v>
      </c>
      <c r="D37" s="230">
        <v>84</v>
      </c>
      <c r="E37" s="230">
        <v>-45709</v>
      </c>
      <c r="F37" s="276">
        <v>45793</v>
      </c>
    </row>
    <row r="38" spans="1:15" customHeight="1" ht="15">
      <c r="A38" s="254" t="s">
        <v>319</v>
      </c>
      <c r="B38" s="254" t="s">
        <v>3498</v>
      </c>
      <c r="C38" s="271">
        <v>1</v>
      </c>
      <c r="D38" s="272">
        <v>42</v>
      </c>
      <c r="E38" s="272">
        <v>-45691</v>
      </c>
      <c r="F38" s="273">
        <v>45733</v>
      </c>
    </row>
    <row r="39" spans="1:15" customHeight="1" ht="15">
      <c r="A39" s="254" t="s">
        <v>314</v>
      </c>
      <c r="B39" s="254" t="s">
        <v>329</v>
      </c>
      <c r="C39" s="271">
        <v>1</v>
      </c>
      <c r="D39" s="272">
        <v>42</v>
      </c>
      <c r="E39" s="272">
        <v>-45712</v>
      </c>
      <c r="F39" s="273">
        <v>45754</v>
      </c>
    </row>
    <row r="40" spans="1:15" customHeight="1" ht="15">
      <c r="A40" s="294"/>
      <c r="B40" s="274" t="s">
        <v>3499</v>
      </c>
      <c r="C40" s="275">
        <v>1</v>
      </c>
      <c r="D40" s="230">
        <v>42</v>
      </c>
      <c r="E40" s="230">
        <v>-45684</v>
      </c>
      <c r="F40" s="276">
        <v>45726</v>
      </c>
    </row>
    <row r="41" spans="1:15" customHeight="1" ht="15">
      <c r="A41" s="257" t="s">
        <v>2651</v>
      </c>
      <c r="B41" s="293"/>
      <c r="C41" s="258">
        <v>48</v>
      </c>
      <c r="D41" s="259">
        <v>3031</v>
      </c>
      <c r="E41" s="259">
        <v>-1735875</v>
      </c>
      <c r="F41" s="260">
        <v>1738906</v>
      </c>
    </row>
    <row r="42" spans="1:15" customHeight="1" ht="15">
      <c r="A42"/>
      <c r="B42"/>
      <c r="C42"/>
      <c r="D42"/>
      <c r="E42"/>
      <c r="F42"/>
    </row>
    <row r="43" spans="1:15" customHeight="1" ht="15">
      <c r="A43"/>
      <c r="B43"/>
      <c r="C43"/>
      <c r="D43"/>
      <c r="E43"/>
      <c r="F43"/>
    </row>
    <row r="44" spans="1:15" customHeight="1" ht="15">
      <c r="A44"/>
      <c r="B44"/>
      <c r="C44"/>
      <c r="D44"/>
      <c r="E44"/>
      <c r="F44"/>
    </row>
    <row r="45" spans="1:15" customHeight="1" ht="15">
      <c r="A45"/>
      <c r="B45"/>
      <c r="C45"/>
      <c r="D45"/>
      <c r="E45"/>
      <c r="F45"/>
    </row>
    <row r="46" spans="1:15" customHeight="1" ht="15">
      <c r="A46"/>
      <c r="B46"/>
      <c r="C46"/>
      <c r="D46"/>
      <c r="E46"/>
      <c r="F46"/>
    </row>
    <row r="47" spans="1:15" customHeight="1" ht="15">
      <c r="A47"/>
      <c r="B47"/>
      <c r="C47"/>
      <c r="D47"/>
      <c r="E47"/>
      <c r="F47"/>
    </row>
    <row r="48" spans="1:15" customHeight="1" ht="15">
      <c r="A48"/>
      <c r="B48"/>
      <c r="C48"/>
      <c r="D48"/>
      <c r="E48"/>
      <c r="F48"/>
    </row>
    <row r="49" spans="1:15" customHeight="1" ht="15">
      <c r="A49"/>
      <c r="B49"/>
      <c r="C49"/>
      <c r="D49"/>
      <c r="E49"/>
      <c r="F49"/>
    </row>
    <row r="50" spans="1:15" customHeight="1" ht="15">
      <c r="A50"/>
      <c r="B50"/>
      <c r="C50"/>
      <c r="D50"/>
      <c r="E50"/>
      <c r="F50"/>
    </row>
    <row r="51" spans="1:15" customHeight="1" ht="15">
      <c r="A51"/>
      <c r="B51"/>
      <c r="C51"/>
      <c r="D51"/>
      <c r="E51"/>
      <c r="F51"/>
    </row>
    <row r="52" spans="1:15" customHeight="1" ht="15">
      <c r="A52"/>
      <c r="B52"/>
      <c r="C52"/>
      <c r="D52"/>
      <c r="E52"/>
      <c r="F52"/>
    </row>
    <row r="53" spans="1:15" customHeight="1" ht="15">
      <c r="A53"/>
      <c r="B53"/>
      <c r="C53"/>
      <c r="D53"/>
      <c r="E53"/>
      <c r="F53"/>
    </row>
    <row r="54" spans="1:15" customHeight="1" ht="15">
      <c r="A54"/>
      <c r="B54"/>
      <c r="C54"/>
      <c r="D54"/>
      <c r="E54"/>
      <c r="F54"/>
    </row>
    <row r="55" spans="1:15" customHeight="1" ht="15">
      <c r="A55"/>
      <c r="B55"/>
      <c r="C55"/>
      <c r="D55"/>
      <c r="E55"/>
      <c r="F55"/>
    </row>
    <row r="56" spans="1:15" customHeight="1" ht="15">
      <c r="A56"/>
      <c r="B56"/>
      <c r="C56"/>
      <c r="D56"/>
      <c r="E56"/>
      <c r="F56"/>
    </row>
    <row r="57" spans="1:15" customHeight="1" ht="15">
      <c r="A57"/>
      <c r="B57"/>
      <c r="C57"/>
      <c r="D57"/>
      <c r="E57"/>
      <c r="F57"/>
    </row>
    <row r="58" spans="1:15" customHeight="1" ht="15">
      <c r="A58"/>
      <c r="B58"/>
      <c r="C58"/>
      <c r="D58"/>
      <c r="E58"/>
      <c r="F58"/>
    </row>
    <row r="59" spans="1:15" customHeight="1" ht="15">
      <c r="A59"/>
      <c r="B59"/>
      <c r="C59"/>
      <c r="D59"/>
      <c r="E59"/>
      <c r="F59"/>
    </row>
    <row r="60" spans="1:15" customHeight="1" ht="15">
      <c r="A60"/>
      <c r="B60"/>
      <c r="C60"/>
      <c r="D60"/>
      <c r="E60"/>
      <c r="F60"/>
    </row>
    <row r="61" spans="1:15" customHeight="1" ht="15">
      <c r="A61"/>
      <c r="B61"/>
      <c r="C61"/>
      <c r="D61"/>
      <c r="E61"/>
      <c r="F61"/>
    </row>
    <row r="62" spans="1:15" customHeight="1" ht="15">
      <c r="A62"/>
      <c r="B62"/>
      <c r="C62"/>
      <c r="D62"/>
      <c r="E62"/>
      <c r="F62"/>
    </row>
    <row r="63" spans="1:15" customHeight="1" ht="15">
      <c r="A63"/>
      <c r="B63"/>
      <c r="C63"/>
      <c r="D63"/>
      <c r="E63"/>
      <c r="F63"/>
    </row>
    <row r="64" spans="1:15" customHeight="1" ht="15">
      <c r="A64"/>
      <c r="B64"/>
      <c r="C64"/>
      <c r="D64"/>
      <c r="E64"/>
      <c r="F64"/>
    </row>
    <row r="65" spans="1:15" customHeight="1" ht="15">
      <c r="A65"/>
      <c r="B65"/>
      <c r="C65"/>
      <c r="D65"/>
      <c r="E65"/>
      <c r="F65"/>
    </row>
    <row r="66" spans="1:15" customHeight="1" ht="15">
      <c r="A66"/>
      <c r="B66"/>
      <c r="C66"/>
      <c r="D66"/>
      <c r="E66"/>
      <c r="F66"/>
    </row>
    <row r="67" spans="1:15" customHeight="1" ht="15">
      <c r="A67"/>
      <c r="B67"/>
      <c r="C67"/>
      <c r="D67"/>
      <c r="E67"/>
      <c r="F67"/>
    </row>
    <row r="68" spans="1:15" customHeight="1" ht="15">
      <c r="A68"/>
      <c r="B68"/>
      <c r="C68"/>
      <c r="D68"/>
      <c r="E68"/>
      <c r="F68"/>
    </row>
    <row r="69" spans="1:15" customHeight="1" ht="15">
      <c r="A69"/>
      <c r="B69"/>
      <c r="C69"/>
      <c r="D69"/>
      <c r="E69"/>
      <c r="F69"/>
    </row>
    <row r="70" spans="1:15" customHeight="1" ht="15">
      <c r="A70"/>
      <c r="B70"/>
      <c r="C70"/>
      <c r="D70"/>
      <c r="E70"/>
      <c r="F70"/>
    </row>
    <row r="71" spans="1:15" customHeight="1" ht="15">
      <c r="A71"/>
      <c r="B71"/>
      <c r="C71"/>
      <c r="D71"/>
      <c r="E71"/>
      <c r="F71"/>
    </row>
    <row r="72" spans="1:15" customHeight="1" ht="15">
      <c r="A72"/>
      <c r="B72"/>
      <c r="C72"/>
      <c r="D72"/>
      <c r="E72"/>
      <c r="F72"/>
    </row>
    <row r="73" spans="1:15" customHeight="1" ht="15">
      <c r="A73"/>
      <c r="B73"/>
      <c r="C73"/>
      <c r="D73"/>
      <c r="E73"/>
      <c r="F73"/>
    </row>
    <row r="74" spans="1:15" customHeight="1" ht="15">
      <c r="A74"/>
      <c r="B74"/>
      <c r="C74"/>
      <c r="D74"/>
      <c r="E74"/>
      <c r="F74"/>
    </row>
    <row r="75" spans="1:15" customHeight="1" ht="15">
      <c r="A75"/>
      <c r="B75"/>
      <c r="C75"/>
      <c r="D75"/>
      <c r="E75"/>
      <c r="F75"/>
    </row>
    <row r="76" spans="1:15" customHeight="1" ht="15">
      <c r="A76"/>
      <c r="B76"/>
      <c r="C76"/>
      <c r="D76"/>
      <c r="E76"/>
      <c r="F76"/>
    </row>
    <row r="77" spans="1:15" customHeight="1" ht="15">
      <c r="A77"/>
      <c r="B77"/>
      <c r="C77"/>
      <c r="D77"/>
      <c r="E77"/>
      <c r="F77"/>
    </row>
    <row r="78" spans="1:15" customHeight="1" ht="15">
      <c r="A78"/>
      <c r="B78"/>
      <c r="C78"/>
      <c r="D78"/>
      <c r="E78"/>
      <c r="F78"/>
    </row>
    <row r="79" spans="1:15" customHeight="1" ht="15">
      <c r="A79"/>
      <c r="B79"/>
      <c r="C79"/>
      <c r="D79"/>
      <c r="E79"/>
      <c r="F79"/>
    </row>
    <row r="80" spans="1:15" customHeight="1" ht="15">
      <c r="A80"/>
      <c r="B80"/>
      <c r="C80"/>
      <c r="D80"/>
      <c r="E80"/>
      <c r="F80"/>
    </row>
    <row r="81" spans="1:15" customHeight="1" ht="15">
      <c r="A81"/>
      <c r="B81"/>
      <c r="C81"/>
      <c r="D81"/>
      <c r="E81"/>
      <c r="F81"/>
    </row>
    <row r="82" spans="1:15" customHeight="1" ht="15">
      <c r="A82"/>
      <c r="B82"/>
      <c r="C82"/>
      <c r="D82"/>
      <c r="E82"/>
      <c r="F82"/>
    </row>
    <row r="83" spans="1:15" customHeight="1" ht="15">
      <c r="A83"/>
      <c r="B83"/>
      <c r="C83"/>
      <c r="D83"/>
      <c r="E83"/>
      <c r="F83"/>
    </row>
    <row r="84" spans="1:15" customHeight="1" ht="15">
      <c r="A84"/>
      <c r="B84"/>
      <c r="C84"/>
      <c r="D84"/>
      <c r="E84"/>
      <c r="F84"/>
    </row>
    <row r="85" spans="1:15" customHeight="1" ht="15">
      <c r="A85"/>
      <c r="B85"/>
      <c r="C85"/>
      <c r="D85"/>
      <c r="E85"/>
      <c r="F85"/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" right="0.7" top="0.75" bottom="0.75" header="0.51180555555556" footer="0.51180555555556"/>
  <pageSetup paperSize="9" orientation="portrait" scale="83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Инструкция</vt:lpstr>
      <vt:lpstr>Справочник</vt:lpstr>
      <vt:lpstr>Вып_списки</vt:lpstr>
      <vt:lpstr>Список сотрудников</vt:lpstr>
      <vt:lpstr>Реальные причины увольнения</vt:lpstr>
      <vt:lpstr>Расшифровка статей увольнения</vt:lpstr>
      <vt:lpstr>Включаем не включаем</vt:lpstr>
      <vt:lpstr>Свод по списку</vt:lpstr>
      <vt:lpstr>Список уволенных</vt:lpstr>
      <vt:lpstr>Свод по уволенным</vt:lpstr>
      <vt:lpstr>Текучесть</vt:lpstr>
      <vt:lpstr>Обучение</vt:lpstr>
      <vt:lpstr>Нетрудоспособность </vt:lpstr>
      <vt:lpstr>Пенсия</vt:lpstr>
      <vt:lpstr>Декретчицы</vt:lpstr>
      <vt:lpstr>Срочники</vt:lpstr>
      <vt:lpstr>Мобилизация</vt:lpstr>
      <vt:lpstr>ЭТК</vt:lpstr>
      <vt:lpstr>Инвалиды</vt:lpstr>
      <vt:lpstr>Вакансии</vt:lpstr>
      <vt:lpstr>Лист2</vt:lpstr>
      <vt:lpstr>обучение кадровый резерв</vt:lpstr>
      <vt:lpstr>Вакансии_срок</vt:lpstr>
      <vt:lpstr>Вакансии_план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Е.Биденко</dc:creator>
  <cp:lastModifiedBy>Леонтьева Арина Владимировна</cp:lastModifiedBy>
  <dcterms:created xsi:type="dcterms:W3CDTF">2016-12-29T10:29:55+02:00</dcterms:created>
  <dcterms:modified xsi:type="dcterms:W3CDTF">2026-06-03T10:46:06+03:00</dcterms:modified>
  <dc:title>Untitled Spreadsheet</dc:title>
  <dc:description/>
  <dc:subject/>
  <cp:keywords/>
  <cp:category/>
</cp:coreProperties>
</file>