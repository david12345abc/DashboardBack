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ЭтаКнига"/>
  <mc:AlternateContent xmlns:mc="http://schemas.openxmlformats.org/markup-compatibility/2006">
    <mc:Choice Requires="x15">
      <x15ac:absPath xmlns:x15ac="http://schemas.microsoft.com/office/spreadsheetml/2010/11/ac" url="C:\Users\a.komarkova\Documents\projects\DashboardBack\DashboardBack\sup\"/>
    </mc:Choice>
  </mc:AlternateContent>
  <bookViews>
    <workbookView xWindow="0" yWindow="0" windowWidth="28800" windowHeight="12315" tabRatio="907" firstSheet="2" activeTab="6"/>
  </bookViews>
  <sheets>
    <sheet name="Инструкция" sheetId="1" state="hidden" r:id="rId1"/>
    <sheet name="Справочник" sheetId="2" r:id="rId2"/>
    <sheet name="Вып_списки" sheetId="3" r:id="rId3"/>
    <sheet name="Реальные причины увольнения" sheetId="4" state="hidden" r:id="rId4"/>
    <sheet name="Расшифровка статей увольнения" sheetId="5" state="hidden" r:id="rId5"/>
    <sheet name="Включаем не включаем" sheetId="6" state="hidden" r:id="rId6"/>
    <sheet name="Текучесть" sheetId="11" r:id="rId7"/>
    <sheet name="Обучение" sheetId="23" state="hidden" r:id="rId8"/>
    <sheet name="Нетрудоспособность " sheetId="35" state="hidden" r:id="rId9"/>
    <sheet name="Пенсия" sheetId="52" state="hidden" r:id="rId10"/>
    <sheet name="ЭТК" sheetId="48" state="hidden" r:id="rId11"/>
    <sheet name="Вакансии" sheetId="56" r:id="rId12"/>
    <sheet name="Свод  по критичным вакансиям" sheetId="61" r:id="rId13"/>
    <sheet name="Обучение кадровый резерв" sheetId="60" r:id="rId14"/>
    <sheet name="Вакансии_срок" sheetId="27" state="hidden" r:id="rId15"/>
    <sheet name="Вакансии_план" sheetId="43" state="hidden" r:id="rId16"/>
  </sheets>
  <definedNames>
    <definedName name="_xlnm._FilterDatabase" localSheetId="11" hidden="1">Вакансии!$A$7:$U$266</definedName>
    <definedName name="_xlnm._FilterDatabase" localSheetId="15" hidden="1">Вакансии_план!#REF!</definedName>
    <definedName name="_xlnm._FilterDatabase" localSheetId="14" hidden="1">Вакансии_срок!#REF!</definedName>
    <definedName name="_xlnm._FilterDatabase" localSheetId="8" hidden="1">'Нетрудоспособность '!$A$2:$L$343</definedName>
    <definedName name="_xlnm._FilterDatabase" localSheetId="7" hidden="1">Обучение!$A$2:$S$610</definedName>
    <definedName name="_xlnm._FilterDatabase" localSheetId="9" hidden="1">Пенсия!$A$1:$H$19</definedName>
    <definedName name="_xlnm._FilterDatabase" localSheetId="1" hidden="1">Справочник!$A$1:$H$314</definedName>
    <definedName name="_xlnm._FilterDatabase" localSheetId="10" hidden="1">ЭТК!$A$1:$G$49</definedName>
    <definedName name="Excel_BuiltIn__FilterDatabase" localSheetId="8">'Нетрудоспособность '!$A$2:$L$2</definedName>
    <definedName name="Excel_BuiltIn__FilterDatabase" localSheetId="1">Справочник!$A$1:$E$143</definedName>
    <definedName name="Excel_BuiltIn__FilterDatabase" localSheetId="6">Текучесть!$A$2:$AR$10</definedName>
    <definedName name="Вид_занятости" localSheetId="11">#REF!</definedName>
    <definedName name="Вид_занятости">Вып_списки!$H$2:$H$3</definedName>
    <definedName name="Вид_обучения" localSheetId="11">#REF!</definedName>
    <definedName name="Вид_обучения">Вып_списки!$M$2:$M$3</definedName>
    <definedName name="Город" localSheetId="11">#REF!</definedName>
    <definedName name="Город">Вып_списки!$F$2:$F$12</definedName>
    <definedName name="Категория_должности" localSheetId="11">#REF!</definedName>
    <definedName name="Категория_должности">Вып_списки!$E$2:$E$7</definedName>
    <definedName name="Компания" localSheetId="11">#REF!</definedName>
    <definedName name="Компания">Вып_списки!$B$2:$B$8</definedName>
    <definedName name="Месяц" localSheetId="11">#REF!</definedName>
    <definedName name="Месяц">Вып_списки!$A$2:$A$13</definedName>
    <definedName name="Направление_обучения" localSheetId="11">#REF!</definedName>
    <definedName name="Направление_обучения">Вып_списки!$N$2:$N$4</definedName>
    <definedName name="_xlnm.Print_Area" localSheetId="11">Вакансии!$A$1:$T$14</definedName>
    <definedName name="првапч">#REF!</definedName>
    <definedName name="Приоритет_закрытия">Вып_списки!$P$2:$P$4</definedName>
    <definedName name="Причина_нетрудоспособности" localSheetId="11">#REF!</definedName>
    <definedName name="Причина_нетрудоспособности">Вып_списки!$L$2:$L$8</definedName>
    <definedName name="Причины_изменения">Вып_списки!$J$2:$J$11</definedName>
    <definedName name="Причины_невключения" localSheetId="11">#REF!</definedName>
    <definedName name="Причины_невключения">Вып_списки!$I$2:$I$10</definedName>
    <definedName name="Продуктивный" localSheetId="11">#REF!</definedName>
    <definedName name="Продуктивный">Вып_списки!$O$2:$O$3</definedName>
    <definedName name="Рабочий_день">Вып_списки!$D$2:$D$4</definedName>
    <definedName name="Расшифровка_статей_увольнения">'Расшифровка статей увольнения'!$B$2:$B$36</definedName>
    <definedName name="Реальные_причины_увольнения" localSheetId="11">#REF!</definedName>
    <definedName name="Реальные_причины_увольнения">'Реальные причины увольнения'!$A$2:$A$29</definedName>
    <definedName name="Рекрутер" localSheetId="11">#REF!</definedName>
    <definedName name="Рекрутер">Вып_списки!#REF!</definedName>
    <definedName name="Статьи_увольнения" localSheetId="11">#REF!</definedName>
    <definedName name="Статьи_увольнения">'Расшифровка статей увольнения'!$A$2:$A$36</definedName>
    <definedName name="Тип_договора" localSheetId="11">#REF!</definedName>
    <definedName name="Тип_договора">Вып_списки!$C$2:$C$3</definedName>
    <definedName name="Функция" localSheetId="11">#REF!</definedName>
    <definedName name="Функция">Вып_списки!$G$2:$G$6</definedName>
    <definedName name="ЦФО" localSheetId="11">#REF!</definedName>
    <definedName name="ЦФО">Вып_списки!$R$2:$R$24</definedName>
  </definedNames>
  <calcPr calcId="152511"/>
  <pivotCaches>
    <pivotCache cacheId="0" r:id="rId17"/>
    <pivotCache cacheId="1" r:id="rId18"/>
    <pivotCache cacheId="2" r:id="rId19"/>
  </pivotCaches>
</workbook>
</file>

<file path=xl/calcChain.xml><?xml version="1.0" encoding="utf-8"?>
<calcChain xmlns="http://schemas.openxmlformats.org/spreadsheetml/2006/main">
  <c r="AR96" i="11" l="1"/>
  <c r="AR94" i="11"/>
  <c r="AR95" i="11"/>
  <c r="AP41" i="11"/>
  <c r="AQ96" i="11"/>
  <c r="AP96" i="11"/>
  <c r="AN9" i="60"/>
  <c r="AM9" i="60"/>
  <c r="AK9" i="60"/>
  <c r="AJ9" i="60"/>
  <c r="AH9" i="60"/>
  <c r="AG9" i="60"/>
  <c r="AE9" i="60"/>
  <c r="AD9" i="60"/>
  <c r="AB9" i="60"/>
  <c r="AA9" i="60"/>
  <c r="Y9" i="60"/>
  <c r="X9" i="60"/>
  <c r="V9" i="60"/>
  <c r="U9" i="60"/>
  <c r="S9" i="60"/>
  <c r="R9" i="60"/>
  <c r="P9" i="60"/>
  <c r="O9" i="60"/>
  <c r="M9" i="60"/>
  <c r="L9" i="60"/>
  <c r="N9" i="60"/>
  <c r="J9" i="60"/>
  <c r="I9" i="60"/>
  <c r="G9" i="60"/>
  <c r="H9" i="60"/>
  <c r="F9" i="60"/>
  <c r="AQ8" i="60"/>
  <c r="AP8" i="60"/>
  <c r="AO8" i="60"/>
  <c r="AL8" i="60"/>
  <c r="AI8" i="60"/>
  <c r="AF8" i="60"/>
  <c r="AC8" i="60"/>
  <c r="Z8" i="60"/>
  <c r="C8" i="60"/>
  <c r="AQ7" i="60"/>
  <c r="AP7" i="60"/>
  <c r="AO7" i="60"/>
  <c r="AL7" i="60"/>
  <c r="AI7" i="60"/>
  <c r="AF7" i="60"/>
  <c r="AC7" i="60"/>
  <c r="Z7" i="60"/>
  <c r="C7" i="60"/>
  <c r="AQ6" i="60"/>
  <c r="AP6" i="60"/>
  <c r="AO6" i="60"/>
  <c r="AL6" i="60"/>
  <c r="AI6" i="60"/>
  <c r="AF6" i="60"/>
  <c r="AC6" i="60"/>
  <c r="Z6" i="60"/>
  <c r="C6" i="60"/>
  <c r="AQ5" i="60"/>
  <c r="AP5" i="60"/>
  <c r="AO5" i="60"/>
  <c r="AL5" i="60"/>
  <c r="AI5" i="60"/>
  <c r="AF5" i="60"/>
  <c r="AC5" i="60"/>
  <c r="Z5" i="60"/>
  <c r="C5" i="60"/>
  <c r="AQ4" i="60"/>
  <c r="AP4" i="60"/>
  <c r="AO4" i="60"/>
  <c r="AL4" i="60"/>
  <c r="AI4" i="60"/>
  <c r="AF4" i="60"/>
  <c r="AC4" i="60"/>
  <c r="Z4" i="60"/>
  <c r="C4" i="60"/>
  <c r="AQ3" i="60"/>
  <c r="AP3" i="60"/>
  <c r="AO3" i="60"/>
  <c r="AL3" i="60"/>
  <c r="AI3" i="60"/>
  <c r="AF3" i="60"/>
  <c r="AC3" i="60"/>
  <c r="Z3" i="60"/>
  <c r="C3" i="60"/>
  <c r="P84" i="56"/>
  <c r="P85" i="56"/>
  <c r="P86" i="56"/>
  <c r="P72" i="56"/>
  <c r="P73" i="56"/>
  <c r="P74" i="56"/>
  <c r="P75" i="56"/>
  <c r="P76" i="56"/>
  <c r="P77" i="56"/>
  <c r="P78" i="56"/>
  <c r="P79" i="56"/>
  <c r="P80" i="56"/>
  <c r="P81" i="56"/>
  <c r="P82" i="56"/>
  <c r="P83" i="56"/>
  <c r="P62" i="56"/>
  <c r="P63" i="56"/>
  <c r="P64" i="56"/>
  <c r="P65" i="56"/>
  <c r="P66" i="56"/>
  <c r="P67" i="56"/>
  <c r="P68" i="56"/>
  <c r="P69" i="56"/>
  <c r="P70" i="56"/>
  <c r="P71" i="56"/>
  <c r="C7" i="11"/>
  <c r="J61" i="11"/>
  <c r="J41" i="11"/>
  <c r="J68" i="11"/>
  <c r="P9" i="11"/>
  <c r="Q82" i="11"/>
  <c r="C53" i="11"/>
  <c r="H50" i="11"/>
  <c r="C49" i="11"/>
  <c r="C44" i="11"/>
  <c r="C45" i="11"/>
  <c r="C43" i="11"/>
  <c r="P179" i="11"/>
  <c r="O179" i="11"/>
  <c r="N93" i="11"/>
  <c r="C35" i="11"/>
  <c r="H29" i="11"/>
  <c r="S86" i="56"/>
  <c r="S87" i="56"/>
  <c r="S88" i="56"/>
  <c r="AP75" i="11"/>
  <c r="L86" i="56"/>
  <c r="N86" i="56"/>
  <c r="T35" i="11"/>
  <c r="O57" i="11"/>
  <c r="AP57" i="11"/>
  <c r="O22" i="11"/>
  <c r="S72" i="56"/>
  <c r="N72" i="56"/>
  <c r="L72" i="56"/>
  <c r="S85" i="56"/>
  <c r="N85" i="56"/>
  <c r="L85" i="56"/>
  <c r="N84" i="56"/>
  <c r="N87" i="56"/>
  <c r="N88" i="56"/>
  <c r="N89" i="56"/>
  <c r="N90" i="56"/>
  <c r="N91" i="56"/>
  <c r="N92" i="56"/>
  <c r="N93" i="56"/>
  <c r="L87" i="56"/>
  <c r="L74" i="56"/>
  <c r="S74" i="56"/>
  <c r="N74" i="56"/>
  <c r="S73" i="56"/>
  <c r="N73" i="56"/>
  <c r="L73" i="56"/>
  <c r="S76" i="56"/>
  <c r="N76" i="56"/>
  <c r="L76" i="56"/>
  <c r="S75" i="56"/>
  <c r="N75" i="56"/>
  <c r="L75" i="56"/>
  <c r="D92" i="11"/>
  <c r="E92" i="11"/>
  <c r="K100" i="11"/>
  <c r="S71" i="56"/>
  <c r="N71" i="56"/>
  <c r="L71" i="56"/>
  <c r="S70" i="56"/>
  <c r="N70" i="56"/>
  <c r="L70" i="56"/>
  <c r="S66" i="56"/>
  <c r="N66" i="56"/>
  <c r="L66" i="56"/>
  <c r="S67" i="56"/>
  <c r="N67" i="56"/>
  <c r="L67" i="56"/>
  <c r="S61" i="56"/>
  <c r="N61" i="56"/>
  <c r="P61" i="56"/>
  <c r="L61" i="56"/>
  <c r="L64" i="56"/>
  <c r="S63" i="56"/>
  <c r="N63" i="56"/>
  <c r="L63" i="56"/>
  <c r="S62" i="56"/>
  <c r="N62" i="56"/>
  <c r="L62" i="56"/>
  <c r="AB179" i="11"/>
  <c r="AA179" i="11"/>
  <c r="Y179" i="11"/>
  <c r="X179" i="11"/>
  <c r="V179" i="11"/>
  <c r="U179" i="11"/>
  <c r="S179" i="11"/>
  <c r="R179" i="11"/>
  <c r="J179" i="11"/>
  <c r="I179" i="11"/>
  <c r="G179" i="11"/>
  <c r="M179" i="11"/>
  <c r="C3" i="11"/>
  <c r="C9" i="11"/>
  <c r="S53" i="56"/>
  <c r="S54" i="56"/>
  <c r="S55" i="56"/>
  <c r="S56" i="56"/>
  <c r="S57" i="56"/>
  <c r="S58" i="56"/>
  <c r="S59" i="56"/>
  <c r="P53" i="56"/>
  <c r="L53" i="56"/>
  <c r="N58" i="56"/>
  <c r="P58" i="56"/>
  <c r="L58" i="56"/>
  <c r="N57" i="56"/>
  <c r="P57" i="56"/>
  <c r="L57" i="56"/>
  <c r="N56" i="56"/>
  <c r="P56" i="56"/>
  <c r="L56" i="56"/>
  <c r="S52" i="56"/>
  <c r="N52" i="56"/>
  <c r="P52" i="56"/>
  <c r="L52" i="56"/>
  <c r="S49" i="56"/>
  <c r="N49" i="56"/>
  <c r="P49" i="56"/>
  <c r="S48" i="56"/>
  <c r="N48" i="56"/>
  <c r="P48" i="56"/>
  <c r="S45" i="56"/>
  <c r="N45" i="56"/>
  <c r="P45" i="56"/>
  <c r="L45" i="56"/>
  <c r="S43" i="56"/>
  <c r="L43" i="56"/>
  <c r="N43" i="56"/>
  <c r="P43" i="56"/>
  <c r="S47" i="56"/>
  <c r="N47" i="56"/>
  <c r="P47" i="56"/>
  <c r="L47" i="56"/>
  <c r="AN93" i="11"/>
  <c r="AO93" i="11"/>
  <c r="AM93" i="11"/>
  <c r="AK93" i="11"/>
  <c r="AJ93" i="11"/>
  <c r="AH93" i="11"/>
  <c r="AG93" i="11"/>
  <c r="AE93" i="11"/>
  <c r="AD93" i="11"/>
  <c r="AB93" i="11"/>
  <c r="AA93" i="11"/>
  <c r="Y93" i="11"/>
  <c r="X93" i="11"/>
  <c r="V93" i="11"/>
  <c r="U93" i="11"/>
  <c r="S93" i="11"/>
  <c r="R93" i="11"/>
  <c r="T93" i="11"/>
  <c r="P93" i="11"/>
  <c r="Q93" i="11"/>
  <c r="I93" i="11"/>
  <c r="K93" i="11"/>
  <c r="G93" i="11"/>
  <c r="F93" i="11"/>
  <c r="AN89" i="11"/>
  <c r="AM89" i="11"/>
  <c r="AK89" i="11"/>
  <c r="AL89" i="11"/>
  <c r="AJ89" i="11"/>
  <c r="AH89" i="11"/>
  <c r="AG89" i="11"/>
  <c r="AE89" i="11"/>
  <c r="AD89" i="11"/>
  <c r="AF89" i="11"/>
  <c r="AB89" i="11"/>
  <c r="AC89" i="11"/>
  <c r="AA89" i="11"/>
  <c r="Y89" i="11"/>
  <c r="AQ89" i="11"/>
  <c r="AR89" i="11"/>
  <c r="D89" i="11"/>
  <c r="X89" i="11"/>
  <c r="V89" i="11"/>
  <c r="U89" i="11"/>
  <c r="W89" i="11"/>
  <c r="S89" i="11"/>
  <c r="R89" i="11"/>
  <c r="Q89" i="11"/>
  <c r="L89" i="11"/>
  <c r="AP89" i="11"/>
  <c r="J89" i="11"/>
  <c r="K89" i="11"/>
  <c r="I89" i="11"/>
  <c r="G89" i="11"/>
  <c r="F89" i="11"/>
  <c r="H89" i="11"/>
  <c r="AN85" i="11"/>
  <c r="AM85" i="11"/>
  <c r="AK85" i="11"/>
  <c r="AK73" i="11"/>
  <c r="AL73" i="11"/>
  <c r="AJ85" i="11"/>
  <c r="AH85" i="11"/>
  <c r="AG85" i="11"/>
  <c r="AI85" i="11"/>
  <c r="AE85" i="11"/>
  <c r="AD85" i="11"/>
  <c r="AB85" i="11"/>
  <c r="AA85" i="11"/>
  <c r="AA73" i="11"/>
  <c r="Y85" i="11"/>
  <c r="Z85" i="11"/>
  <c r="X85" i="11"/>
  <c r="V85" i="11"/>
  <c r="U85" i="11"/>
  <c r="S85" i="11"/>
  <c r="R85" i="11"/>
  <c r="P85" i="11"/>
  <c r="Q85" i="11"/>
  <c r="M85" i="11"/>
  <c r="N85" i="11"/>
  <c r="J85" i="11"/>
  <c r="I85" i="11"/>
  <c r="AN80" i="11"/>
  <c r="AM80" i="11"/>
  <c r="AO80" i="11"/>
  <c r="AK80" i="11"/>
  <c r="AJ80" i="11"/>
  <c r="AJ73" i="11"/>
  <c r="AH80" i="11"/>
  <c r="AH73" i="11"/>
  <c r="AG80" i="11"/>
  <c r="AG73" i="11"/>
  <c r="AE80" i="11"/>
  <c r="AE73" i="11"/>
  <c r="AD80" i="11"/>
  <c r="AD73" i="11"/>
  <c r="AB80" i="11"/>
  <c r="AB73" i="11"/>
  <c r="AA80" i="11"/>
  <c r="Y80" i="11"/>
  <c r="Y73" i="11"/>
  <c r="X80" i="11"/>
  <c r="V80" i="11"/>
  <c r="V73" i="11"/>
  <c r="U80" i="11"/>
  <c r="U73" i="11"/>
  <c r="S80" i="11"/>
  <c r="R80" i="11"/>
  <c r="T80" i="11"/>
  <c r="P80" i="11"/>
  <c r="Q80" i="11"/>
  <c r="O80" i="11"/>
  <c r="M80" i="11"/>
  <c r="L80" i="11"/>
  <c r="N80" i="11"/>
  <c r="J80" i="11"/>
  <c r="J73" i="11"/>
  <c r="I80" i="11"/>
  <c r="K80" i="11"/>
  <c r="G85" i="11"/>
  <c r="G80" i="11"/>
  <c r="G73" i="11"/>
  <c r="AN68" i="11"/>
  <c r="AM68" i="11"/>
  <c r="AK68" i="11"/>
  <c r="AJ68" i="11"/>
  <c r="AH68" i="11"/>
  <c r="AG68" i="11"/>
  <c r="AE68" i="11"/>
  <c r="AD68" i="11"/>
  <c r="AF68" i="11"/>
  <c r="AB68" i="11"/>
  <c r="AA68" i="11"/>
  <c r="AC68" i="11"/>
  <c r="Y68" i="11"/>
  <c r="X68" i="11"/>
  <c r="Z68" i="11"/>
  <c r="V68" i="11"/>
  <c r="U68" i="11"/>
  <c r="S68" i="11"/>
  <c r="R68" i="11"/>
  <c r="P68" i="11"/>
  <c r="Q68" i="11"/>
  <c r="M68" i="11"/>
  <c r="N68" i="11"/>
  <c r="K68" i="11"/>
  <c r="G68" i="11"/>
  <c r="AN65" i="11"/>
  <c r="AO65" i="11"/>
  <c r="AM65" i="11"/>
  <c r="AK65" i="11"/>
  <c r="AJ65" i="11"/>
  <c r="AL65" i="11"/>
  <c r="AH65" i="11"/>
  <c r="AG65" i="11"/>
  <c r="AI65" i="11"/>
  <c r="AE65" i="11"/>
  <c r="AF65" i="11"/>
  <c r="AD65" i="11"/>
  <c r="AB65" i="11"/>
  <c r="AA65" i="11"/>
  <c r="AC65" i="11"/>
  <c r="Y65" i="11"/>
  <c r="X65" i="11"/>
  <c r="Z65" i="11"/>
  <c r="V65" i="11"/>
  <c r="W65" i="11"/>
  <c r="U65" i="11"/>
  <c r="S65" i="11"/>
  <c r="R65" i="11"/>
  <c r="T65" i="11"/>
  <c r="P65" i="11"/>
  <c r="Q65" i="11"/>
  <c r="M65" i="11"/>
  <c r="N65" i="11"/>
  <c r="J65" i="11"/>
  <c r="I65" i="11"/>
  <c r="K65" i="11"/>
  <c r="G65" i="11"/>
  <c r="F65" i="11"/>
  <c r="AP65" i="11"/>
  <c r="AN61" i="11"/>
  <c r="AO61" i="11"/>
  <c r="AM61" i="11"/>
  <c r="AK61" i="11"/>
  <c r="AL61" i="11"/>
  <c r="AJ61" i="11"/>
  <c r="AH61" i="11"/>
  <c r="AG61" i="11"/>
  <c r="AI61" i="11"/>
  <c r="AE61" i="11"/>
  <c r="AD61" i="11"/>
  <c r="AF61" i="11"/>
  <c r="AB61" i="11"/>
  <c r="AC61" i="11"/>
  <c r="AA61" i="11"/>
  <c r="Y61" i="11"/>
  <c r="X61" i="11"/>
  <c r="V61" i="11"/>
  <c r="U61" i="11"/>
  <c r="W61" i="11"/>
  <c r="S61" i="11"/>
  <c r="T61" i="11"/>
  <c r="R61" i="11"/>
  <c r="P61" i="11"/>
  <c r="Q61" i="11"/>
  <c r="I61" i="11"/>
  <c r="G61" i="11"/>
  <c r="F61" i="11"/>
  <c r="H61" i="11"/>
  <c r="AN57" i="11"/>
  <c r="AM57" i="11"/>
  <c r="AK57" i="11"/>
  <c r="AJ57" i="11"/>
  <c r="AH57" i="11"/>
  <c r="AI57" i="11"/>
  <c r="AG57" i="11"/>
  <c r="AE57" i="11"/>
  <c r="AD57" i="11"/>
  <c r="AB57" i="11"/>
  <c r="AC57" i="11"/>
  <c r="AA57" i="11"/>
  <c r="Y57" i="11"/>
  <c r="X57" i="11"/>
  <c r="V57" i="11"/>
  <c r="W57" i="11"/>
  <c r="U57" i="11"/>
  <c r="S57" i="11"/>
  <c r="R57" i="11"/>
  <c r="T57" i="11"/>
  <c r="P57" i="11"/>
  <c r="AQ57" i="11"/>
  <c r="N57" i="11"/>
  <c r="J57" i="11"/>
  <c r="I57" i="11"/>
  <c r="G57" i="11"/>
  <c r="F57" i="11"/>
  <c r="H57" i="11"/>
  <c r="AN54" i="11"/>
  <c r="AM54" i="11"/>
  <c r="AK54" i="11"/>
  <c r="AL54" i="11"/>
  <c r="AJ54" i="11"/>
  <c r="AH54" i="11"/>
  <c r="AG54" i="11"/>
  <c r="AI54" i="11"/>
  <c r="AE54" i="11"/>
  <c r="AD54" i="11"/>
  <c r="AF54" i="11"/>
  <c r="AB54" i="11"/>
  <c r="AC54" i="11"/>
  <c r="AA54" i="11"/>
  <c r="Y54" i="11"/>
  <c r="X54" i="11"/>
  <c r="V54" i="11"/>
  <c r="U54" i="11"/>
  <c r="S54" i="11"/>
  <c r="R54" i="11"/>
  <c r="P54" i="11"/>
  <c r="Q54" i="11"/>
  <c r="O54" i="11"/>
  <c r="M54" i="11"/>
  <c r="L54" i="11"/>
  <c r="N54" i="11"/>
  <c r="J54" i="11"/>
  <c r="I54" i="11"/>
  <c r="I41" i="11"/>
  <c r="G54" i="11"/>
  <c r="F54" i="11"/>
  <c r="AN48" i="11"/>
  <c r="AM48" i="11"/>
  <c r="AK48" i="11"/>
  <c r="AJ48" i="11"/>
  <c r="AH48" i="11"/>
  <c r="AI48" i="11"/>
  <c r="AG48" i="11"/>
  <c r="AE48" i="11"/>
  <c r="AD48" i="11"/>
  <c r="AB48" i="11"/>
  <c r="AA48" i="11"/>
  <c r="AC48" i="11"/>
  <c r="Y48" i="11"/>
  <c r="X48" i="11"/>
  <c r="V48" i="11"/>
  <c r="W48" i="11"/>
  <c r="U48" i="11"/>
  <c r="S48" i="11"/>
  <c r="R48" i="11"/>
  <c r="T48" i="11"/>
  <c r="P48" i="11"/>
  <c r="O48" i="11"/>
  <c r="M48" i="11"/>
  <c r="N48" i="11"/>
  <c r="L48" i="11"/>
  <c r="J48" i="11"/>
  <c r="I48" i="11"/>
  <c r="K48" i="11"/>
  <c r="G48" i="11"/>
  <c r="F48" i="11"/>
  <c r="AN43" i="11"/>
  <c r="AM43" i="11"/>
  <c r="AK43" i="11"/>
  <c r="AJ43" i="11"/>
  <c r="AP44" i="11"/>
  <c r="AH43" i="11"/>
  <c r="AG43" i="11"/>
  <c r="AE43" i="11"/>
  <c r="AD43" i="11"/>
  <c r="AB43" i="11"/>
  <c r="AA43" i="11"/>
  <c r="Y43" i="11"/>
  <c r="X43" i="11"/>
  <c r="Z43" i="11"/>
  <c r="V43" i="11"/>
  <c r="U43" i="11"/>
  <c r="S43" i="11"/>
  <c r="R43" i="11"/>
  <c r="T43" i="11"/>
  <c r="P43" i="11"/>
  <c r="Q43" i="11"/>
  <c r="O43" i="11"/>
  <c r="M43" i="11"/>
  <c r="L43" i="11"/>
  <c r="L96" i="11"/>
  <c r="J43" i="11"/>
  <c r="I43" i="11"/>
  <c r="G43" i="11"/>
  <c r="H43" i="11"/>
  <c r="AN36" i="11"/>
  <c r="AM36" i="11"/>
  <c r="AO36" i="11"/>
  <c r="AK36" i="11"/>
  <c r="AJ36" i="11"/>
  <c r="AL36" i="11"/>
  <c r="AH36" i="11"/>
  <c r="AG36" i="11"/>
  <c r="AI36" i="11"/>
  <c r="AE36" i="11"/>
  <c r="AF36" i="11"/>
  <c r="AD36" i="11"/>
  <c r="AB36" i="11"/>
  <c r="AA36" i="11"/>
  <c r="Y36" i="11"/>
  <c r="X36" i="11"/>
  <c r="V36" i="11"/>
  <c r="U36" i="11"/>
  <c r="W36" i="11"/>
  <c r="S36" i="11"/>
  <c r="T36" i="11"/>
  <c r="R36" i="11"/>
  <c r="P36" i="11"/>
  <c r="Q36" i="11"/>
  <c r="M36" i="11"/>
  <c r="N36" i="11"/>
  <c r="J36" i="11"/>
  <c r="AQ36" i="11"/>
  <c r="I36" i="11"/>
  <c r="F36" i="11"/>
  <c r="H36" i="11"/>
  <c r="G36" i="11"/>
  <c r="AN26" i="11"/>
  <c r="AM26" i="11"/>
  <c r="AK26" i="11"/>
  <c r="AJ26" i="11"/>
  <c r="AL26" i="11"/>
  <c r="AH26" i="11"/>
  <c r="AI26" i="11"/>
  <c r="AG26" i="11"/>
  <c r="AE26" i="11"/>
  <c r="AD26" i="11"/>
  <c r="AB26" i="11"/>
  <c r="AA26" i="11"/>
  <c r="Y26" i="11"/>
  <c r="X26" i="11"/>
  <c r="AP26" i="11"/>
  <c r="V26" i="11"/>
  <c r="W26" i="11"/>
  <c r="U26" i="11"/>
  <c r="S26" i="11"/>
  <c r="R26" i="11"/>
  <c r="P26" i="11"/>
  <c r="Q26" i="11"/>
  <c r="M26" i="11"/>
  <c r="N26" i="11"/>
  <c r="J26" i="11"/>
  <c r="K26" i="11"/>
  <c r="G22" i="11"/>
  <c r="H22" i="11"/>
  <c r="AN22" i="11"/>
  <c r="AO22" i="11"/>
  <c r="AK22" i="11"/>
  <c r="AL22" i="11"/>
  <c r="AH22" i="11"/>
  <c r="AI22" i="11"/>
  <c r="AE22" i="11"/>
  <c r="AF22" i="11"/>
  <c r="AB22" i="11"/>
  <c r="AC22" i="11"/>
  <c r="Y22" i="11"/>
  <c r="Z22" i="11"/>
  <c r="S22" i="11"/>
  <c r="T22" i="11"/>
  <c r="P22" i="11"/>
  <c r="J22" i="11"/>
  <c r="S46" i="56"/>
  <c r="N46" i="56"/>
  <c r="P46" i="56"/>
  <c r="L46" i="56"/>
  <c r="L42" i="56"/>
  <c r="S42" i="56"/>
  <c r="N42" i="56"/>
  <c r="P42" i="56"/>
  <c r="S32" i="56"/>
  <c r="N32" i="56"/>
  <c r="L32" i="56"/>
  <c r="J9" i="11"/>
  <c r="K9" i="11"/>
  <c r="K10" i="11"/>
  <c r="N10" i="11"/>
  <c r="AP101" i="11"/>
  <c r="AQ101" i="11"/>
  <c r="AR101" i="11"/>
  <c r="AP102" i="11"/>
  <c r="AQ102" i="11"/>
  <c r="AR102" i="11"/>
  <c r="D102" i="11"/>
  <c r="E102" i="11"/>
  <c r="AP103" i="11"/>
  <c r="AQ103" i="11"/>
  <c r="AR103" i="11"/>
  <c r="D103" i="11"/>
  <c r="E103" i="11"/>
  <c r="AP104" i="11"/>
  <c r="AQ104" i="11"/>
  <c r="AR104" i="11"/>
  <c r="D104" i="11"/>
  <c r="E104" i="11"/>
  <c r="AP105" i="11"/>
  <c r="AQ105" i="11"/>
  <c r="AR105" i="11"/>
  <c r="D105" i="11"/>
  <c r="E105" i="11"/>
  <c r="AP106" i="11"/>
  <c r="AQ106" i="11"/>
  <c r="AR106" i="11"/>
  <c r="D106" i="11"/>
  <c r="E106" i="11"/>
  <c r="AP107" i="11"/>
  <c r="AQ107" i="11"/>
  <c r="AR107" i="11"/>
  <c r="D107" i="11"/>
  <c r="E107" i="11"/>
  <c r="AP108" i="11"/>
  <c r="AQ108" i="11"/>
  <c r="AR108" i="11"/>
  <c r="D108" i="11"/>
  <c r="E108" i="11"/>
  <c r="AP109" i="11"/>
  <c r="AQ109" i="11"/>
  <c r="AR109" i="11"/>
  <c r="D109" i="11"/>
  <c r="E109" i="11"/>
  <c r="AP110" i="11"/>
  <c r="AQ110" i="11"/>
  <c r="AR110" i="11"/>
  <c r="D110" i="11"/>
  <c r="E110" i="11"/>
  <c r="AP111" i="11"/>
  <c r="AQ111" i="11"/>
  <c r="AR111" i="11"/>
  <c r="D111" i="11"/>
  <c r="E111" i="11"/>
  <c r="AP112" i="11"/>
  <c r="AR112" i="11"/>
  <c r="D112" i="11"/>
  <c r="E112" i="11"/>
  <c r="AQ112" i="11"/>
  <c r="AP113" i="11"/>
  <c r="AQ113" i="11"/>
  <c r="AR113" i="11"/>
  <c r="D113" i="11"/>
  <c r="E113" i="11"/>
  <c r="AP114" i="11"/>
  <c r="AR114" i="11"/>
  <c r="D114" i="11"/>
  <c r="E114" i="11"/>
  <c r="AQ114" i="11"/>
  <c r="AP115" i="11"/>
  <c r="AQ115" i="11"/>
  <c r="AR115" i="11"/>
  <c r="D115" i="11"/>
  <c r="E115" i="11"/>
  <c r="AP117" i="11"/>
  <c r="AQ117" i="11"/>
  <c r="AR117" i="11"/>
  <c r="D117" i="11"/>
  <c r="E117" i="11"/>
  <c r="AP118" i="11"/>
  <c r="AQ118" i="11"/>
  <c r="AR118" i="11"/>
  <c r="D118" i="11"/>
  <c r="E118" i="11"/>
  <c r="AP119" i="11"/>
  <c r="AQ119" i="11"/>
  <c r="AR119" i="11"/>
  <c r="D119" i="11"/>
  <c r="AP120" i="11"/>
  <c r="AQ120" i="11"/>
  <c r="AR120" i="11"/>
  <c r="D120" i="11"/>
  <c r="E120" i="11"/>
  <c r="AP121" i="11"/>
  <c r="AQ121" i="11"/>
  <c r="AR121" i="11"/>
  <c r="D121" i="11"/>
  <c r="E121" i="11"/>
  <c r="AP122" i="11"/>
  <c r="AR122" i="11"/>
  <c r="D122" i="11"/>
  <c r="E122" i="11"/>
  <c r="AQ122" i="11"/>
  <c r="AP123" i="11"/>
  <c r="AQ123" i="11"/>
  <c r="AP124" i="11"/>
  <c r="AQ124" i="11"/>
  <c r="AR124" i="11"/>
  <c r="D124" i="11"/>
  <c r="E124" i="11"/>
  <c r="AP125" i="11"/>
  <c r="AQ125" i="11"/>
  <c r="AP126" i="11"/>
  <c r="AQ126" i="11"/>
  <c r="AR126" i="11"/>
  <c r="D126" i="11"/>
  <c r="E126" i="11"/>
  <c r="AP127" i="11"/>
  <c r="AQ127" i="11"/>
  <c r="AR127" i="11"/>
  <c r="D127" i="11"/>
  <c r="E127" i="11"/>
  <c r="AP128" i="11"/>
  <c r="AQ128" i="11"/>
  <c r="AR128" i="11"/>
  <c r="D128" i="11"/>
  <c r="E128" i="11"/>
  <c r="AP129" i="11"/>
  <c r="AQ129" i="11"/>
  <c r="AR129" i="11"/>
  <c r="D129" i="11"/>
  <c r="E129" i="11"/>
  <c r="AP130" i="11"/>
  <c r="AQ130" i="11"/>
  <c r="AP131" i="11"/>
  <c r="AR131" i="11"/>
  <c r="D131" i="11"/>
  <c r="E131" i="11"/>
  <c r="AQ131" i="11"/>
  <c r="AP132" i="11"/>
  <c r="AQ132" i="11"/>
  <c r="AR132" i="11"/>
  <c r="D132" i="11"/>
  <c r="E132" i="11"/>
  <c r="AP133" i="11"/>
  <c r="AR133" i="11"/>
  <c r="D133" i="11"/>
  <c r="E133" i="11"/>
  <c r="AQ133" i="11"/>
  <c r="AP134" i="11"/>
  <c r="AQ134" i="11"/>
  <c r="AP135" i="11"/>
  <c r="AQ135" i="11"/>
  <c r="AR135" i="11"/>
  <c r="D135" i="11"/>
  <c r="E135" i="11"/>
  <c r="AP136" i="11"/>
  <c r="AQ136" i="11"/>
  <c r="AR136" i="11"/>
  <c r="D136" i="11"/>
  <c r="E136" i="11"/>
  <c r="AP137" i="11"/>
  <c r="AQ137" i="11"/>
  <c r="AR137" i="11"/>
  <c r="D137" i="11"/>
  <c r="AP138" i="11"/>
  <c r="AQ138" i="11"/>
  <c r="AR138" i="11"/>
  <c r="D138" i="11"/>
  <c r="E138" i="11"/>
  <c r="AP139" i="11"/>
  <c r="AQ139" i="11"/>
  <c r="AR139" i="11"/>
  <c r="D139" i="11"/>
  <c r="E139" i="11"/>
  <c r="AP140" i="11"/>
  <c r="AQ140" i="11"/>
  <c r="AR140" i="11"/>
  <c r="D140" i="11"/>
  <c r="E140" i="11"/>
  <c r="AP141" i="11"/>
  <c r="AQ141" i="11"/>
  <c r="AR141" i="11"/>
  <c r="D141" i="11"/>
  <c r="E141" i="11"/>
  <c r="AP142" i="11"/>
  <c r="AQ142" i="11"/>
  <c r="AR142" i="11"/>
  <c r="D142" i="11"/>
  <c r="AP143" i="11"/>
  <c r="AQ143" i="11"/>
  <c r="AP144" i="11"/>
  <c r="AQ144" i="11"/>
  <c r="AR144" i="11"/>
  <c r="D144" i="11"/>
  <c r="E144" i="11"/>
  <c r="AP145" i="11"/>
  <c r="AQ145" i="11"/>
  <c r="AP146" i="11"/>
  <c r="AQ146" i="11"/>
  <c r="AR146" i="11"/>
  <c r="D146" i="11"/>
  <c r="E146" i="11"/>
  <c r="AP147" i="11"/>
  <c r="AR147" i="11"/>
  <c r="D147" i="11"/>
  <c r="E147" i="11"/>
  <c r="AQ147" i="11"/>
  <c r="AP148" i="11"/>
  <c r="AQ148" i="11"/>
  <c r="AR148" i="11"/>
  <c r="D148" i="11"/>
  <c r="E148" i="11"/>
  <c r="AP149" i="11"/>
  <c r="AR149" i="11"/>
  <c r="D149" i="11"/>
  <c r="AQ149" i="11"/>
  <c r="AP150" i="11"/>
  <c r="AR150" i="11"/>
  <c r="D150" i="11"/>
  <c r="AQ150" i="11"/>
  <c r="AP151" i="11"/>
  <c r="AQ151" i="11"/>
  <c r="AP152" i="11"/>
  <c r="AQ152" i="11"/>
  <c r="AR152" i="11"/>
  <c r="D152" i="11"/>
  <c r="E152" i="11"/>
  <c r="AP153" i="11"/>
  <c r="AQ153" i="11"/>
  <c r="AR153" i="11"/>
  <c r="D153" i="11"/>
  <c r="E153" i="11"/>
  <c r="AP154" i="11"/>
  <c r="AQ154" i="11"/>
  <c r="AR154" i="11"/>
  <c r="D154" i="11"/>
  <c r="E154" i="11"/>
  <c r="AP155" i="11"/>
  <c r="AQ155" i="11"/>
  <c r="AR155" i="11"/>
  <c r="D155" i="11"/>
  <c r="E155" i="11"/>
  <c r="AP156" i="11"/>
  <c r="AQ156" i="11"/>
  <c r="AR156" i="11"/>
  <c r="D156" i="11"/>
  <c r="E156" i="11"/>
  <c r="AP157" i="11"/>
  <c r="AR157" i="11"/>
  <c r="D157" i="11"/>
  <c r="E157" i="11"/>
  <c r="AQ157" i="11"/>
  <c r="AP158" i="11"/>
  <c r="AQ158" i="11"/>
  <c r="AR158" i="11"/>
  <c r="D158" i="11"/>
  <c r="E158" i="11"/>
  <c r="AP159" i="11"/>
  <c r="AQ159" i="11"/>
  <c r="AR159" i="11"/>
  <c r="D159" i="11"/>
  <c r="E159" i="11"/>
  <c r="AP160" i="11"/>
  <c r="AQ160" i="11"/>
  <c r="AP161" i="11"/>
  <c r="AQ161" i="11"/>
  <c r="AR161" i="11"/>
  <c r="D161" i="11"/>
  <c r="E161" i="11"/>
  <c r="AP162" i="11"/>
  <c r="AQ162" i="11"/>
  <c r="AR162" i="11"/>
  <c r="D162" i="11"/>
  <c r="E162" i="11"/>
  <c r="AP163" i="11"/>
  <c r="AQ163" i="11"/>
  <c r="AR163" i="11"/>
  <c r="D163" i="11"/>
  <c r="E163" i="11"/>
  <c r="AP164" i="11"/>
  <c r="AQ164" i="11"/>
  <c r="AP165" i="11"/>
  <c r="AQ165" i="11"/>
  <c r="AR165" i="11"/>
  <c r="D165" i="11"/>
  <c r="E165" i="11"/>
  <c r="AP166" i="11"/>
  <c r="AR166" i="11"/>
  <c r="D166" i="11"/>
  <c r="E166" i="11"/>
  <c r="AQ166" i="11"/>
  <c r="AP167" i="11"/>
  <c r="AQ167" i="11"/>
  <c r="AR167" i="11"/>
  <c r="D167" i="11"/>
  <c r="E167" i="11"/>
  <c r="AP168" i="11"/>
  <c r="AQ168" i="11"/>
  <c r="AR168" i="11"/>
  <c r="D168" i="11"/>
  <c r="E168" i="11"/>
  <c r="AP169" i="11"/>
  <c r="AQ169" i="11"/>
  <c r="AR169" i="11"/>
  <c r="D169" i="11"/>
  <c r="E169" i="11"/>
  <c r="AP170" i="11"/>
  <c r="AQ170" i="11"/>
  <c r="AR170" i="11"/>
  <c r="D170" i="11"/>
  <c r="E170" i="11"/>
  <c r="AP171" i="11"/>
  <c r="AR171" i="11"/>
  <c r="D171" i="11"/>
  <c r="E171" i="11"/>
  <c r="AQ171" i="11"/>
  <c r="AP172" i="11"/>
  <c r="AQ172" i="11"/>
  <c r="AP173" i="11"/>
  <c r="D173" i="11"/>
  <c r="E173" i="11"/>
  <c r="AQ173" i="11"/>
  <c r="AR173" i="11"/>
  <c r="AP174" i="11"/>
  <c r="AQ174" i="11"/>
  <c r="AR174" i="11"/>
  <c r="D174" i="11"/>
  <c r="E174" i="11"/>
  <c r="AP175" i="11"/>
  <c r="AQ175" i="11"/>
  <c r="AR175" i="11"/>
  <c r="D175" i="11"/>
  <c r="E175" i="11"/>
  <c r="AP176" i="11"/>
  <c r="AR176" i="11"/>
  <c r="D176" i="11"/>
  <c r="E176" i="11"/>
  <c r="AQ176" i="11"/>
  <c r="AP177" i="11"/>
  <c r="AQ177" i="11"/>
  <c r="AR177" i="11"/>
  <c r="D177" i="11"/>
  <c r="AP178" i="11"/>
  <c r="AQ178" i="11"/>
  <c r="AR178" i="11"/>
  <c r="D178" i="11"/>
  <c r="E178" i="11"/>
  <c r="K71" i="11"/>
  <c r="E119" i="11"/>
  <c r="AR123" i="11"/>
  <c r="D123" i="11"/>
  <c r="E123" i="11"/>
  <c r="AR125" i="11"/>
  <c r="D125" i="11"/>
  <c r="E125" i="11"/>
  <c r="AR130" i="11"/>
  <c r="D130" i="11"/>
  <c r="E130" i="11"/>
  <c r="AR134" i="11"/>
  <c r="D134" i="11"/>
  <c r="E134" i="11"/>
  <c r="AR145" i="11"/>
  <c r="D145" i="11"/>
  <c r="E145" i="11"/>
  <c r="AR151" i="11"/>
  <c r="D151" i="11"/>
  <c r="E151" i="11"/>
  <c r="AR164" i="11"/>
  <c r="D164" i="11"/>
  <c r="E164" i="11"/>
  <c r="AR172" i="11"/>
  <c r="D172" i="11"/>
  <c r="E172" i="11"/>
  <c r="AO178" i="11"/>
  <c r="AO177" i="11"/>
  <c r="AO176" i="11"/>
  <c r="AO175" i="11"/>
  <c r="AO174" i="11"/>
  <c r="AO173" i="11"/>
  <c r="AO172" i="11"/>
  <c r="AO171" i="11"/>
  <c r="AO170" i="11"/>
  <c r="AO169" i="11"/>
  <c r="AO168" i="11"/>
  <c r="AO167" i="11"/>
  <c r="AO166" i="11"/>
  <c r="AO165" i="11"/>
  <c r="AO164" i="11"/>
  <c r="AO163" i="11"/>
  <c r="AO162" i="11"/>
  <c r="AO161" i="11"/>
  <c r="AO160" i="11"/>
  <c r="AO159" i="11"/>
  <c r="AO158" i="11"/>
  <c r="AO157" i="11"/>
  <c r="AO156" i="11"/>
  <c r="AO155" i="11"/>
  <c r="AO154" i="11"/>
  <c r="AO153" i="11"/>
  <c r="AO152" i="11"/>
  <c r="AO151" i="11"/>
  <c r="AO150" i="11"/>
  <c r="AO149" i="11"/>
  <c r="AO148" i="11"/>
  <c r="AO147" i="11"/>
  <c r="AO146" i="11"/>
  <c r="AO145" i="11"/>
  <c r="AO144" i="11"/>
  <c r="AO143" i="11"/>
  <c r="AO142" i="11"/>
  <c r="AO141" i="11"/>
  <c r="AO140" i="11"/>
  <c r="AO139" i="11"/>
  <c r="AO138" i="11"/>
  <c r="AO137" i="11"/>
  <c r="AO136" i="11"/>
  <c r="AO135" i="11"/>
  <c r="AO134" i="11"/>
  <c r="AO133" i="11"/>
  <c r="AO132" i="11"/>
  <c r="AO131" i="11"/>
  <c r="AO130" i="11"/>
  <c r="AO129" i="11"/>
  <c r="AO128" i="11"/>
  <c r="AO127" i="11"/>
  <c r="AO126" i="11"/>
  <c r="AO125" i="11"/>
  <c r="AO124" i="11"/>
  <c r="AO123" i="11"/>
  <c r="AO122" i="11"/>
  <c r="AO121" i="11"/>
  <c r="AO120" i="11"/>
  <c r="AO119" i="11"/>
  <c r="AO118" i="11"/>
  <c r="AO117" i="11"/>
  <c r="AO115" i="11"/>
  <c r="AO114" i="11"/>
  <c r="AO113" i="11"/>
  <c r="AO112" i="11"/>
  <c r="AO111" i="11"/>
  <c r="AO110" i="11"/>
  <c r="AO109" i="11"/>
  <c r="AO108" i="11"/>
  <c r="AO107" i="11"/>
  <c r="AO106" i="11"/>
  <c r="AO105" i="11"/>
  <c r="AO104" i="11"/>
  <c r="AO103" i="11"/>
  <c r="AO102" i="11"/>
  <c r="AO101" i="11"/>
  <c r="AO100" i="11"/>
  <c r="AL178" i="11"/>
  <c r="AL177" i="11"/>
  <c r="AL176" i="11"/>
  <c r="AL175" i="11"/>
  <c r="AL174" i="11"/>
  <c r="AL173" i="11"/>
  <c r="AL172" i="11"/>
  <c r="AL171" i="11"/>
  <c r="AL170" i="11"/>
  <c r="AL169" i="11"/>
  <c r="AL168" i="11"/>
  <c r="AL167" i="11"/>
  <c r="AL166" i="11"/>
  <c r="AL165" i="11"/>
  <c r="AL164" i="11"/>
  <c r="AL163" i="11"/>
  <c r="AL162" i="11"/>
  <c r="AL161" i="11"/>
  <c r="AL160" i="11"/>
  <c r="AL159" i="11"/>
  <c r="AL158" i="11"/>
  <c r="AL157" i="11"/>
  <c r="AL156" i="11"/>
  <c r="AL155" i="11"/>
  <c r="AL154" i="11"/>
  <c r="AL153" i="11"/>
  <c r="AL152" i="11"/>
  <c r="AL151" i="11"/>
  <c r="AL150" i="11"/>
  <c r="AL149" i="11"/>
  <c r="AL148" i="11"/>
  <c r="AL147" i="11"/>
  <c r="AL146" i="11"/>
  <c r="AL145" i="11"/>
  <c r="AL144" i="11"/>
  <c r="AL143" i="11"/>
  <c r="AL142" i="11"/>
  <c r="AL141" i="11"/>
  <c r="AL140" i="11"/>
  <c r="AL139" i="11"/>
  <c r="AL138" i="11"/>
  <c r="AL137" i="11"/>
  <c r="AL136" i="11"/>
  <c r="AL135" i="11"/>
  <c r="AL134" i="11"/>
  <c r="AL133" i="11"/>
  <c r="AL132" i="11"/>
  <c r="AL131" i="11"/>
  <c r="AL130" i="11"/>
  <c r="AL129" i="11"/>
  <c r="AL128" i="11"/>
  <c r="AL127" i="11"/>
  <c r="AL126" i="11"/>
  <c r="AL125" i="11"/>
  <c r="AL124" i="11"/>
  <c r="AL123" i="11"/>
  <c r="AL122" i="11"/>
  <c r="AL121" i="11"/>
  <c r="AL120" i="11"/>
  <c r="AL119" i="11"/>
  <c r="AL118" i="11"/>
  <c r="AL117" i="11"/>
  <c r="AL115" i="11"/>
  <c r="AL114" i="11"/>
  <c r="AL113" i="11"/>
  <c r="AL112" i="11"/>
  <c r="AL111" i="11"/>
  <c r="AL110" i="11"/>
  <c r="AL109" i="11"/>
  <c r="AL108" i="11"/>
  <c r="AL107" i="11"/>
  <c r="AL106" i="11"/>
  <c r="AL105" i="11"/>
  <c r="AL104" i="11"/>
  <c r="AL103" i="11"/>
  <c r="AL102" i="11"/>
  <c r="AL101" i="11"/>
  <c r="AL100" i="11"/>
  <c r="AI178" i="11"/>
  <c r="AI177" i="11"/>
  <c r="AI176" i="11"/>
  <c r="AI175" i="11"/>
  <c r="AI174" i="11"/>
  <c r="AI173" i="11"/>
  <c r="AI172" i="11"/>
  <c r="AI171" i="11"/>
  <c r="AI170" i="11"/>
  <c r="AI169" i="11"/>
  <c r="AI168" i="11"/>
  <c r="AI167" i="11"/>
  <c r="AI166" i="11"/>
  <c r="AI165" i="11"/>
  <c r="AI164" i="11"/>
  <c r="AI163" i="11"/>
  <c r="AI162" i="11"/>
  <c r="AI161" i="11"/>
  <c r="AI160" i="11"/>
  <c r="AI159" i="11"/>
  <c r="AI158" i="11"/>
  <c r="AI157" i="11"/>
  <c r="AI156" i="11"/>
  <c r="AI155" i="11"/>
  <c r="AI154" i="11"/>
  <c r="AI153" i="11"/>
  <c r="AI152" i="11"/>
  <c r="AI151" i="11"/>
  <c r="AI150" i="11"/>
  <c r="AI149" i="11"/>
  <c r="AI148" i="11"/>
  <c r="AI147" i="11"/>
  <c r="AI146" i="11"/>
  <c r="AI145" i="11"/>
  <c r="AI144" i="11"/>
  <c r="AI143" i="11"/>
  <c r="AI142" i="11"/>
  <c r="AI141" i="11"/>
  <c r="AI140" i="11"/>
  <c r="AI139" i="11"/>
  <c r="AI138" i="11"/>
  <c r="AI137" i="11"/>
  <c r="AI136" i="11"/>
  <c r="AI135" i="11"/>
  <c r="AI134" i="11"/>
  <c r="AI133" i="11"/>
  <c r="AI132" i="11"/>
  <c r="AI131" i="11"/>
  <c r="AI130" i="11"/>
  <c r="AI129" i="11"/>
  <c r="AI128" i="11"/>
  <c r="AI127" i="11"/>
  <c r="AI126" i="11"/>
  <c r="AI125" i="11"/>
  <c r="AI124" i="11"/>
  <c r="AI123" i="11"/>
  <c r="AI122" i="11"/>
  <c r="AI121" i="11"/>
  <c r="AI120" i="11"/>
  <c r="AI119" i="11"/>
  <c r="AI118" i="11"/>
  <c r="AI117" i="11"/>
  <c r="AI115" i="11"/>
  <c r="AI114" i="11"/>
  <c r="AI113" i="11"/>
  <c r="AI112" i="11"/>
  <c r="AI111" i="11"/>
  <c r="AI110" i="11"/>
  <c r="AI109" i="11"/>
  <c r="AI108" i="11"/>
  <c r="AI107" i="11"/>
  <c r="AI106" i="11"/>
  <c r="AI105" i="11"/>
  <c r="AI104" i="11"/>
  <c r="AI103" i="11"/>
  <c r="AI102" i="11"/>
  <c r="AI101" i="11"/>
  <c r="AI100" i="11"/>
  <c r="AF178" i="11"/>
  <c r="AF177" i="11"/>
  <c r="AF176" i="11"/>
  <c r="AF175" i="11"/>
  <c r="AF174" i="11"/>
  <c r="AF173" i="11"/>
  <c r="AF172" i="11"/>
  <c r="AF171" i="11"/>
  <c r="AF170" i="11"/>
  <c r="AF169" i="11"/>
  <c r="AF168" i="11"/>
  <c r="AF167" i="11"/>
  <c r="AF166" i="11"/>
  <c r="AF165" i="11"/>
  <c r="AF164" i="11"/>
  <c r="AF163" i="11"/>
  <c r="AF162" i="11"/>
  <c r="AF161" i="11"/>
  <c r="AF160" i="11"/>
  <c r="AF159" i="11"/>
  <c r="AF158" i="11"/>
  <c r="AF157" i="11"/>
  <c r="AF156" i="11"/>
  <c r="AF155" i="11"/>
  <c r="AF154" i="11"/>
  <c r="AF153" i="11"/>
  <c r="AF152" i="11"/>
  <c r="AF151" i="11"/>
  <c r="AF150" i="11"/>
  <c r="AF149" i="11"/>
  <c r="AF148" i="11"/>
  <c r="AF147" i="11"/>
  <c r="AF146" i="11"/>
  <c r="AF145" i="11"/>
  <c r="AF144" i="11"/>
  <c r="AF143" i="11"/>
  <c r="AF142" i="11"/>
  <c r="AF141" i="11"/>
  <c r="AF140" i="11"/>
  <c r="AF139" i="11"/>
  <c r="AF138" i="11"/>
  <c r="AF137" i="11"/>
  <c r="AF136" i="11"/>
  <c r="AF135" i="11"/>
  <c r="AF134" i="11"/>
  <c r="AF133" i="11"/>
  <c r="AF132" i="11"/>
  <c r="AF131" i="11"/>
  <c r="AF130" i="11"/>
  <c r="AF129" i="11"/>
  <c r="AF128" i="11"/>
  <c r="AF127" i="11"/>
  <c r="AF126" i="11"/>
  <c r="AF125" i="11"/>
  <c r="AF124" i="11"/>
  <c r="AF123" i="11"/>
  <c r="AF122" i="11"/>
  <c r="AF121" i="11"/>
  <c r="AF120" i="11"/>
  <c r="AF119" i="11"/>
  <c r="AF118" i="11"/>
  <c r="AF117" i="11"/>
  <c r="AF115" i="11"/>
  <c r="AF114" i="11"/>
  <c r="AF113" i="11"/>
  <c r="AF112" i="11"/>
  <c r="AF111" i="11"/>
  <c r="AF110" i="11"/>
  <c r="AF109" i="11"/>
  <c r="AF108" i="11"/>
  <c r="AF107" i="11"/>
  <c r="AF106" i="11"/>
  <c r="AF105" i="11"/>
  <c r="AF104" i="11"/>
  <c r="AF103" i="11"/>
  <c r="AF102" i="11"/>
  <c r="AF101" i="11"/>
  <c r="AF100" i="11"/>
  <c r="Q114" i="11"/>
  <c r="T115" i="11"/>
  <c r="T116" i="11"/>
  <c r="T117" i="11"/>
  <c r="T118" i="11"/>
  <c r="T119" i="11"/>
  <c r="T120" i="11"/>
  <c r="T121" i="11"/>
  <c r="T122" i="11"/>
  <c r="T123" i="11"/>
  <c r="T124" i="11"/>
  <c r="T125" i="11"/>
  <c r="T126" i="11"/>
  <c r="T127" i="11"/>
  <c r="T128" i="11"/>
  <c r="T129" i="11"/>
  <c r="T130" i="11"/>
  <c r="T131" i="11"/>
  <c r="T132" i="11"/>
  <c r="T133" i="11"/>
  <c r="T134" i="11"/>
  <c r="T135" i="11"/>
  <c r="T136" i="11"/>
  <c r="T137" i="11"/>
  <c r="T138" i="11"/>
  <c r="T139" i="11"/>
  <c r="T140" i="11"/>
  <c r="T141" i="11"/>
  <c r="T142" i="11"/>
  <c r="T143" i="11"/>
  <c r="T144" i="11"/>
  <c r="T145" i="11"/>
  <c r="T146" i="11"/>
  <c r="T147" i="11"/>
  <c r="T148" i="11"/>
  <c r="T149" i="11"/>
  <c r="T150" i="11"/>
  <c r="T151" i="11"/>
  <c r="T152" i="11"/>
  <c r="T153" i="11"/>
  <c r="T154" i="11"/>
  <c r="T155" i="11"/>
  <c r="T156" i="11"/>
  <c r="T157" i="11"/>
  <c r="T158" i="11"/>
  <c r="T159" i="11"/>
  <c r="T160" i="11"/>
  <c r="T161" i="11"/>
  <c r="T162" i="11"/>
  <c r="T163" i="11"/>
  <c r="T164" i="11"/>
  <c r="T165" i="11"/>
  <c r="T166" i="11"/>
  <c r="T167" i="11"/>
  <c r="T168" i="11"/>
  <c r="T169" i="11"/>
  <c r="T170" i="11"/>
  <c r="T171" i="11"/>
  <c r="T172" i="11"/>
  <c r="T173" i="11"/>
  <c r="T174" i="11"/>
  <c r="T175" i="11"/>
  <c r="T176" i="11"/>
  <c r="T177" i="11"/>
  <c r="T178" i="11"/>
  <c r="T114" i="11"/>
  <c r="T113" i="11"/>
  <c r="W115" i="11"/>
  <c r="W116" i="11"/>
  <c r="W117" i="11"/>
  <c r="W118" i="11"/>
  <c r="W119" i="11"/>
  <c r="W120" i="11"/>
  <c r="W121" i="11"/>
  <c r="W122" i="11"/>
  <c r="W123" i="11"/>
  <c r="W124" i="11"/>
  <c r="W125" i="11"/>
  <c r="W126" i="11"/>
  <c r="W127" i="11"/>
  <c r="W128" i="11"/>
  <c r="W129" i="11"/>
  <c r="W130" i="11"/>
  <c r="W131" i="11"/>
  <c r="W132" i="11"/>
  <c r="W133" i="11"/>
  <c r="W134" i="11"/>
  <c r="W135" i="11"/>
  <c r="W136" i="11"/>
  <c r="W137" i="11"/>
  <c r="W138" i="11"/>
  <c r="W139" i="11"/>
  <c r="W140" i="11"/>
  <c r="W141" i="11"/>
  <c r="W142" i="11"/>
  <c r="W143" i="11"/>
  <c r="W144" i="11"/>
  <c r="W145" i="11"/>
  <c r="W146" i="11"/>
  <c r="W147" i="11"/>
  <c r="W148" i="11"/>
  <c r="W149" i="11"/>
  <c r="W150" i="11"/>
  <c r="W151" i="11"/>
  <c r="W152" i="11"/>
  <c r="W153" i="11"/>
  <c r="W154" i="11"/>
  <c r="W155" i="11"/>
  <c r="W156" i="11"/>
  <c r="W157" i="11"/>
  <c r="W158" i="11"/>
  <c r="W159" i="11"/>
  <c r="W160" i="11"/>
  <c r="W161" i="11"/>
  <c r="W162" i="11"/>
  <c r="W163" i="11"/>
  <c r="W164" i="11"/>
  <c r="W165" i="11"/>
  <c r="W166" i="11"/>
  <c r="W167" i="11"/>
  <c r="W168" i="11"/>
  <c r="W169" i="11"/>
  <c r="W170" i="11"/>
  <c r="W171" i="11"/>
  <c r="W172" i="11"/>
  <c r="W173" i="11"/>
  <c r="W174" i="11"/>
  <c r="W175" i="11"/>
  <c r="W176" i="11"/>
  <c r="W177" i="11"/>
  <c r="W178" i="11"/>
  <c r="W114" i="11"/>
  <c r="W112" i="11"/>
  <c r="W113" i="11"/>
  <c r="Z115" i="11"/>
  <c r="Z116" i="11"/>
  <c r="Z117" i="11"/>
  <c r="Z118" i="11"/>
  <c r="Z119" i="11"/>
  <c r="Z120" i="11"/>
  <c r="Z121" i="11"/>
  <c r="Z122" i="11"/>
  <c r="Z123" i="11"/>
  <c r="Z124" i="11"/>
  <c r="Z125" i="11"/>
  <c r="Z126" i="11"/>
  <c r="Z127" i="11"/>
  <c r="Z128" i="11"/>
  <c r="Z129" i="11"/>
  <c r="Z130" i="11"/>
  <c r="Z131" i="11"/>
  <c r="Z132" i="11"/>
  <c r="Z133" i="11"/>
  <c r="Z134" i="11"/>
  <c r="Z135" i="11"/>
  <c r="Z136" i="11"/>
  <c r="Z137" i="11"/>
  <c r="Z138" i="11"/>
  <c r="Z139" i="11"/>
  <c r="Z140" i="11"/>
  <c r="Z141" i="11"/>
  <c r="Z142" i="11"/>
  <c r="Z143" i="11"/>
  <c r="Z144" i="11"/>
  <c r="Z145" i="11"/>
  <c r="Z146" i="11"/>
  <c r="Z147" i="11"/>
  <c r="Z148" i="11"/>
  <c r="Z149" i="11"/>
  <c r="Z150" i="11"/>
  <c r="Z151" i="11"/>
  <c r="Z152" i="11"/>
  <c r="Z153" i="11"/>
  <c r="Z154" i="11"/>
  <c r="Z155" i="11"/>
  <c r="Z156" i="11"/>
  <c r="Z157" i="11"/>
  <c r="Z158" i="11"/>
  <c r="Z159" i="11"/>
  <c r="Z160" i="11"/>
  <c r="Z161" i="11"/>
  <c r="Z162" i="11"/>
  <c r="Z163" i="11"/>
  <c r="Z164" i="11"/>
  <c r="Z165" i="11"/>
  <c r="Z166" i="11"/>
  <c r="Z167" i="11"/>
  <c r="Z168" i="11"/>
  <c r="Z169" i="11"/>
  <c r="Z170" i="11"/>
  <c r="Z171" i="11"/>
  <c r="Z172" i="11"/>
  <c r="Z173" i="11"/>
  <c r="Z174" i="11"/>
  <c r="Z175" i="11"/>
  <c r="Z176" i="11"/>
  <c r="Z177" i="11"/>
  <c r="Z178" i="11"/>
  <c r="Z114" i="11"/>
  <c r="Z113" i="11"/>
  <c r="AC117" i="11"/>
  <c r="AC118" i="11"/>
  <c r="AC119" i="11"/>
  <c r="AC120" i="11"/>
  <c r="AC121" i="11"/>
  <c r="AC122" i="11"/>
  <c r="AC123" i="11"/>
  <c r="AC124" i="11"/>
  <c r="AC125" i="11"/>
  <c r="AC126" i="11"/>
  <c r="AC127" i="11"/>
  <c r="AC128" i="11"/>
  <c r="AC129" i="11"/>
  <c r="AC130" i="11"/>
  <c r="AC131" i="11"/>
  <c r="AC132" i="11"/>
  <c r="AC133" i="11"/>
  <c r="AC134" i="11"/>
  <c r="AC135" i="11"/>
  <c r="AC136" i="11"/>
  <c r="AC137" i="11"/>
  <c r="AC138" i="11"/>
  <c r="AC139" i="11"/>
  <c r="AC140" i="11"/>
  <c r="AC141" i="11"/>
  <c r="AC142" i="11"/>
  <c r="AC143" i="11"/>
  <c r="AC144" i="11"/>
  <c r="AC145" i="11"/>
  <c r="AC146" i="11"/>
  <c r="AC147" i="11"/>
  <c r="AC148" i="11"/>
  <c r="AC149" i="11"/>
  <c r="AC150" i="11"/>
  <c r="AC151" i="11"/>
  <c r="AC152" i="11"/>
  <c r="AC153" i="11"/>
  <c r="AC154" i="11"/>
  <c r="AC155" i="11"/>
  <c r="AC156" i="11"/>
  <c r="AC157" i="11"/>
  <c r="AC158" i="11"/>
  <c r="AC159" i="11"/>
  <c r="AC160" i="11"/>
  <c r="AC161" i="11"/>
  <c r="AC162" i="11"/>
  <c r="AC163" i="11"/>
  <c r="AC164" i="11"/>
  <c r="AC165" i="11"/>
  <c r="AC166" i="11"/>
  <c r="AC167" i="11"/>
  <c r="AC168" i="11"/>
  <c r="AC169" i="11"/>
  <c r="AC170" i="11"/>
  <c r="AC171" i="11"/>
  <c r="AC172" i="11"/>
  <c r="AC173" i="11"/>
  <c r="AC174" i="11"/>
  <c r="AC175" i="11"/>
  <c r="AC176" i="11"/>
  <c r="AC177" i="11"/>
  <c r="AC178" i="11"/>
  <c r="AC115" i="11"/>
  <c r="AC116" i="11"/>
  <c r="AC114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L179" i="11"/>
  <c r="F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7" i="11"/>
  <c r="H156" i="11"/>
  <c r="H155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4" i="11"/>
  <c r="H123" i="11"/>
  <c r="H122" i="11"/>
  <c r="H121" i="11"/>
  <c r="H120" i="11"/>
  <c r="H119" i="11"/>
  <c r="H118" i="11"/>
  <c r="H117" i="11"/>
  <c r="H116" i="11"/>
  <c r="H115" i="11"/>
  <c r="H114" i="11"/>
  <c r="C178" i="11"/>
  <c r="C177" i="11"/>
  <c r="E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E143" i="11"/>
  <c r="C143" i="11"/>
  <c r="E142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E101" i="11"/>
  <c r="C101" i="11"/>
  <c r="C100" i="11"/>
  <c r="D100" i="11"/>
  <c r="E100" i="11"/>
  <c r="AP92" i="11"/>
  <c r="AP91" i="11"/>
  <c r="AP72" i="11"/>
  <c r="AP33" i="11"/>
  <c r="K114" i="11"/>
  <c r="S41" i="56"/>
  <c r="N41" i="56"/>
  <c r="P41" i="56"/>
  <c r="L41" i="56"/>
  <c r="S40" i="56"/>
  <c r="N40" i="56"/>
  <c r="P40" i="56"/>
  <c r="L40" i="56"/>
  <c r="S38" i="56"/>
  <c r="N38" i="56"/>
  <c r="P38" i="56"/>
  <c r="L38" i="56"/>
  <c r="S36" i="56"/>
  <c r="N36" i="56"/>
  <c r="P36" i="56"/>
  <c r="L36" i="56"/>
  <c r="S35" i="56"/>
  <c r="N35" i="56"/>
  <c r="P35" i="56"/>
  <c r="L35" i="56"/>
  <c r="S34" i="56"/>
  <c r="N34" i="56"/>
  <c r="P34" i="56"/>
  <c r="L34" i="56"/>
  <c r="S33" i="56"/>
  <c r="N33" i="56"/>
  <c r="P33" i="56"/>
  <c r="L33" i="56"/>
  <c r="AO44" i="11"/>
  <c r="AO45" i="11"/>
  <c r="AO46" i="11"/>
  <c r="AO47" i="11"/>
  <c r="AO49" i="11"/>
  <c r="AO50" i="11"/>
  <c r="AO51" i="11"/>
  <c r="AO52" i="11"/>
  <c r="AO53" i="11"/>
  <c r="AL44" i="11"/>
  <c r="AL45" i="11"/>
  <c r="AL46" i="11"/>
  <c r="AL47" i="11"/>
  <c r="AL49" i="11"/>
  <c r="AL50" i="11"/>
  <c r="AL51" i="11"/>
  <c r="AL52" i="11"/>
  <c r="AL53" i="11"/>
  <c r="AI44" i="11"/>
  <c r="AI45" i="11"/>
  <c r="AI46" i="11"/>
  <c r="AI47" i="11"/>
  <c r="AF18" i="11"/>
  <c r="AF19" i="11"/>
  <c r="AF20" i="11"/>
  <c r="AF21" i="11"/>
  <c r="AF23" i="11"/>
  <c r="AF24" i="11"/>
  <c r="AF60" i="11"/>
  <c r="AF25" i="11"/>
  <c r="AF27" i="11"/>
  <c r="AF28" i="11"/>
  <c r="AF29" i="11"/>
  <c r="AF30" i="11"/>
  <c r="AF31" i="11"/>
  <c r="AF32" i="11"/>
  <c r="AF33" i="11"/>
  <c r="AF34" i="11"/>
  <c r="AF35" i="11"/>
  <c r="AF37" i="11"/>
  <c r="AF38" i="11"/>
  <c r="AF39" i="11"/>
  <c r="AF40" i="11"/>
  <c r="AF42" i="11"/>
  <c r="AF44" i="11"/>
  <c r="AF45" i="11"/>
  <c r="AF46" i="11"/>
  <c r="AF47" i="11"/>
  <c r="AF49" i="11"/>
  <c r="AF50" i="11"/>
  <c r="AF51" i="11"/>
  <c r="AF52" i="11"/>
  <c r="AF53" i="11"/>
  <c r="AF55" i="11"/>
  <c r="AF56" i="11"/>
  <c r="AF17" i="11"/>
  <c r="K44" i="11"/>
  <c r="N44" i="11"/>
  <c r="Q44" i="11"/>
  <c r="T44" i="11"/>
  <c r="W44" i="11"/>
  <c r="Z44" i="11"/>
  <c r="AC44" i="11"/>
  <c r="K45" i="11"/>
  <c r="N45" i="11"/>
  <c r="Q45" i="11"/>
  <c r="T45" i="11"/>
  <c r="W45" i="11"/>
  <c r="Z45" i="11"/>
  <c r="AC45" i="11"/>
  <c r="K46" i="11"/>
  <c r="N46" i="11"/>
  <c r="Q46" i="11"/>
  <c r="T46" i="11"/>
  <c r="W46" i="11"/>
  <c r="Z46" i="11"/>
  <c r="AC46" i="11"/>
  <c r="K47" i="11"/>
  <c r="N47" i="11"/>
  <c r="Q47" i="11"/>
  <c r="T47" i="11"/>
  <c r="W47" i="11"/>
  <c r="Z47" i="11"/>
  <c r="AC47" i="11"/>
  <c r="Q55" i="11"/>
  <c r="N55" i="11"/>
  <c r="F80" i="11"/>
  <c r="F73" i="11"/>
  <c r="D80" i="11"/>
  <c r="E80" i="11"/>
  <c r="C80" i="11"/>
  <c r="F85" i="11"/>
  <c r="F68" i="11"/>
  <c r="F43" i="11"/>
  <c r="H53" i="11"/>
  <c r="C88" i="11"/>
  <c r="H88" i="11"/>
  <c r="K88" i="11"/>
  <c r="N88" i="11"/>
  <c r="Q88" i="11"/>
  <c r="T88" i="11"/>
  <c r="W88" i="11"/>
  <c r="Z88" i="11"/>
  <c r="AC88" i="11"/>
  <c r="AF88" i="11"/>
  <c r="AI88" i="11"/>
  <c r="AL88" i="11"/>
  <c r="AO88" i="11"/>
  <c r="AP88" i="11"/>
  <c r="AQ88" i="11"/>
  <c r="D48" i="11"/>
  <c r="E48" i="11"/>
  <c r="C48" i="11"/>
  <c r="D43" i="11"/>
  <c r="E43" i="11"/>
  <c r="D54" i="11"/>
  <c r="E54" i="11"/>
  <c r="C54" i="11"/>
  <c r="H11" i="11"/>
  <c r="K11" i="11"/>
  <c r="K12" i="11"/>
  <c r="N11" i="11"/>
  <c r="Q11" i="11"/>
  <c r="T11" i="11"/>
  <c r="F9" i="11"/>
  <c r="H9" i="11"/>
  <c r="E59" i="11"/>
  <c r="D59" i="11"/>
  <c r="E58" i="11"/>
  <c r="D58" i="11"/>
  <c r="D21" i="11"/>
  <c r="E21" i="11"/>
  <c r="C18" i="11"/>
  <c r="C87" i="11"/>
  <c r="C86" i="11"/>
  <c r="C95" i="11"/>
  <c r="C94" i="11"/>
  <c r="D79" i="11"/>
  <c r="E79" i="11"/>
  <c r="D78" i="11"/>
  <c r="E78" i="11"/>
  <c r="D77" i="11"/>
  <c r="E77" i="11"/>
  <c r="D76" i="11"/>
  <c r="E76" i="11"/>
  <c r="D75" i="11"/>
  <c r="E75" i="11"/>
  <c r="D84" i="11"/>
  <c r="E84" i="11"/>
  <c r="D83" i="11"/>
  <c r="E83" i="11"/>
  <c r="D82" i="11"/>
  <c r="E82" i="11"/>
  <c r="D81" i="11"/>
  <c r="E81" i="11"/>
  <c r="C79" i="11"/>
  <c r="C78" i="11"/>
  <c r="C77" i="11"/>
  <c r="C76" i="11"/>
  <c r="C75" i="11"/>
  <c r="C84" i="11"/>
  <c r="C83" i="11"/>
  <c r="C82" i="11"/>
  <c r="C81" i="11"/>
  <c r="C74" i="11"/>
  <c r="H74" i="11"/>
  <c r="K74" i="11"/>
  <c r="N74" i="11"/>
  <c r="Q74" i="11"/>
  <c r="T74" i="11"/>
  <c r="W74" i="11"/>
  <c r="Z74" i="11"/>
  <c r="AC74" i="11"/>
  <c r="AF74" i="11"/>
  <c r="AI74" i="11"/>
  <c r="AL74" i="11"/>
  <c r="AO74" i="11"/>
  <c r="AP74" i="11"/>
  <c r="AQ74" i="11"/>
  <c r="AQ38" i="11"/>
  <c r="AR38" i="11"/>
  <c r="D38" i="11"/>
  <c r="E38" i="11"/>
  <c r="AP38" i="11"/>
  <c r="AO38" i="11"/>
  <c r="AL38" i="11"/>
  <c r="AI38" i="11"/>
  <c r="AC38" i="11"/>
  <c r="Z38" i="11"/>
  <c r="W38" i="11"/>
  <c r="T38" i="11"/>
  <c r="Q38" i="11"/>
  <c r="N38" i="11"/>
  <c r="K38" i="11"/>
  <c r="H38" i="11"/>
  <c r="C38" i="11"/>
  <c r="H58" i="11"/>
  <c r="K58" i="11"/>
  <c r="N58" i="11"/>
  <c r="Q58" i="11"/>
  <c r="T58" i="11"/>
  <c r="W58" i="11"/>
  <c r="Z58" i="11"/>
  <c r="AC58" i="11"/>
  <c r="AF58" i="11"/>
  <c r="AI58" i="11"/>
  <c r="AL58" i="11"/>
  <c r="AO58" i="11"/>
  <c r="H59" i="11"/>
  <c r="K59" i="11"/>
  <c r="N59" i="11"/>
  <c r="Q59" i="11"/>
  <c r="T59" i="11"/>
  <c r="W59" i="11"/>
  <c r="Z59" i="11"/>
  <c r="AC59" i="11"/>
  <c r="AF59" i="11"/>
  <c r="AI59" i="11"/>
  <c r="AL59" i="11"/>
  <c r="AO59" i="11"/>
  <c r="AO18" i="11"/>
  <c r="AL18" i="11"/>
  <c r="AI18" i="11"/>
  <c r="AC18" i="11"/>
  <c r="H21" i="11"/>
  <c r="K21" i="11"/>
  <c r="N21" i="11"/>
  <c r="Q21" i="11"/>
  <c r="T21" i="11"/>
  <c r="W21" i="11"/>
  <c r="Z21" i="11"/>
  <c r="AC21" i="11"/>
  <c r="AI21" i="11"/>
  <c r="AL21" i="11"/>
  <c r="AO21" i="11"/>
  <c r="N22" i="11"/>
  <c r="W22" i="11"/>
  <c r="H23" i="11"/>
  <c r="K23" i="11"/>
  <c r="N23" i="11"/>
  <c r="Q23" i="11"/>
  <c r="T23" i="11"/>
  <c r="W23" i="11"/>
  <c r="Z23" i="11"/>
  <c r="AC23" i="11"/>
  <c r="AI23" i="11"/>
  <c r="AL23" i="11"/>
  <c r="AO23" i="11"/>
  <c r="H24" i="11"/>
  <c r="K24" i="11"/>
  <c r="N24" i="11"/>
  <c r="Q24" i="11"/>
  <c r="T24" i="11"/>
  <c r="W24" i="11"/>
  <c r="Z24" i="11"/>
  <c r="AC24" i="11"/>
  <c r="AI24" i="11"/>
  <c r="AL24" i="11"/>
  <c r="AO24" i="11"/>
  <c r="H60" i="11"/>
  <c r="K60" i="11"/>
  <c r="N60" i="11"/>
  <c r="Q60" i="11"/>
  <c r="T60" i="11"/>
  <c r="W60" i="11"/>
  <c r="Z60" i="11"/>
  <c r="AC60" i="11"/>
  <c r="AI60" i="11"/>
  <c r="AL60" i="11"/>
  <c r="AO60" i="11"/>
  <c r="H25" i="11"/>
  <c r="K25" i="11"/>
  <c r="N25" i="11"/>
  <c r="Q25" i="11"/>
  <c r="T25" i="11"/>
  <c r="W25" i="11"/>
  <c r="Z25" i="11"/>
  <c r="AC25" i="11"/>
  <c r="AI25" i="11"/>
  <c r="AL25" i="11"/>
  <c r="AO25" i="11"/>
  <c r="H26" i="11"/>
  <c r="H27" i="11"/>
  <c r="K27" i="11"/>
  <c r="N27" i="11"/>
  <c r="Q27" i="11"/>
  <c r="T27" i="11"/>
  <c r="W27" i="11"/>
  <c r="Z27" i="11"/>
  <c r="AC27" i="11"/>
  <c r="AI27" i="11"/>
  <c r="AL27" i="11"/>
  <c r="AO27" i="11"/>
  <c r="H28" i="11"/>
  <c r="K28" i="11"/>
  <c r="N28" i="11"/>
  <c r="Q28" i="11"/>
  <c r="T28" i="11"/>
  <c r="W28" i="11"/>
  <c r="Z28" i="11"/>
  <c r="AC28" i="11"/>
  <c r="AI28" i="11"/>
  <c r="AL28" i="11"/>
  <c r="AO28" i="11"/>
  <c r="K29" i="11"/>
  <c r="N29" i="11"/>
  <c r="Q29" i="11"/>
  <c r="T29" i="11"/>
  <c r="W29" i="11"/>
  <c r="Z29" i="11"/>
  <c r="AC29" i="11"/>
  <c r="AI29" i="11"/>
  <c r="AL29" i="11"/>
  <c r="AO29" i="11"/>
  <c r="H30" i="11"/>
  <c r="K30" i="11"/>
  <c r="N30" i="11"/>
  <c r="Q30" i="11"/>
  <c r="T30" i="11"/>
  <c r="W30" i="11"/>
  <c r="Z30" i="11"/>
  <c r="AC30" i="11"/>
  <c r="AI30" i="11"/>
  <c r="AL30" i="11"/>
  <c r="AO30" i="11"/>
  <c r="H31" i="11"/>
  <c r="K31" i="11"/>
  <c r="N31" i="11"/>
  <c r="Q31" i="11"/>
  <c r="T31" i="11"/>
  <c r="W31" i="11"/>
  <c r="Z31" i="11"/>
  <c r="AC31" i="11"/>
  <c r="AI31" i="11"/>
  <c r="AL31" i="11"/>
  <c r="AO31" i="11"/>
  <c r="H32" i="11"/>
  <c r="K32" i="11"/>
  <c r="N32" i="11"/>
  <c r="Q32" i="11"/>
  <c r="T32" i="11"/>
  <c r="W32" i="11"/>
  <c r="Z32" i="11"/>
  <c r="AC32" i="11"/>
  <c r="AI32" i="11"/>
  <c r="AL32" i="11"/>
  <c r="AO32" i="11"/>
  <c r="H33" i="11"/>
  <c r="K33" i="11"/>
  <c r="N33" i="11"/>
  <c r="Q33" i="11"/>
  <c r="T33" i="11"/>
  <c r="W33" i="11"/>
  <c r="Z33" i="11"/>
  <c r="AC33" i="11"/>
  <c r="AI33" i="11"/>
  <c r="AL33" i="11"/>
  <c r="AO33" i="11"/>
  <c r="H34" i="11"/>
  <c r="K34" i="11"/>
  <c r="N34" i="11"/>
  <c r="Q34" i="11"/>
  <c r="T34" i="11"/>
  <c r="W34" i="11"/>
  <c r="Z34" i="11"/>
  <c r="AC34" i="11"/>
  <c r="AI34" i="11"/>
  <c r="AL34" i="11"/>
  <c r="AO34" i="11"/>
  <c r="H35" i="11"/>
  <c r="K35" i="11"/>
  <c r="N35" i="11"/>
  <c r="Q35" i="11"/>
  <c r="W35" i="11"/>
  <c r="Z35" i="11"/>
  <c r="AC35" i="11"/>
  <c r="AI35" i="11"/>
  <c r="AL35" i="11"/>
  <c r="AO35" i="11"/>
  <c r="H37" i="11"/>
  <c r="K37" i="11"/>
  <c r="N37" i="11"/>
  <c r="Q37" i="11"/>
  <c r="T37" i="11"/>
  <c r="W37" i="11"/>
  <c r="Z37" i="11"/>
  <c r="AC37" i="11"/>
  <c r="AI37" i="11"/>
  <c r="AL37" i="11"/>
  <c r="AO37" i="11"/>
  <c r="H39" i="11"/>
  <c r="K39" i="11"/>
  <c r="N39" i="11"/>
  <c r="Q39" i="11"/>
  <c r="T39" i="11"/>
  <c r="W39" i="11"/>
  <c r="Z39" i="11"/>
  <c r="AC39" i="11"/>
  <c r="AI39" i="11"/>
  <c r="AL39" i="11"/>
  <c r="AO39" i="11"/>
  <c r="H40" i="11"/>
  <c r="K40" i="11"/>
  <c r="N40" i="11"/>
  <c r="Q40" i="11"/>
  <c r="T40" i="11"/>
  <c r="W40" i="11"/>
  <c r="Z40" i="11"/>
  <c r="AC40" i="11"/>
  <c r="AI40" i="11"/>
  <c r="AL40" i="11"/>
  <c r="AO40" i="11"/>
  <c r="H42" i="11"/>
  <c r="K42" i="11"/>
  <c r="N42" i="11"/>
  <c r="Q42" i="11"/>
  <c r="T42" i="11"/>
  <c r="W42" i="11"/>
  <c r="Z42" i="11"/>
  <c r="AC42" i="11"/>
  <c r="AI42" i="11"/>
  <c r="AL42" i="11"/>
  <c r="AO42" i="11"/>
  <c r="H44" i="11"/>
  <c r="H45" i="11"/>
  <c r="H46" i="11"/>
  <c r="H47" i="11"/>
  <c r="H49" i="11"/>
  <c r="K49" i="11"/>
  <c r="N49" i="11"/>
  <c r="Q49" i="11"/>
  <c r="T49" i="11"/>
  <c r="W49" i="11"/>
  <c r="Z49" i="11"/>
  <c r="AC49" i="11"/>
  <c r="AI49" i="11"/>
  <c r="K50" i="11"/>
  <c r="N50" i="11"/>
  <c r="Q50" i="11"/>
  <c r="T50" i="11"/>
  <c r="W50" i="11"/>
  <c r="Z50" i="11"/>
  <c r="AC50" i="11"/>
  <c r="AI50" i="11"/>
  <c r="H51" i="11"/>
  <c r="K51" i="11"/>
  <c r="N51" i="11"/>
  <c r="Q51" i="11"/>
  <c r="T51" i="11"/>
  <c r="W51" i="11"/>
  <c r="Z51" i="11"/>
  <c r="AC51" i="11"/>
  <c r="AI51" i="11"/>
  <c r="H55" i="11"/>
  <c r="K55" i="11"/>
  <c r="T55" i="11"/>
  <c r="W55" i="11"/>
  <c r="Z55" i="11"/>
  <c r="AC55" i="11"/>
  <c r="AI55" i="11"/>
  <c r="AL55" i="11"/>
  <c r="AO55" i="11"/>
  <c r="H56" i="11"/>
  <c r="K56" i="11"/>
  <c r="N56" i="11"/>
  <c r="Q56" i="11"/>
  <c r="T56" i="11"/>
  <c r="W56" i="11"/>
  <c r="Z56" i="11"/>
  <c r="AC56" i="11"/>
  <c r="AI56" i="11"/>
  <c r="AL56" i="11"/>
  <c r="AO56" i="11"/>
  <c r="H52" i="11"/>
  <c r="K52" i="11"/>
  <c r="N52" i="11"/>
  <c r="Q52" i="11"/>
  <c r="T52" i="11"/>
  <c r="W52" i="11"/>
  <c r="Z52" i="11"/>
  <c r="AC52" i="11"/>
  <c r="AI52" i="11"/>
  <c r="K53" i="11"/>
  <c r="N53" i="11"/>
  <c r="Q53" i="11"/>
  <c r="T53" i="11"/>
  <c r="W53" i="11"/>
  <c r="Z53" i="11"/>
  <c r="AC53" i="11"/>
  <c r="AI53" i="11"/>
  <c r="H81" i="11"/>
  <c r="K81" i="11"/>
  <c r="N81" i="11"/>
  <c r="Q81" i="11"/>
  <c r="T81" i="11"/>
  <c r="W81" i="11"/>
  <c r="Z81" i="11"/>
  <c r="AC81" i="11"/>
  <c r="AF81" i="11"/>
  <c r="AI81" i="11"/>
  <c r="AL81" i="11"/>
  <c r="AO81" i="11"/>
  <c r="H82" i="11"/>
  <c r="K82" i="11"/>
  <c r="N82" i="11"/>
  <c r="T82" i="11"/>
  <c r="W82" i="11"/>
  <c r="Z82" i="11"/>
  <c r="AC82" i="11"/>
  <c r="AF82" i="11"/>
  <c r="AI82" i="11"/>
  <c r="AL82" i="11"/>
  <c r="AO82" i="11"/>
  <c r="H83" i="11"/>
  <c r="K83" i="11"/>
  <c r="N83" i="11"/>
  <c r="Q83" i="11"/>
  <c r="T83" i="11"/>
  <c r="W83" i="11"/>
  <c r="Z83" i="11"/>
  <c r="AC83" i="11"/>
  <c r="AF83" i="11"/>
  <c r="AI83" i="11"/>
  <c r="AL83" i="11"/>
  <c r="AO83" i="11"/>
  <c r="H84" i="11"/>
  <c r="K84" i="11"/>
  <c r="N84" i="11"/>
  <c r="Q84" i="11"/>
  <c r="T84" i="11"/>
  <c r="W84" i="11"/>
  <c r="Z84" i="11"/>
  <c r="AC84" i="11"/>
  <c r="AF84" i="11"/>
  <c r="AI84" i="11"/>
  <c r="AL84" i="11"/>
  <c r="AO84" i="11"/>
  <c r="H75" i="11"/>
  <c r="K75" i="11"/>
  <c r="N75" i="11"/>
  <c r="Q75" i="11"/>
  <c r="T75" i="11"/>
  <c r="W75" i="11"/>
  <c r="Z75" i="11"/>
  <c r="AC75" i="11"/>
  <c r="AF75" i="11"/>
  <c r="AI75" i="11"/>
  <c r="AL75" i="11"/>
  <c r="AO75" i="11"/>
  <c r="H76" i="11"/>
  <c r="K76" i="11"/>
  <c r="N76" i="11"/>
  <c r="Q76" i="11"/>
  <c r="T76" i="11"/>
  <c r="W76" i="11"/>
  <c r="Z76" i="11"/>
  <c r="AC76" i="11"/>
  <c r="AF76" i="11"/>
  <c r="AI76" i="11"/>
  <c r="AL76" i="11"/>
  <c r="AO76" i="11"/>
  <c r="H77" i="11"/>
  <c r="K77" i="11"/>
  <c r="N77" i="11"/>
  <c r="Q77" i="11"/>
  <c r="T77" i="11"/>
  <c r="W77" i="11"/>
  <c r="Z77" i="11"/>
  <c r="AC77" i="11"/>
  <c r="AF77" i="11"/>
  <c r="AI77" i="11"/>
  <c r="AL77" i="11"/>
  <c r="AO77" i="11"/>
  <c r="H78" i="11"/>
  <c r="K78" i="11"/>
  <c r="N78" i="11"/>
  <c r="Q78" i="11"/>
  <c r="T78" i="11"/>
  <c r="W78" i="11"/>
  <c r="Z78" i="11"/>
  <c r="AC78" i="11"/>
  <c r="AF78" i="11"/>
  <c r="AI78" i="11"/>
  <c r="AL78" i="11"/>
  <c r="AO78" i="11"/>
  <c r="H79" i="11"/>
  <c r="K79" i="11"/>
  <c r="N79" i="11"/>
  <c r="Q79" i="11"/>
  <c r="T79" i="11"/>
  <c r="W79" i="11"/>
  <c r="Z79" i="11"/>
  <c r="AC79" i="11"/>
  <c r="AF79" i="11"/>
  <c r="AI79" i="11"/>
  <c r="AL79" i="11"/>
  <c r="AO79" i="11"/>
  <c r="H90" i="11"/>
  <c r="K90" i="11"/>
  <c r="N90" i="11"/>
  <c r="Q90" i="11"/>
  <c r="T90" i="11"/>
  <c r="W90" i="11"/>
  <c r="Z90" i="11"/>
  <c r="AC90" i="11"/>
  <c r="AF90" i="11"/>
  <c r="AI90" i="11"/>
  <c r="AL90" i="11"/>
  <c r="AO90" i="11"/>
  <c r="H91" i="11"/>
  <c r="K91" i="11"/>
  <c r="N91" i="11"/>
  <c r="Q91" i="11"/>
  <c r="T91" i="11"/>
  <c r="W91" i="11"/>
  <c r="Z91" i="11"/>
  <c r="AC91" i="11"/>
  <c r="AF91" i="11"/>
  <c r="AI91" i="11"/>
  <c r="AL91" i="11"/>
  <c r="AO91" i="11"/>
  <c r="H92" i="11"/>
  <c r="K92" i="11"/>
  <c r="N92" i="11"/>
  <c r="Q92" i="11"/>
  <c r="T92" i="11"/>
  <c r="W92" i="11"/>
  <c r="Z92" i="11"/>
  <c r="AC92" i="11"/>
  <c r="AF92" i="11"/>
  <c r="AI92" i="11"/>
  <c r="AL92" i="11"/>
  <c r="AO92" i="11"/>
  <c r="H86" i="11"/>
  <c r="K86" i="11"/>
  <c r="N86" i="11"/>
  <c r="Q86" i="11"/>
  <c r="T86" i="11"/>
  <c r="W86" i="11"/>
  <c r="Z86" i="11"/>
  <c r="AC86" i="11"/>
  <c r="AF86" i="11"/>
  <c r="AI86" i="11"/>
  <c r="AL86" i="11"/>
  <c r="AO86" i="11"/>
  <c r="H87" i="11"/>
  <c r="K87" i="11"/>
  <c r="N87" i="11"/>
  <c r="Q87" i="11"/>
  <c r="T87" i="11"/>
  <c r="W87" i="11"/>
  <c r="Z87" i="11"/>
  <c r="AC87" i="11"/>
  <c r="AF87" i="11"/>
  <c r="AI87" i="11"/>
  <c r="AL87" i="11"/>
  <c r="AO87" i="11"/>
  <c r="H94" i="11"/>
  <c r="K94" i="11"/>
  <c r="N94" i="11"/>
  <c r="Q94" i="11"/>
  <c r="T94" i="11"/>
  <c r="W94" i="11"/>
  <c r="Z94" i="11"/>
  <c r="AC94" i="11"/>
  <c r="AF94" i="11"/>
  <c r="AI94" i="11"/>
  <c r="AL94" i="11"/>
  <c r="AO94" i="11"/>
  <c r="H95" i="11"/>
  <c r="K95" i="11"/>
  <c r="N95" i="11"/>
  <c r="Q95" i="11"/>
  <c r="T95" i="11"/>
  <c r="W95" i="11"/>
  <c r="Z95" i="11"/>
  <c r="AC95" i="11"/>
  <c r="AF95" i="11"/>
  <c r="AI95" i="11"/>
  <c r="AL95" i="11"/>
  <c r="AO95" i="11"/>
  <c r="H69" i="11"/>
  <c r="K69" i="11"/>
  <c r="N69" i="11"/>
  <c r="Q69" i="11"/>
  <c r="T69" i="11"/>
  <c r="W69" i="11"/>
  <c r="Z69" i="11"/>
  <c r="AC69" i="11"/>
  <c r="AF69" i="11"/>
  <c r="AI69" i="11"/>
  <c r="AL69" i="11"/>
  <c r="AO69" i="11"/>
  <c r="H70" i="11"/>
  <c r="K70" i="11"/>
  <c r="N70" i="11"/>
  <c r="Q70" i="11"/>
  <c r="T70" i="11"/>
  <c r="W70" i="11"/>
  <c r="Z70" i="11"/>
  <c r="AC70" i="11"/>
  <c r="AF70" i="11"/>
  <c r="AI70" i="11"/>
  <c r="AL70" i="11"/>
  <c r="AO70" i="11"/>
  <c r="H71" i="11"/>
  <c r="N71" i="11"/>
  <c r="Q71" i="11"/>
  <c r="T71" i="11"/>
  <c r="W71" i="11"/>
  <c r="Z71" i="11"/>
  <c r="AC71" i="11"/>
  <c r="AF71" i="11"/>
  <c r="AI71" i="11"/>
  <c r="AL71" i="11"/>
  <c r="AO71" i="11"/>
  <c r="H72" i="11"/>
  <c r="K72" i="11"/>
  <c r="N72" i="11"/>
  <c r="Q72" i="11"/>
  <c r="T72" i="11"/>
  <c r="W72" i="11"/>
  <c r="Z72" i="11"/>
  <c r="AC72" i="11"/>
  <c r="AF72" i="11"/>
  <c r="AI72" i="11"/>
  <c r="AL72" i="11"/>
  <c r="AO72" i="11"/>
  <c r="N61" i="11"/>
  <c r="H62" i="11"/>
  <c r="K62" i="11"/>
  <c r="N62" i="11"/>
  <c r="Q62" i="11"/>
  <c r="T62" i="11"/>
  <c r="W62" i="11"/>
  <c r="Z62" i="11"/>
  <c r="AC62" i="11"/>
  <c r="AF62" i="11"/>
  <c r="AI62" i="11"/>
  <c r="AL62" i="11"/>
  <c r="AO62" i="11"/>
  <c r="H63" i="11"/>
  <c r="K63" i="11"/>
  <c r="N63" i="11"/>
  <c r="Q63" i="11"/>
  <c r="T63" i="11"/>
  <c r="W63" i="11"/>
  <c r="Z63" i="11"/>
  <c r="AC63" i="11"/>
  <c r="AF63" i="11"/>
  <c r="AI63" i="11"/>
  <c r="AL63" i="11"/>
  <c r="AO63" i="11"/>
  <c r="H64" i="11"/>
  <c r="K64" i="11"/>
  <c r="N64" i="11"/>
  <c r="Q64" i="11"/>
  <c r="T64" i="11"/>
  <c r="W64" i="11"/>
  <c r="Z64" i="11"/>
  <c r="AC64" i="11"/>
  <c r="AF64" i="11"/>
  <c r="AI64" i="11"/>
  <c r="AL64" i="11"/>
  <c r="AO64" i="11"/>
  <c r="H66" i="11"/>
  <c r="K66" i="11"/>
  <c r="N66" i="11"/>
  <c r="Q66" i="11"/>
  <c r="T66" i="11"/>
  <c r="W66" i="11"/>
  <c r="Z66" i="11"/>
  <c r="AC66" i="11"/>
  <c r="AI66" i="11"/>
  <c r="AL66" i="11"/>
  <c r="AO66" i="11"/>
  <c r="H67" i="11"/>
  <c r="K67" i="11"/>
  <c r="N67" i="11"/>
  <c r="Q67" i="11"/>
  <c r="T67" i="11"/>
  <c r="W67" i="11"/>
  <c r="Z67" i="11"/>
  <c r="AC67" i="11"/>
  <c r="AF67" i="11"/>
  <c r="AI67" i="11"/>
  <c r="AL67" i="11"/>
  <c r="AO67" i="11"/>
  <c r="D33" i="11"/>
  <c r="E33" i="11"/>
  <c r="C33" i="11"/>
  <c r="S31" i="56"/>
  <c r="N31" i="56"/>
  <c r="P31" i="56"/>
  <c r="L31" i="56"/>
  <c r="D44" i="11"/>
  <c r="E44" i="11"/>
  <c r="D45" i="11"/>
  <c r="E45" i="11"/>
  <c r="C46" i="11"/>
  <c r="D46" i="11"/>
  <c r="E46" i="11"/>
  <c r="C47" i="11"/>
  <c r="D47" i="11"/>
  <c r="E47" i="11"/>
  <c r="AP55" i="11"/>
  <c r="AP46" i="11"/>
  <c r="AP45" i="11"/>
  <c r="AP56" i="11"/>
  <c r="D52" i="11"/>
  <c r="E52" i="11"/>
  <c r="D53" i="11"/>
  <c r="E53" i="11"/>
  <c r="C52" i="11"/>
  <c r="D72" i="11"/>
  <c r="E72" i="11"/>
  <c r="C69" i="11"/>
  <c r="C70" i="11"/>
  <c r="C71" i="11"/>
  <c r="C72" i="11"/>
  <c r="D62" i="11"/>
  <c r="E62" i="11"/>
  <c r="D63" i="11"/>
  <c r="E63" i="11"/>
  <c r="D64" i="11"/>
  <c r="E64" i="11"/>
  <c r="D67" i="11"/>
  <c r="C67" i="11"/>
  <c r="C66" i="11"/>
  <c r="C91" i="11"/>
  <c r="D91" i="11"/>
  <c r="E91" i="11"/>
  <c r="C92" i="11"/>
  <c r="AP21" i="11"/>
  <c r="C61" i="11"/>
  <c r="D61" i="11"/>
  <c r="E61" i="11"/>
  <c r="C62" i="11"/>
  <c r="C63" i="11"/>
  <c r="C64" i="11"/>
  <c r="D55" i="11"/>
  <c r="E55" i="11"/>
  <c r="D56" i="11"/>
  <c r="E56" i="11"/>
  <c r="C56" i="11"/>
  <c r="C55" i="11"/>
  <c r="C51" i="11"/>
  <c r="C50" i="11"/>
  <c r="C42" i="11"/>
  <c r="C39" i="11"/>
  <c r="C40" i="11"/>
  <c r="C37" i="11"/>
  <c r="C27" i="11"/>
  <c r="C28" i="11"/>
  <c r="C29" i="11"/>
  <c r="C30" i="11"/>
  <c r="C31" i="11"/>
  <c r="E31" i="11"/>
  <c r="C32" i="11"/>
  <c r="E32" i="11"/>
  <c r="C34" i="11"/>
  <c r="C25" i="11"/>
  <c r="C60" i="11"/>
  <c r="C24" i="11"/>
  <c r="C23" i="11"/>
  <c r="C19" i="11"/>
  <c r="C20" i="11"/>
  <c r="C21" i="11"/>
  <c r="C90" i="11"/>
  <c r="E90" i="11"/>
  <c r="C59" i="11"/>
  <c r="C58" i="11"/>
  <c r="AQ6" i="11"/>
  <c r="AR6" i="11"/>
  <c r="D6" i="11"/>
  <c r="E6" i="11"/>
  <c r="Z6" i="11"/>
  <c r="AQ5" i="11"/>
  <c r="AP5" i="11"/>
  <c r="AR5" i="11"/>
  <c r="D5" i="11"/>
  <c r="E5" i="11"/>
  <c r="AP4" i="11"/>
  <c r="AN116" i="11"/>
  <c r="AM116" i="11"/>
  <c r="AM179" i="11"/>
  <c r="AK116" i="11"/>
  <c r="AJ116" i="11"/>
  <c r="AJ179" i="11"/>
  <c r="AH116" i="11"/>
  <c r="AG116" i="11"/>
  <c r="AI116" i="11"/>
  <c r="AE116" i="11"/>
  <c r="AQ116" i="11"/>
  <c r="AE179" i="11"/>
  <c r="AD116" i="11"/>
  <c r="N116" i="11"/>
  <c r="Q116" i="11"/>
  <c r="AC104" i="11"/>
  <c r="AQ100" i="11"/>
  <c r="AP100" i="11"/>
  <c r="L25" i="56"/>
  <c r="L26" i="56"/>
  <c r="L27" i="56"/>
  <c r="L28" i="56"/>
  <c r="L29" i="56"/>
  <c r="L30" i="56"/>
  <c r="L37" i="56"/>
  <c r="L39" i="56"/>
  <c r="L44" i="56"/>
  <c r="L50" i="56"/>
  <c r="L51" i="56"/>
  <c r="L54" i="56"/>
  <c r="L55" i="56"/>
  <c r="L59" i="56"/>
  <c r="L60" i="56"/>
  <c r="L65" i="56"/>
  <c r="L68" i="56"/>
  <c r="L69" i="56"/>
  <c r="L77" i="56"/>
  <c r="L78" i="56"/>
  <c r="L79" i="56"/>
  <c r="L80" i="56"/>
  <c r="L81" i="56"/>
  <c r="L82" i="56"/>
  <c r="L83" i="56"/>
  <c r="L84" i="56"/>
  <c r="L88" i="56"/>
  <c r="L89" i="56"/>
  <c r="L90" i="56"/>
  <c r="L91" i="56"/>
  <c r="L92" i="56"/>
  <c r="L93" i="56"/>
  <c r="L94" i="56"/>
  <c r="L95" i="56"/>
  <c r="L96" i="56"/>
  <c r="L97" i="56"/>
  <c r="L98" i="56"/>
  <c r="L99" i="56"/>
  <c r="L100" i="56"/>
  <c r="L101" i="56"/>
  <c r="L102" i="56"/>
  <c r="L103" i="56"/>
  <c r="L104" i="56"/>
  <c r="L105" i="56"/>
  <c r="L106" i="56"/>
  <c r="L107" i="56"/>
  <c r="L108" i="56"/>
  <c r="L109" i="56"/>
  <c r="L110" i="56"/>
  <c r="L111" i="56"/>
  <c r="L24" i="56"/>
  <c r="AP17" i="11"/>
  <c r="L22" i="56"/>
  <c r="L21" i="56"/>
  <c r="L23" i="56"/>
  <c r="S23" i="56"/>
  <c r="N23" i="56"/>
  <c r="P23" i="56"/>
  <c r="S22" i="56"/>
  <c r="N22" i="56"/>
  <c r="P22" i="56"/>
  <c r="S21" i="56"/>
  <c r="N21" i="56"/>
  <c r="P21" i="56"/>
  <c r="L18" i="56"/>
  <c r="L19" i="56"/>
  <c r="L20" i="56"/>
  <c r="L17" i="56"/>
  <c r="N19" i="56"/>
  <c r="P19" i="56"/>
  <c r="S19" i="56"/>
  <c r="S18" i="56"/>
  <c r="N18" i="56"/>
  <c r="P18" i="56"/>
  <c r="S17" i="56"/>
  <c r="N17" i="56"/>
  <c r="P17" i="56"/>
  <c r="S16" i="56"/>
  <c r="N16" i="56"/>
  <c r="P16" i="56"/>
  <c r="L16" i="56"/>
  <c r="N15" i="56"/>
  <c r="P15" i="56"/>
  <c r="N14" i="56"/>
  <c r="P14" i="56"/>
  <c r="N13" i="56"/>
  <c r="P13" i="56"/>
  <c r="N12" i="56"/>
  <c r="P12" i="56"/>
  <c r="N10" i="56"/>
  <c r="P10" i="56"/>
  <c r="L15" i="56"/>
  <c r="S15" i="56"/>
  <c r="AJ9" i="11"/>
  <c r="AL9" i="11"/>
  <c r="C26" i="11"/>
  <c r="S14" i="56"/>
  <c r="L14" i="56"/>
  <c r="L13" i="56"/>
  <c r="S13" i="56"/>
  <c r="S12" i="56"/>
  <c r="L12" i="56"/>
  <c r="AG9" i="11"/>
  <c r="AH9" i="11"/>
  <c r="AI9" i="11"/>
  <c r="S10" i="56"/>
  <c r="L10" i="56"/>
  <c r="S9" i="56"/>
  <c r="N9" i="56"/>
  <c r="P9" i="56"/>
  <c r="L9" i="56"/>
  <c r="S8" i="56"/>
  <c r="N8" i="56"/>
  <c r="P8" i="56"/>
  <c r="L8" i="56"/>
  <c r="AC19" i="11"/>
  <c r="AC20" i="11"/>
  <c r="Z19" i="11"/>
  <c r="Z20" i="11"/>
  <c r="W19" i="11"/>
  <c r="W20" i="11"/>
  <c r="T19" i="11"/>
  <c r="T20" i="11"/>
  <c r="Q19" i="11"/>
  <c r="Q20" i="11"/>
  <c r="AQ90" i="11"/>
  <c r="AP90" i="11"/>
  <c r="AI19" i="11"/>
  <c r="AL19" i="11"/>
  <c r="AO19" i="11"/>
  <c r="AP19" i="11"/>
  <c r="AQ19" i="11"/>
  <c r="AR19" i="11"/>
  <c r="D19" i="11"/>
  <c r="E19" i="11"/>
  <c r="AI20" i="11"/>
  <c r="AL20" i="11"/>
  <c r="AO20" i="11"/>
  <c r="AP20" i="11"/>
  <c r="AQ20" i="11"/>
  <c r="N19" i="11"/>
  <c r="N20" i="11"/>
  <c r="K19" i="11"/>
  <c r="K20" i="11"/>
  <c r="H19" i="11"/>
  <c r="H20" i="11"/>
  <c r="AP23" i="11"/>
  <c r="AQ23" i="11"/>
  <c r="AR23" i="11"/>
  <c r="D23" i="11"/>
  <c r="E23" i="11"/>
  <c r="AP24" i="11"/>
  <c r="AQ24" i="11"/>
  <c r="AP60" i="11"/>
  <c r="AQ60" i="11"/>
  <c r="AR60" i="11"/>
  <c r="D60" i="11"/>
  <c r="AP25" i="11"/>
  <c r="AQ25" i="11"/>
  <c r="AR25" i="11"/>
  <c r="D25" i="11"/>
  <c r="E25" i="11"/>
  <c r="AP27" i="11"/>
  <c r="AQ27" i="11"/>
  <c r="AR27" i="11"/>
  <c r="D27" i="11"/>
  <c r="E27" i="11"/>
  <c r="AP28" i="11"/>
  <c r="AQ28" i="11"/>
  <c r="AR28" i="11"/>
  <c r="D28" i="11"/>
  <c r="E28" i="11"/>
  <c r="AP29" i="11"/>
  <c r="AR29" i="11"/>
  <c r="D29" i="11"/>
  <c r="E29" i="11"/>
  <c r="AQ29" i="11"/>
  <c r="AP30" i="11"/>
  <c r="AQ30" i="11"/>
  <c r="AP31" i="11"/>
  <c r="AQ31" i="11"/>
  <c r="AR31" i="11"/>
  <c r="AP32" i="11"/>
  <c r="AQ32" i="11"/>
  <c r="AR32" i="11"/>
  <c r="D32" i="11"/>
  <c r="AP34" i="11"/>
  <c r="AQ34" i="11"/>
  <c r="AP35" i="11"/>
  <c r="AQ35" i="11"/>
  <c r="AR35" i="11"/>
  <c r="D35" i="11"/>
  <c r="AP37" i="11"/>
  <c r="AQ37" i="11"/>
  <c r="AP39" i="11"/>
  <c r="AQ39" i="11"/>
  <c r="AR39" i="11"/>
  <c r="D39" i="11"/>
  <c r="E39" i="11"/>
  <c r="AP40" i="11"/>
  <c r="AQ40" i="11"/>
  <c r="AR40" i="11"/>
  <c r="D40" i="11"/>
  <c r="E40" i="11"/>
  <c r="AP42" i="11"/>
  <c r="AR42" i="11"/>
  <c r="D42" i="11"/>
  <c r="E42" i="11"/>
  <c r="AQ42" i="11"/>
  <c r="AP50" i="11"/>
  <c r="AQ50" i="11"/>
  <c r="AR50" i="11"/>
  <c r="D50" i="11"/>
  <c r="E50" i="11"/>
  <c r="AP49" i="11"/>
  <c r="AR49" i="11"/>
  <c r="D49" i="11"/>
  <c r="E49" i="11"/>
  <c r="AQ49" i="11"/>
  <c r="AP51" i="11"/>
  <c r="AQ51" i="11"/>
  <c r="AR51" i="11"/>
  <c r="D51" i="11"/>
  <c r="AP86" i="11"/>
  <c r="AQ86" i="11"/>
  <c r="AR86" i="11"/>
  <c r="D86" i="11"/>
  <c r="AP87" i="11"/>
  <c r="AQ87" i="11"/>
  <c r="AR87" i="11"/>
  <c r="D87" i="11"/>
  <c r="E87" i="11"/>
  <c r="AP94" i="11"/>
  <c r="AQ94" i="11"/>
  <c r="AP95" i="11"/>
  <c r="AQ95" i="11"/>
  <c r="D95" i="11"/>
  <c r="E95" i="11"/>
  <c r="AP69" i="11"/>
  <c r="AQ69" i="11"/>
  <c r="AR69" i="11"/>
  <c r="D69" i="11"/>
  <c r="E69" i="11"/>
  <c r="AP70" i="11"/>
  <c r="AQ70" i="11"/>
  <c r="AP71" i="11"/>
  <c r="AQ71" i="11"/>
  <c r="AQ66" i="11"/>
  <c r="AR66" i="11"/>
  <c r="D66" i="11"/>
  <c r="AC111" i="11"/>
  <c r="AC109" i="11"/>
  <c r="AC108" i="11"/>
  <c r="AC107" i="11"/>
  <c r="Z111" i="11"/>
  <c r="Z110" i="11"/>
  <c r="Z107" i="11"/>
  <c r="Z106" i="11"/>
  <c r="Z102" i="11"/>
  <c r="W101" i="11"/>
  <c r="T111" i="11"/>
  <c r="T108" i="11"/>
  <c r="T104" i="11"/>
  <c r="T103" i="11"/>
  <c r="T100" i="11"/>
  <c r="Q111" i="11"/>
  <c r="Q109" i="11"/>
  <c r="Q107" i="11"/>
  <c r="Q105" i="11"/>
  <c r="Q104" i="11"/>
  <c r="Q103" i="11"/>
  <c r="Q100" i="11"/>
  <c r="N111" i="11"/>
  <c r="K115" i="11"/>
  <c r="N115" i="11"/>
  <c r="Q115" i="11"/>
  <c r="AC102" i="11"/>
  <c r="L11" i="56"/>
  <c r="N11" i="56"/>
  <c r="P11" i="56"/>
  <c r="S11" i="56"/>
  <c r="N20" i="56"/>
  <c r="P20" i="56"/>
  <c r="S20" i="56"/>
  <c r="N24" i="56"/>
  <c r="P24" i="56"/>
  <c r="S24" i="56"/>
  <c r="N25" i="56"/>
  <c r="P25" i="56"/>
  <c r="S25" i="56"/>
  <c r="N26" i="56"/>
  <c r="P26" i="56"/>
  <c r="S26" i="56"/>
  <c r="N27" i="56"/>
  <c r="P27" i="56"/>
  <c r="S27" i="56"/>
  <c r="N28" i="56"/>
  <c r="P28" i="56"/>
  <c r="S28" i="56"/>
  <c r="N29" i="56"/>
  <c r="P29" i="56"/>
  <c r="S29" i="56"/>
  <c r="N30" i="56"/>
  <c r="P30" i="56"/>
  <c r="S30" i="56"/>
  <c r="N37" i="56"/>
  <c r="P37" i="56"/>
  <c r="S37" i="56"/>
  <c r="N39" i="56"/>
  <c r="P39" i="56"/>
  <c r="S39" i="56"/>
  <c r="N44" i="56"/>
  <c r="P44" i="56"/>
  <c r="S44" i="56"/>
  <c r="N50" i="56"/>
  <c r="P50" i="56"/>
  <c r="S50" i="56"/>
  <c r="N51" i="56"/>
  <c r="P51" i="56"/>
  <c r="S51" i="56"/>
  <c r="N54" i="56"/>
  <c r="P54" i="56"/>
  <c r="N55" i="56"/>
  <c r="P55" i="56"/>
  <c r="N59" i="56"/>
  <c r="P59" i="56"/>
  <c r="N60" i="56"/>
  <c r="P60" i="56"/>
  <c r="S60" i="56"/>
  <c r="N64" i="56"/>
  <c r="S64" i="56"/>
  <c r="N65" i="56"/>
  <c r="S65" i="56"/>
  <c r="N68" i="56"/>
  <c r="S68" i="56"/>
  <c r="N69" i="56"/>
  <c r="S69" i="56"/>
  <c r="N77" i="56"/>
  <c r="S77" i="56"/>
  <c r="N78" i="56"/>
  <c r="S78" i="56"/>
  <c r="N79" i="56"/>
  <c r="S79" i="56"/>
  <c r="N80" i="56"/>
  <c r="S80" i="56"/>
  <c r="N81" i="56"/>
  <c r="S81" i="56"/>
  <c r="N82" i="56"/>
  <c r="S82" i="56"/>
  <c r="N83" i="56"/>
  <c r="S83" i="56"/>
  <c r="S84" i="56"/>
  <c r="S89" i="56"/>
  <c r="S90" i="56"/>
  <c r="S91" i="56"/>
  <c r="S92" i="56"/>
  <c r="S93" i="56"/>
  <c r="N94" i="56"/>
  <c r="S94" i="56"/>
  <c r="N95" i="56"/>
  <c r="S95" i="56"/>
  <c r="N96" i="56"/>
  <c r="S96" i="56"/>
  <c r="N97" i="56"/>
  <c r="S97" i="56"/>
  <c r="N98" i="56"/>
  <c r="S98" i="56"/>
  <c r="N99" i="56"/>
  <c r="S99" i="56"/>
  <c r="N100" i="56"/>
  <c r="S100" i="56"/>
  <c r="N101" i="56"/>
  <c r="S101" i="56"/>
  <c r="N102" i="56"/>
  <c r="S102" i="56"/>
  <c r="N103" i="56"/>
  <c r="S103" i="56"/>
  <c r="N104" i="56"/>
  <c r="S104" i="56"/>
  <c r="N105" i="56"/>
  <c r="S105" i="56"/>
  <c r="N106" i="56"/>
  <c r="S106" i="56"/>
  <c r="N107" i="56"/>
  <c r="S107" i="56"/>
  <c r="N108" i="56"/>
  <c r="S108" i="56"/>
  <c r="N109" i="56"/>
  <c r="S109" i="56"/>
  <c r="N110" i="56"/>
  <c r="S110" i="56"/>
  <c r="N111" i="56"/>
  <c r="S111" i="56"/>
  <c r="L112" i="56"/>
  <c r="N112" i="56"/>
  <c r="S112" i="56"/>
  <c r="L113" i="56"/>
  <c r="N113" i="56"/>
  <c r="S113" i="56"/>
  <c r="L114" i="56"/>
  <c r="N114" i="56"/>
  <c r="S114" i="56"/>
  <c r="L115" i="56"/>
  <c r="N115" i="56"/>
  <c r="S115" i="56"/>
  <c r="L116" i="56"/>
  <c r="N116" i="56"/>
  <c r="S116" i="56"/>
  <c r="L117" i="56"/>
  <c r="N117" i="56"/>
  <c r="S117" i="56"/>
  <c r="L118" i="56"/>
  <c r="N118" i="56"/>
  <c r="S118" i="56"/>
  <c r="L119" i="56"/>
  <c r="N119" i="56"/>
  <c r="S119" i="56"/>
  <c r="L120" i="56"/>
  <c r="N120" i="56"/>
  <c r="S120" i="56"/>
  <c r="L121" i="56"/>
  <c r="N121" i="56"/>
  <c r="S121" i="56"/>
  <c r="L122" i="56"/>
  <c r="N122" i="56"/>
  <c r="S122" i="56"/>
  <c r="L123" i="56"/>
  <c r="N123" i="56"/>
  <c r="S123" i="56"/>
  <c r="L124" i="56"/>
  <c r="N124" i="56"/>
  <c r="S124" i="56"/>
  <c r="L125" i="56"/>
  <c r="N125" i="56"/>
  <c r="S125" i="56"/>
  <c r="L126" i="56"/>
  <c r="N126" i="56"/>
  <c r="S126" i="56"/>
  <c r="L127" i="56"/>
  <c r="N127" i="56"/>
  <c r="S127" i="56"/>
  <c r="L128" i="56"/>
  <c r="N128" i="56"/>
  <c r="S128" i="56"/>
  <c r="L129" i="56"/>
  <c r="N129" i="56"/>
  <c r="S129" i="56"/>
  <c r="L130" i="56"/>
  <c r="N130" i="56"/>
  <c r="S130" i="56"/>
  <c r="L131" i="56"/>
  <c r="N131" i="56"/>
  <c r="S131" i="56"/>
  <c r="L132" i="56"/>
  <c r="N132" i="56"/>
  <c r="S132" i="56"/>
  <c r="L133" i="56"/>
  <c r="N133" i="56"/>
  <c r="S133" i="56"/>
  <c r="L134" i="56"/>
  <c r="N134" i="56"/>
  <c r="S134" i="56"/>
  <c r="L135" i="56"/>
  <c r="N135" i="56"/>
  <c r="S135" i="56"/>
  <c r="L136" i="56"/>
  <c r="N136" i="56"/>
  <c r="S136" i="56"/>
  <c r="L137" i="56"/>
  <c r="N137" i="56"/>
  <c r="S137" i="56"/>
  <c r="L138" i="56"/>
  <c r="N138" i="56"/>
  <c r="S138" i="56"/>
  <c r="L139" i="56"/>
  <c r="N139" i="56"/>
  <c r="S139" i="56"/>
  <c r="L140" i="56"/>
  <c r="N140" i="56"/>
  <c r="S140" i="56"/>
  <c r="L141" i="56"/>
  <c r="N141" i="56"/>
  <c r="S141" i="56"/>
  <c r="L142" i="56"/>
  <c r="N142" i="56"/>
  <c r="S142" i="56"/>
  <c r="L143" i="56"/>
  <c r="N143" i="56"/>
  <c r="S143" i="56"/>
  <c r="L144" i="56"/>
  <c r="N144" i="56"/>
  <c r="S144" i="56"/>
  <c r="L145" i="56"/>
  <c r="N145" i="56"/>
  <c r="S145" i="56"/>
  <c r="L146" i="56"/>
  <c r="N146" i="56"/>
  <c r="S146" i="56"/>
  <c r="L147" i="56"/>
  <c r="N147" i="56"/>
  <c r="S147" i="56"/>
  <c r="L148" i="56"/>
  <c r="N148" i="56"/>
  <c r="S148" i="56"/>
  <c r="L149" i="56"/>
  <c r="N149" i="56"/>
  <c r="S149" i="56"/>
  <c r="L150" i="56"/>
  <c r="N150" i="56"/>
  <c r="S150" i="56"/>
  <c r="L151" i="56"/>
  <c r="N151" i="56"/>
  <c r="S151" i="56"/>
  <c r="L152" i="56"/>
  <c r="N152" i="56"/>
  <c r="S152" i="56"/>
  <c r="L153" i="56"/>
  <c r="N153" i="56"/>
  <c r="S153" i="56"/>
  <c r="L154" i="56"/>
  <c r="N154" i="56"/>
  <c r="S154" i="56"/>
  <c r="L155" i="56"/>
  <c r="N155" i="56"/>
  <c r="S155" i="56"/>
  <c r="L156" i="56"/>
  <c r="N156" i="56"/>
  <c r="L157" i="56"/>
  <c r="N157" i="56"/>
  <c r="L158" i="56"/>
  <c r="N158" i="56"/>
  <c r="L159" i="56"/>
  <c r="N159" i="56"/>
  <c r="L160" i="56"/>
  <c r="N160" i="56"/>
  <c r="L161" i="56"/>
  <c r="N161" i="56"/>
  <c r="L162" i="56"/>
  <c r="N162" i="56"/>
  <c r="L163" i="56"/>
  <c r="N163" i="56"/>
  <c r="L164" i="56"/>
  <c r="N164" i="56"/>
  <c r="L165" i="56"/>
  <c r="N165" i="56"/>
  <c r="L166" i="56"/>
  <c r="N166" i="56"/>
  <c r="L167" i="56"/>
  <c r="N167" i="56"/>
  <c r="L168" i="56"/>
  <c r="N168" i="56"/>
  <c r="L169" i="56"/>
  <c r="N169" i="56"/>
  <c r="L170" i="56"/>
  <c r="N170" i="56"/>
  <c r="L171" i="56"/>
  <c r="N171" i="56"/>
  <c r="L172" i="56"/>
  <c r="N172" i="56"/>
  <c r="L173" i="56"/>
  <c r="N173" i="56"/>
  <c r="L174" i="56"/>
  <c r="N174" i="56"/>
  <c r="L175" i="56"/>
  <c r="N175" i="56"/>
  <c r="L176" i="56"/>
  <c r="N176" i="56"/>
  <c r="L177" i="56"/>
  <c r="N177" i="56"/>
  <c r="L178" i="56"/>
  <c r="N178" i="56"/>
  <c r="L179" i="56"/>
  <c r="N179" i="56"/>
  <c r="L180" i="56"/>
  <c r="N180" i="56"/>
  <c r="L181" i="56"/>
  <c r="N181" i="56"/>
  <c r="L182" i="56"/>
  <c r="N182" i="56"/>
  <c r="L183" i="56"/>
  <c r="N183" i="56"/>
  <c r="L184" i="56"/>
  <c r="N184" i="56"/>
  <c r="L185" i="56"/>
  <c r="N185" i="56"/>
  <c r="L186" i="56"/>
  <c r="N186" i="56"/>
  <c r="L187" i="56"/>
  <c r="N187" i="56"/>
  <c r="L188" i="56"/>
  <c r="N188" i="56"/>
  <c r="L189" i="56"/>
  <c r="N189" i="56"/>
  <c r="L190" i="56"/>
  <c r="N190" i="56"/>
  <c r="L191" i="56"/>
  <c r="N191" i="56"/>
  <c r="L192" i="56"/>
  <c r="N192" i="56"/>
  <c r="L193" i="56"/>
  <c r="N193" i="56"/>
  <c r="L194" i="56"/>
  <c r="N194" i="56"/>
  <c r="L195" i="56"/>
  <c r="N195" i="56"/>
  <c r="L196" i="56"/>
  <c r="N196" i="56"/>
  <c r="L197" i="56"/>
  <c r="N197" i="56"/>
  <c r="L198" i="56"/>
  <c r="N198" i="56"/>
  <c r="L199" i="56"/>
  <c r="N199" i="56"/>
  <c r="L200" i="56"/>
  <c r="N200" i="56"/>
  <c r="L201" i="56"/>
  <c r="N201" i="56"/>
  <c r="L202" i="56"/>
  <c r="N202" i="56"/>
  <c r="L203" i="56"/>
  <c r="N203" i="56"/>
  <c r="L204" i="56"/>
  <c r="N204" i="56"/>
  <c r="L205" i="56"/>
  <c r="N205" i="56"/>
  <c r="L206" i="56"/>
  <c r="N206" i="56"/>
  <c r="L207" i="56"/>
  <c r="N207" i="56"/>
  <c r="L208" i="56"/>
  <c r="N208" i="56"/>
  <c r="L209" i="56"/>
  <c r="N209" i="56"/>
  <c r="L210" i="56"/>
  <c r="N210" i="56"/>
  <c r="L211" i="56"/>
  <c r="N211" i="56"/>
  <c r="L212" i="56"/>
  <c r="N212" i="56"/>
  <c r="L213" i="56"/>
  <c r="N213" i="56"/>
  <c r="L214" i="56"/>
  <c r="N214" i="56"/>
  <c r="L215" i="56"/>
  <c r="N215" i="56"/>
  <c r="L216" i="56"/>
  <c r="N216" i="56"/>
  <c r="L217" i="56"/>
  <c r="N217" i="56"/>
  <c r="L218" i="56"/>
  <c r="N218" i="56"/>
  <c r="L219" i="56"/>
  <c r="N219" i="56"/>
  <c r="L220" i="56"/>
  <c r="N220" i="56"/>
  <c r="L221" i="56"/>
  <c r="N221" i="56"/>
  <c r="L222" i="56"/>
  <c r="N222" i="56"/>
  <c r="L223" i="56"/>
  <c r="N223" i="56"/>
  <c r="L224" i="56"/>
  <c r="N224" i="56"/>
  <c r="L225" i="56"/>
  <c r="N225" i="56"/>
  <c r="L226" i="56"/>
  <c r="N226" i="56"/>
  <c r="L227" i="56"/>
  <c r="N227" i="56"/>
  <c r="L228" i="56"/>
  <c r="N228" i="56"/>
  <c r="L229" i="56"/>
  <c r="N229" i="56"/>
  <c r="L230" i="56"/>
  <c r="N230" i="56"/>
  <c r="L231" i="56"/>
  <c r="N231" i="56"/>
  <c r="L232" i="56"/>
  <c r="N232" i="56"/>
  <c r="L233" i="56"/>
  <c r="N233" i="56"/>
  <c r="L234" i="56"/>
  <c r="N234" i="56"/>
  <c r="L235" i="56"/>
  <c r="N235" i="56"/>
  <c r="L236" i="56"/>
  <c r="N236" i="56"/>
  <c r="L237" i="56"/>
  <c r="N237" i="56"/>
  <c r="L238" i="56"/>
  <c r="N238" i="56"/>
  <c r="L239" i="56"/>
  <c r="N239" i="56"/>
  <c r="L240" i="56"/>
  <c r="N240" i="56"/>
  <c r="L241" i="56"/>
  <c r="N241" i="56"/>
  <c r="L242" i="56"/>
  <c r="N242" i="56"/>
  <c r="L243" i="56"/>
  <c r="N243" i="56"/>
  <c r="L244" i="56"/>
  <c r="N244" i="56"/>
  <c r="L245" i="56"/>
  <c r="N245" i="56"/>
  <c r="L246" i="56"/>
  <c r="N246" i="56"/>
  <c r="L247" i="56"/>
  <c r="N247" i="56"/>
  <c r="L248" i="56"/>
  <c r="N248" i="56"/>
  <c r="L249" i="56"/>
  <c r="N249" i="56"/>
  <c r="L250" i="56"/>
  <c r="N250" i="56"/>
  <c r="L251" i="56"/>
  <c r="N251" i="56"/>
  <c r="L252" i="56"/>
  <c r="N252" i="56"/>
  <c r="L253" i="56"/>
  <c r="N253" i="56"/>
  <c r="L254" i="56"/>
  <c r="N254" i="56"/>
  <c r="L255" i="56"/>
  <c r="N255" i="56"/>
  <c r="L256" i="56"/>
  <c r="N256" i="56"/>
  <c r="L257" i="56"/>
  <c r="N257" i="56"/>
  <c r="L258" i="56"/>
  <c r="N258" i="56"/>
  <c r="L259" i="56"/>
  <c r="N259" i="56"/>
  <c r="L260" i="56"/>
  <c r="N260" i="56"/>
  <c r="L261" i="56"/>
  <c r="N261" i="56"/>
  <c r="L262" i="56"/>
  <c r="N262" i="56"/>
  <c r="L263" i="56"/>
  <c r="N263" i="56"/>
  <c r="L264" i="56"/>
  <c r="N264" i="56"/>
  <c r="L265" i="56"/>
  <c r="N265" i="56"/>
  <c r="L266" i="56"/>
  <c r="N266" i="56"/>
  <c r="F2" i="52"/>
  <c r="F3" i="52"/>
  <c r="F4" i="52"/>
  <c r="F5" i="52"/>
  <c r="F6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45" i="35"/>
  <c r="K46" i="35"/>
  <c r="K47" i="35"/>
  <c r="K48" i="35"/>
  <c r="K49" i="35"/>
  <c r="K50" i="35"/>
  <c r="K51" i="35"/>
  <c r="K52" i="35"/>
  <c r="K53" i="35"/>
  <c r="K54" i="35"/>
  <c r="K55" i="35"/>
  <c r="K56" i="35"/>
  <c r="K57" i="35"/>
  <c r="K58" i="35"/>
  <c r="K59" i="35"/>
  <c r="K60" i="35"/>
  <c r="K61" i="35"/>
  <c r="K62" i="35"/>
  <c r="K63" i="35"/>
  <c r="K64" i="35"/>
  <c r="K65" i="35"/>
  <c r="K66" i="35"/>
  <c r="K67" i="35"/>
  <c r="K68" i="35"/>
  <c r="K69" i="35"/>
  <c r="K70" i="35"/>
  <c r="K71" i="35"/>
  <c r="K72" i="35"/>
  <c r="K73" i="35"/>
  <c r="K74" i="35"/>
  <c r="K75" i="35"/>
  <c r="K76" i="35"/>
  <c r="K77" i="35"/>
  <c r="K78" i="35"/>
  <c r="K79" i="35"/>
  <c r="K80" i="35"/>
  <c r="K81" i="35"/>
  <c r="K82" i="35"/>
  <c r="K83" i="35"/>
  <c r="K84" i="35"/>
  <c r="K85" i="35"/>
  <c r="K86" i="35"/>
  <c r="K87" i="35"/>
  <c r="K88" i="35"/>
  <c r="K89" i="35"/>
  <c r="K90" i="35"/>
  <c r="K91" i="35"/>
  <c r="K92" i="35"/>
  <c r="K93" i="35"/>
  <c r="K94" i="35"/>
  <c r="K95" i="35"/>
  <c r="K96" i="35"/>
  <c r="K97" i="35"/>
  <c r="K98" i="35"/>
  <c r="K99" i="35"/>
  <c r="K100" i="35"/>
  <c r="K101" i="35"/>
  <c r="K102" i="35"/>
  <c r="K103" i="35"/>
  <c r="K104" i="35"/>
  <c r="K105" i="35"/>
  <c r="K106" i="35"/>
  <c r="K107" i="35"/>
  <c r="K108" i="35"/>
  <c r="K109" i="35"/>
  <c r="K110" i="35"/>
  <c r="K111" i="35"/>
  <c r="K112" i="35"/>
  <c r="K113" i="35"/>
  <c r="K114" i="35"/>
  <c r="K115" i="35"/>
  <c r="K116" i="35"/>
  <c r="K117" i="35"/>
  <c r="K118" i="35"/>
  <c r="K119" i="35"/>
  <c r="K120" i="35"/>
  <c r="K121" i="35"/>
  <c r="K122" i="35"/>
  <c r="K123" i="35"/>
  <c r="K124" i="35"/>
  <c r="K125" i="35"/>
  <c r="K126" i="35"/>
  <c r="K127" i="35"/>
  <c r="K128" i="35"/>
  <c r="K129" i="35"/>
  <c r="K130" i="35"/>
  <c r="K131" i="35"/>
  <c r="K132" i="35"/>
  <c r="K133" i="35"/>
  <c r="K134" i="35"/>
  <c r="K135" i="35"/>
  <c r="K136" i="35"/>
  <c r="K137" i="35"/>
  <c r="K138" i="35"/>
  <c r="K139" i="35"/>
  <c r="K140" i="35"/>
  <c r="K141" i="35"/>
  <c r="K142" i="35"/>
  <c r="K143" i="35"/>
  <c r="K144" i="35"/>
  <c r="K145" i="35"/>
  <c r="K146" i="35"/>
  <c r="K147" i="35"/>
  <c r="K148" i="35"/>
  <c r="K149" i="35"/>
  <c r="K150" i="35"/>
  <c r="K151" i="35"/>
  <c r="K152" i="35"/>
  <c r="K153" i="35"/>
  <c r="K154" i="35"/>
  <c r="K155" i="35"/>
  <c r="K156" i="35"/>
  <c r="K157" i="35"/>
  <c r="K158" i="35"/>
  <c r="K159" i="35"/>
  <c r="K160" i="35"/>
  <c r="K161" i="35"/>
  <c r="K162" i="35"/>
  <c r="K163" i="35"/>
  <c r="K164" i="35"/>
  <c r="K165" i="35"/>
  <c r="K166" i="35"/>
  <c r="K167" i="35"/>
  <c r="K168" i="35"/>
  <c r="K169" i="35"/>
  <c r="K170" i="35"/>
  <c r="K171" i="35"/>
  <c r="K172" i="35"/>
  <c r="K173" i="35"/>
  <c r="K174" i="35"/>
  <c r="K175" i="35"/>
  <c r="K176" i="35"/>
  <c r="K177" i="35"/>
  <c r="K178" i="35"/>
  <c r="K179" i="35"/>
  <c r="K180" i="35"/>
  <c r="K181" i="35"/>
  <c r="K182" i="35"/>
  <c r="K183" i="35"/>
  <c r="K184" i="35"/>
  <c r="K185" i="35"/>
  <c r="K186" i="35"/>
  <c r="K187" i="35"/>
  <c r="K188" i="35"/>
  <c r="K189" i="35"/>
  <c r="K190" i="35"/>
  <c r="K191" i="35"/>
  <c r="K192" i="35"/>
  <c r="K193" i="35"/>
  <c r="K194" i="35"/>
  <c r="K195" i="35"/>
  <c r="K196" i="35"/>
  <c r="K197" i="35"/>
  <c r="K198" i="35"/>
  <c r="K199" i="35"/>
  <c r="K200" i="35"/>
  <c r="K201" i="35"/>
  <c r="K202" i="35"/>
  <c r="K203" i="35"/>
  <c r="K204" i="35"/>
  <c r="K205" i="35"/>
  <c r="K206" i="35"/>
  <c r="K207" i="35"/>
  <c r="K208" i="35"/>
  <c r="K209" i="35"/>
  <c r="K210" i="35"/>
  <c r="K211" i="35"/>
  <c r="K212" i="35"/>
  <c r="K213" i="35"/>
  <c r="K214" i="35"/>
  <c r="K215" i="35"/>
  <c r="K216" i="35"/>
  <c r="K217" i="35"/>
  <c r="K218" i="35"/>
  <c r="K219" i="35"/>
  <c r="K220" i="35"/>
  <c r="K221" i="35"/>
  <c r="K222" i="35"/>
  <c r="K223" i="35"/>
  <c r="K224" i="35"/>
  <c r="K225" i="35"/>
  <c r="K226" i="35"/>
  <c r="K227" i="35"/>
  <c r="K228" i="35"/>
  <c r="K229" i="35"/>
  <c r="K230" i="35"/>
  <c r="K231" i="35"/>
  <c r="K232" i="35"/>
  <c r="K233" i="35"/>
  <c r="K234" i="35"/>
  <c r="K235" i="35"/>
  <c r="K236" i="35"/>
  <c r="K237" i="35"/>
  <c r="K238" i="35"/>
  <c r="K239" i="35"/>
  <c r="K240" i="35"/>
  <c r="K241" i="35"/>
  <c r="K242" i="35"/>
  <c r="K243" i="35"/>
  <c r="K244" i="35"/>
  <c r="K245" i="35"/>
  <c r="K246" i="35"/>
  <c r="K247" i="35"/>
  <c r="K248" i="35"/>
  <c r="K249" i="35"/>
  <c r="K250" i="35"/>
  <c r="K251" i="35"/>
  <c r="K252" i="35"/>
  <c r="K253" i="35"/>
  <c r="K254" i="35"/>
  <c r="K255" i="35"/>
  <c r="K256" i="35"/>
  <c r="K257" i="35"/>
  <c r="K258" i="35"/>
  <c r="K259" i="35"/>
  <c r="K260" i="35"/>
  <c r="K261" i="35"/>
  <c r="K262" i="35"/>
  <c r="K263" i="35"/>
  <c r="K264" i="35"/>
  <c r="K265" i="35"/>
  <c r="K266" i="35"/>
  <c r="K267" i="35"/>
  <c r="K268" i="35"/>
  <c r="K269" i="35"/>
  <c r="K270" i="35"/>
  <c r="K271" i="35"/>
  <c r="K272" i="35"/>
  <c r="K273" i="35"/>
  <c r="K274" i="35"/>
  <c r="K275" i="35"/>
  <c r="K276" i="35"/>
  <c r="K277" i="35"/>
  <c r="K278" i="35"/>
  <c r="K279" i="35"/>
  <c r="K280" i="35"/>
  <c r="K281" i="35"/>
  <c r="K282" i="35"/>
  <c r="K283" i="35"/>
  <c r="K284" i="35"/>
  <c r="K285" i="35"/>
  <c r="K286" i="35"/>
  <c r="K287" i="35"/>
  <c r="K288" i="35"/>
  <c r="K289" i="35"/>
  <c r="K290" i="35"/>
  <c r="K291" i="35"/>
  <c r="K292" i="35"/>
  <c r="K293" i="35"/>
  <c r="K294" i="35"/>
  <c r="K295" i="35"/>
  <c r="K296" i="35"/>
  <c r="K297" i="35"/>
  <c r="K298" i="35"/>
  <c r="K299" i="35"/>
  <c r="K300" i="35"/>
  <c r="K301" i="35"/>
  <c r="K302" i="35"/>
  <c r="K303" i="35"/>
  <c r="K304" i="35"/>
  <c r="K305" i="35"/>
  <c r="K306" i="35"/>
  <c r="K307" i="35"/>
  <c r="K308" i="35"/>
  <c r="K309" i="35"/>
  <c r="K310" i="35"/>
  <c r="K311" i="35"/>
  <c r="K312" i="35"/>
  <c r="K313" i="35"/>
  <c r="K314" i="35"/>
  <c r="K315" i="35"/>
  <c r="K316" i="35"/>
  <c r="K317" i="35"/>
  <c r="K318" i="35"/>
  <c r="K319" i="35"/>
  <c r="K320" i="35"/>
  <c r="K321" i="35"/>
  <c r="K322" i="35"/>
  <c r="K323" i="35"/>
  <c r="K324" i="35"/>
  <c r="K325" i="35"/>
  <c r="K326" i="35"/>
  <c r="K327" i="35"/>
  <c r="K328" i="35"/>
  <c r="K329" i="35"/>
  <c r="K330" i="35"/>
  <c r="K331" i="35"/>
  <c r="K332" i="35"/>
  <c r="K333" i="35"/>
  <c r="K334" i="35"/>
  <c r="K335" i="35"/>
  <c r="K336" i="35"/>
  <c r="K337" i="35"/>
  <c r="K338" i="35"/>
  <c r="K339" i="35"/>
  <c r="K340" i="35"/>
  <c r="K341" i="35"/>
  <c r="K342" i="35"/>
  <c r="K343" i="35"/>
  <c r="H3" i="11"/>
  <c r="K3" i="11"/>
  <c r="N3" i="11"/>
  <c r="Q3" i="11"/>
  <c r="T3" i="11"/>
  <c r="W3" i="11"/>
  <c r="Z3" i="11"/>
  <c r="AC3" i="11"/>
  <c r="AF3" i="11"/>
  <c r="AI3" i="11"/>
  <c r="AL3" i="11"/>
  <c r="AO3" i="11"/>
  <c r="AP3" i="11"/>
  <c r="AQ3" i="11"/>
  <c r="AR3" i="11"/>
  <c r="D3" i="11"/>
  <c r="C4" i="11"/>
  <c r="H4" i="11"/>
  <c r="K4" i="11"/>
  <c r="N4" i="11"/>
  <c r="Q4" i="11"/>
  <c r="T4" i="11"/>
  <c r="W4" i="11"/>
  <c r="AC4" i="11"/>
  <c r="AF4" i="11"/>
  <c r="AI4" i="11"/>
  <c r="AL4" i="11"/>
  <c r="AO4" i="11"/>
  <c r="AQ4" i="11"/>
  <c r="AR4" i="11"/>
  <c r="D4" i="11"/>
  <c r="E4" i="11"/>
  <c r="C5" i="11"/>
  <c r="H5" i="11"/>
  <c r="K5" i="11"/>
  <c r="N5" i="11"/>
  <c r="Q5" i="11"/>
  <c r="T5" i="11"/>
  <c r="W5" i="11"/>
  <c r="AC5" i="11"/>
  <c r="AF5" i="11"/>
  <c r="AI5" i="11"/>
  <c r="AL5" i="11"/>
  <c r="AO5" i="11"/>
  <c r="C6" i="11"/>
  <c r="H6" i="11"/>
  <c r="K6" i="11"/>
  <c r="N6" i="11"/>
  <c r="Q6" i="11"/>
  <c r="T6" i="11"/>
  <c r="W6" i="11"/>
  <c r="AC6" i="11"/>
  <c r="AF6" i="11"/>
  <c r="AI6" i="11"/>
  <c r="AL6" i="11"/>
  <c r="AO6" i="11"/>
  <c r="AP6" i="11"/>
  <c r="H7" i="11"/>
  <c r="K7" i="11"/>
  <c r="N7" i="11"/>
  <c r="Q7" i="11"/>
  <c r="T7" i="11"/>
  <c r="W7" i="11"/>
  <c r="Z7" i="11"/>
  <c r="AC7" i="11"/>
  <c r="AF7" i="11"/>
  <c r="AI7" i="11"/>
  <c r="AL7" i="11"/>
  <c r="AO7" i="11"/>
  <c r="AP7" i="11"/>
  <c r="AQ7" i="11"/>
  <c r="AR7" i="11"/>
  <c r="D7" i="11"/>
  <c r="E7" i="11"/>
  <c r="C8" i="11"/>
  <c r="H8" i="11"/>
  <c r="K8" i="11"/>
  <c r="N8" i="11"/>
  <c r="Q8" i="11"/>
  <c r="T8" i="11"/>
  <c r="W8" i="11"/>
  <c r="Z8" i="11"/>
  <c r="AC8" i="11"/>
  <c r="AF8" i="11"/>
  <c r="AI8" i="11"/>
  <c r="AL8" i="11"/>
  <c r="AO8" i="11"/>
  <c r="AP8" i="11"/>
  <c r="AR8" i="11"/>
  <c r="D8" i="11"/>
  <c r="E8" i="11"/>
  <c r="AQ8" i="11"/>
  <c r="G9" i="11"/>
  <c r="I9" i="11"/>
  <c r="L9" i="11"/>
  <c r="M9" i="11"/>
  <c r="N9" i="11"/>
  <c r="O9" i="11"/>
  <c r="AP9" i="11"/>
  <c r="Q9" i="11"/>
  <c r="R9" i="11"/>
  <c r="S9" i="11"/>
  <c r="T9" i="11"/>
  <c r="U9" i="11"/>
  <c r="V9" i="11"/>
  <c r="W9" i="11"/>
  <c r="X9" i="11"/>
  <c r="Y9" i="11"/>
  <c r="Z9" i="11"/>
  <c r="AA9" i="11"/>
  <c r="AC9" i="11"/>
  <c r="AB9" i="11"/>
  <c r="AD9" i="11"/>
  <c r="AE9" i="11"/>
  <c r="AF9" i="11"/>
  <c r="AK9" i="11"/>
  <c r="AM9" i="11"/>
  <c r="AO9" i="11"/>
  <c r="AN9" i="11"/>
  <c r="AR11" i="11"/>
  <c r="C17" i="11"/>
  <c r="D17" i="11"/>
  <c r="E17" i="11"/>
  <c r="H17" i="11"/>
  <c r="K17" i="11"/>
  <c r="N17" i="11"/>
  <c r="Q17" i="11"/>
  <c r="T17" i="11"/>
  <c r="W17" i="11"/>
  <c r="Z17" i="11"/>
  <c r="AC17" i="11"/>
  <c r="AI17" i="11"/>
  <c r="AL17" i="11"/>
  <c r="AO17" i="11"/>
  <c r="AQ17" i="11"/>
  <c r="AR17" i="11"/>
  <c r="C57" i="11"/>
  <c r="T102" i="11"/>
  <c r="C22" i="11"/>
  <c r="C36" i="11"/>
  <c r="C41" i="11"/>
  <c r="C73" i="11"/>
  <c r="C89" i="11"/>
  <c r="C85" i="11"/>
  <c r="C93" i="11"/>
  <c r="C68" i="11"/>
  <c r="C65" i="11"/>
  <c r="N100" i="11"/>
  <c r="W100" i="11"/>
  <c r="Z100" i="11"/>
  <c r="AC100" i="11"/>
  <c r="Q101" i="11"/>
  <c r="T101" i="11"/>
  <c r="Z101" i="11"/>
  <c r="AC101" i="11"/>
  <c r="Z103" i="11"/>
  <c r="AC103" i="11"/>
  <c r="Z104" i="11"/>
  <c r="T105" i="11"/>
  <c r="Z105" i="11"/>
  <c r="AC105" i="11"/>
  <c r="Q106" i="11"/>
  <c r="T106" i="11"/>
  <c r="AC106" i="11"/>
  <c r="T107" i="11"/>
  <c r="Q108" i="11"/>
  <c r="Z108" i="11"/>
  <c r="T109" i="11"/>
  <c r="Z109" i="11"/>
  <c r="Q110" i="11"/>
  <c r="T110" i="11"/>
  <c r="AC110" i="11"/>
  <c r="Q112" i="11"/>
  <c r="T112" i="11"/>
  <c r="Z112" i="11"/>
  <c r="AC112" i="11"/>
  <c r="N113" i="11"/>
  <c r="Q113" i="11"/>
  <c r="AC113" i="11"/>
  <c r="N112" i="11"/>
  <c r="Q102" i="11"/>
  <c r="Z4" i="11"/>
  <c r="Z5" i="11"/>
  <c r="W102" i="11"/>
  <c r="W103" i="11"/>
  <c r="W105" i="11"/>
  <c r="W104" i="11"/>
  <c r="W107" i="11"/>
  <c r="W106" i="11"/>
  <c r="W108" i="11"/>
  <c r="W109" i="11"/>
  <c r="W110" i="11"/>
  <c r="W111" i="11"/>
  <c r="T18" i="11"/>
  <c r="N18" i="11"/>
  <c r="Z18" i="11"/>
  <c r="Q18" i="11"/>
  <c r="W18" i="11"/>
  <c r="E18" i="11"/>
  <c r="K116" i="11"/>
  <c r="H125" i="11"/>
  <c r="AP66" i="11"/>
  <c r="AF66" i="11"/>
  <c r="AO116" i="11"/>
  <c r="AG179" i="11"/>
  <c r="AR160" i="11"/>
  <c r="D160" i="11"/>
  <c r="E160" i="11"/>
  <c r="AF85" i="11"/>
  <c r="AR34" i="11"/>
  <c r="D34" i="11"/>
  <c r="E34" i="11"/>
  <c r="W93" i="11"/>
  <c r="AL43" i="11"/>
  <c r="AR24" i="11"/>
  <c r="D24" i="11"/>
  <c r="E24" i="11"/>
  <c r="AI43" i="11"/>
  <c r="W43" i="11"/>
  <c r="H68" i="11"/>
  <c r="AI68" i="11"/>
  <c r="AR71" i="11"/>
  <c r="D71" i="11"/>
  <c r="AL116" i="11"/>
  <c r="AO26" i="11"/>
  <c r="D31" i="11"/>
  <c r="K22" i="11"/>
  <c r="AQ22" i="11"/>
  <c r="AF26" i="11"/>
  <c r="AQ65" i="11"/>
  <c r="AR65" i="11"/>
  <c r="D65" i="11"/>
  <c r="E65" i="11"/>
  <c r="AH179" i="11"/>
  <c r="Z61" i="11"/>
  <c r="W80" i="11"/>
  <c r="K57" i="11"/>
  <c r="AR88" i="11"/>
  <c r="D88" i="11"/>
  <c r="E88" i="11"/>
  <c r="AR90" i="11"/>
  <c r="D90" i="11"/>
  <c r="N89" i="11"/>
  <c r="Z89" i="11"/>
  <c r="T85" i="11"/>
  <c r="H93" i="11"/>
  <c r="AL93" i="11"/>
  <c r="Z93" i="11"/>
  <c r="D94" i="11"/>
  <c r="E94" i="11"/>
  <c r="AI89" i="11"/>
  <c r="S73" i="11"/>
  <c r="AC93" i="11"/>
  <c r="AI93" i="11"/>
  <c r="AR57" i="11"/>
  <c r="D57" i="11"/>
  <c r="E57" i="11"/>
  <c r="AQ179" i="11"/>
  <c r="AO57" i="11"/>
  <c r="K54" i="11"/>
  <c r="AC85" i="11"/>
  <c r="AO89" i="11"/>
  <c r="AF93" i="11"/>
  <c r="AR20" i="11"/>
  <c r="D20" i="11"/>
  <c r="E20" i="11"/>
  <c r="AR100" i="11"/>
  <c r="AL48" i="11"/>
  <c r="AQ85" i="11"/>
  <c r="AR85" i="11"/>
  <c r="D85" i="11"/>
  <c r="E85" i="11"/>
  <c r="H85" i="11"/>
  <c r="AM73" i="11"/>
  <c r="AO85" i="11"/>
  <c r="T89" i="11"/>
  <c r="AP93" i="11"/>
  <c r="AD41" i="11"/>
  <c r="AO43" i="11"/>
  <c r="Q48" i="11"/>
  <c r="P41" i="11"/>
  <c r="Q41" i="11"/>
  <c r="AP68" i="11"/>
  <c r="AN73" i="11"/>
  <c r="AN179" i="11"/>
  <c r="AQ93" i="11"/>
  <c r="AR93" i="11"/>
  <c r="D93" i="11"/>
  <c r="AP22" i="11"/>
  <c r="AR22" i="11"/>
  <c r="D22" i="11"/>
  <c r="E22" i="11"/>
  <c r="Q22" i="11"/>
  <c r="AD179" i="11"/>
  <c r="AP116" i="11"/>
  <c r="AP179" i="11"/>
  <c r="T54" i="11"/>
  <c r="H65" i="11"/>
  <c r="H80" i="11"/>
  <c r="AF116" i="11"/>
  <c r="AP54" i="11"/>
  <c r="AR74" i="11"/>
  <c r="D74" i="11"/>
  <c r="E74" i="11"/>
  <c r="AR143" i="11"/>
  <c r="D143" i="11"/>
  <c r="K36" i="11"/>
  <c r="AF43" i="11"/>
  <c r="AO54" i="11"/>
  <c r="Q57" i="11"/>
  <c r="Z26" i="11"/>
  <c r="AO48" i="11"/>
  <c r="AQ26" i="11"/>
  <c r="AR26" i="11"/>
  <c r="D26" i="11"/>
  <c r="E26" i="11"/>
  <c r="S41" i="11"/>
  <c r="AF57" i="11"/>
  <c r="G41" i="11"/>
  <c r="AP85" i="11"/>
  <c r="E93" i="11"/>
  <c r="AC26" i="11"/>
  <c r="AC36" i="11"/>
  <c r="N43" i="11"/>
  <c r="Z54" i="11"/>
  <c r="K61" i="11"/>
  <c r="AJ41" i="11"/>
  <c r="AQ68" i="11"/>
  <c r="AR68" i="11"/>
  <c r="D68" i="11"/>
  <c r="E68" i="11"/>
  <c r="AL68" i="11"/>
  <c r="K85" i="11"/>
  <c r="W85" i="11"/>
  <c r="K43" i="11"/>
  <c r="H48" i="11"/>
  <c r="W54" i="11"/>
  <c r="AF80" i="11"/>
  <c r="AR30" i="11"/>
  <c r="D30" i="11"/>
  <c r="E30" i="11"/>
  <c r="E137" i="11"/>
  <c r="T26" i="11"/>
  <c r="AP43" i="11"/>
  <c r="X73" i="11"/>
  <c r="Z73" i="11"/>
  <c r="AR70" i="11"/>
  <c r="D70" i="11"/>
  <c r="E70" i="11"/>
  <c r="Z36" i="11"/>
  <c r="AF48" i="11"/>
  <c r="AR37" i="11"/>
  <c r="D37" i="11"/>
  <c r="E37" i="11"/>
  <c r="E71" i="11"/>
  <c r="AC43" i="11"/>
  <c r="Z48" i="11"/>
  <c r="Z57" i="11"/>
  <c r="AL57" i="11"/>
  <c r="AC80" i="11"/>
  <c r="AK179" i="11"/>
  <c r="M73" i="11"/>
  <c r="N73" i="11"/>
  <c r="AL85" i="11"/>
  <c r="E35" i="11"/>
  <c r="E60" i="11"/>
  <c r="E51" i="11"/>
  <c r="E89" i="11"/>
  <c r="E86" i="11"/>
  <c r="H10" i="11"/>
  <c r="H12" i="11"/>
  <c r="AP36" i="11"/>
  <c r="AR36" i="11"/>
  <c r="D36" i="11"/>
  <c r="E36" i="11"/>
  <c r="F41" i="11"/>
  <c r="AH41" i="11"/>
  <c r="Y41" i="11"/>
  <c r="Z41" i="11"/>
  <c r="AE41" i="11"/>
  <c r="X41" i="11"/>
  <c r="O96" i="11"/>
  <c r="AN41" i="11"/>
  <c r="W73" i="11"/>
  <c r="AI73" i="11"/>
  <c r="H73" i="11"/>
  <c r="J96" i="11"/>
  <c r="P73" i="11"/>
  <c r="Q73" i="11"/>
  <c r="F96" i="11"/>
  <c r="R73" i="11"/>
  <c r="T73" i="11"/>
  <c r="Z80" i="11"/>
  <c r="I73" i="11"/>
  <c r="I96" i="11"/>
  <c r="AC73" i="11"/>
  <c r="AI80" i="11"/>
  <c r="AF73" i="11"/>
  <c r="AL80" i="11"/>
  <c r="F18" i="11"/>
  <c r="AA41" i="11"/>
  <c r="H54" i="11"/>
  <c r="H41" i="11"/>
  <c r="P96" i="11"/>
  <c r="AM41" i="11"/>
  <c r="AB41" i="11"/>
  <c r="AF41" i="11"/>
  <c r="R41" i="11"/>
  <c r="T41" i="11"/>
  <c r="K41" i="11"/>
  <c r="AG41" i="11"/>
  <c r="AI41" i="11"/>
  <c r="V41" i="11"/>
  <c r="U41" i="11"/>
  <c r="W68" i="11"/>
  <c r="AO68" i="11"/>
  <c r="AK41" i="11"/>
  <c r="AL41" i="11"/>
  <c r="G18" i="11"/>
  <c r="M41" i="11"/>
  <c r="T68" i="11"/>
  <c r="AR179" i="11"/>
  <c r="D179" i="11"/>
  <c r="AR116" i="11"/>
  <c r="D116" i="11"/>
  <c r="E116" i="11"/>
  <c r="AQ73" i="11"/>
  <c r="AO73" i="11"/>
  <c r="AO41" i="11"/>
  <c r="Q96" i="11"/>
  <c r="I18" i="11"/>
  <c r="K18" i="11"/>
  <c r="K96" i="11"/>
  <c r="AP73" i="11"/>
  <c r="AR73" i="11"/>
  <c r="D73" i="11"/>
  <c r="E73" i="11"/>
  <c r="K73" i="11"/>
  <c r="AC41" i="11"/>
  <c r="W41" i="11"/>
  <c r="AQ41" i="11"/>
  <c r="M96" i="11"/>
  <c r="N96" i="11"/>
  <c r="N41" i="11"/>
  <c r="H18" i="11"/>
  <c r="G96" i="11"/>
  <c r="H96" i="11"/>
  <c r="AQ18" i="11"/>
  <c r="AR41" i="11"/>
  <c r="D41" i="11"/>
  <c r="E41" i="11"/>
  <c r="AP18" i="11"/>
  <c r="AR18" i="11"/>
  <c r="AC9" i="60"/>
  <c r="W9" i="60"/>
  <c r="AR5" i="60"/>
  <c r="D5" i="60"/>
  <c r="E5" i="60"/>
  <c r="T9" i="60"/>
  <c r="C9" i="60"/>
  <c r="AO9" i="60"/>
  <c r="Z9" i="60"/>
  <c r="AR6" i="60"/>
  <c r="D6" i="60"/>
  <c r="E6" i="60"/>
  <c r="AP9" i="60"/>
  <c r="Q9" i="60"/>
  <c r="AF9" i="60"/>
  <c r="K9" i="60"/>
  <c r="AI9" i="60"/>
  <c r="AL9" i="60"/>
  <c r="AQ9" i="60"/>
  <c r="AR8" i="60"/>
  <c r="D8" i="60"/>
  <c r="E8" i="60"/>
  <c r="AR7" i="60"/>
  <c r="D7" i="60"/>
  <c r="E7" i="60"/>
  <c r="AR4" i="60"/>
  <c r="D4" i="60"/>
  <c r="E4" i="60"/>
  <c r="AR3" i="60"/>
  <c r="D3" i="60"/>
  <c r="E3" i="60"/>
  <c r="W11" i="11"/>
  <c r="N12" i="11"/>
  <c r="Q10" i="11"/>
  <c r="T10" i="11"/>
  <c r="W10" i="11"/>
  <c r="Z10" i="11"/>
  <c r="AC10" i="11"/>
  <c r="AF10" i="11"/>
  <c r="AI10" i="11"/>
  <c r="AL10" i="11"/>
  <c r="AO10" i="11"/>
  <c r="E3" i="11"/>
  <c r="D9" i="11"/>
  <c r="E9" i="11"/>
  <c r="AQ9" i="11"/>
  <c r="AR9" i="11"/>
  <c r="AR10" i="11"/>
  <c r="AR12" i="11"/>
  <c r="Q12" i="11"/>
  <c r="AR9" i="60"/>
  <c r="D9" i="60"/>
  <c r="E9" i="60"/>
  <c r="W12" i="11"/>
  <c r="Z11" i="11"/>
  <c r="T12" i="11"/>
  <c r="AC11" i="11"/>
  <c r="Z12" i="11"/>
  <c r="AC12" i="11"/>
  <c r="AF11" i="11"/>
  <c r="AF12" i="11"/>
  <c r="AI11" i="11"/>
  <c r="AI12" i="11"/>
  <c r="AL11" i="11"/>
  <c r="AL12" i="11"/>
  <c r="AO11" i="11"/>
  <c r="AO12" i="11"/>
</calcChain>
</file>

<file path=xl/comments1.xml><?xml version="1.0" encoding="utf-8"?>
<comments xmlns="http://schemas.openxmlformats.org/spreadsheetml/2006/main">
  <authors>
    <author/>
  </authors>
  <commentList>
    <comment ref="A124" authorId="0" shapeId="0">
      <text>
        <r>
          <rPr>
            <b/>
            <sz val="9"/>
            <color indexed="8"/>
            <rFont val="Tahoma"/>
            <family val="2"/>
            <charset val="204"/>
          </rPr>
          <t xml:space="preserve">Автор:
</t>
        </r>
        <r>
          <rPr>
            <sz val="9"/>
            <color indexed="8"/>
            <rFont val="Tahoma"/>
            <family val="2"/>
            <charset val="204"/>
          </rPr>
          <t xml:space="preserve">включаем в численность
</t>
        </r>
      </text>
    </comment>
    <comment ref="A125" authorId="0" shapeId="0">
      <text>
        <r>
          <rPr>
            <b/>
            <sz val="9"/>
            <color indexed="8"/>
            <rFont val="Tahoma"/>
            <family val="2"/>
            <charset val="204"/>
          </rPr>
          <t xml:space="preserve">Автор:
</t>
        </r>
        <r>
          <rPr>
            <sz val="9"/>
            <color indexed="8"/>
            <rFont val="Tahoma"/>
            <family val="2"/>
            <charset val="204"/>
          </rPr>
          <t>исключаем из численности</t>
        </r>
      </text>
    </comment>
  </commentList>
</comments>
</file>

<file path=xl/sharedStrings.xml><?xml version="1.0" encoding="utf-8"?>
<sst xmlns="http://schemas.openxmlformats.org/spreadsheetml/2006/main" count="5055" uniqueCount="1223">
  <si>
    <t>Инструкция по заполнению отчета</t>
  </si>
  <si>
    <t>Отчет заполняется на ежемесячной основе в 1 рабочий день месяца, следующего за отчетным</t>
  </si>
  <si>
    <t xml:space="preserve">Все листы, кроме "Список сотрудников" заполняются нарастающим итогом с начала года </t>
  </si>
  <si>
    <t xml:space="preserve">Лист "Список сотрудников" заполняются на последний календарный день месяца </t>
  </si>
  <si>
    <t xml:space="preserve">Лист "Список сотрудников" </t>
  </si>
  <si>
    <t>Заполняется вручную</t>
  </si>
  <si>
    <t xml:space="preserve">Ежемесячно отражается численность работающих  сотрудников (списочная) на последнюю дату месяца, включая своместителей, декретчиц, прогульщиков и т.д. </t>
  </si>
  <si>
    <r>
      <t xml:space="preserve">за ИСКЮЧЕНИЕМ </t>
    </r>
    <r>
      <rPr>
        <b/>
        <sz val="11"/>
        <rFont val="Calibri"/>
        <family val="2"/>
        <charset val="204"/>
      </rPr>
      <t>(не включаем)</t>
    </r>
    <r>
      <rPr>
        <b/>
        <sz val="11"/>
        <color indexed="10"/>
        <rFont val="Calibri"/>
        <family val="2"/>
        <charset val="204"/>
      </rPr>
      <t>:</t>
    </r>
  </si>
  <si>
    <r>
      <t>−</t>
    </r>
    <r>
      <rPr>
        <sz val="7"/>
        <color indexed="8"/>
        <rFont val="Times New Roman"/>
        <family val="1"/>
        <charset val="204"/>
      </rPr>
      <t xml:space="preserve">         </t>
    </r>
    <r>
      <rPr>
        <sz val="10"/>
        <color indexed="8"/>
        <rFont val="Arial"/>
        <family val="2"/>
        <charset val="204"/>
      </rPr>
      <t>сотрудники, находящиеся на  декретном больничном листе</t>
    </r>
  </si>
  <si>
    <r>
      <t>−</t>
    </r>
    <r>
      <rPr>
        <sz val="7"/>
        <color indexed="8"/>
        <rFont val="Times New Roman"/>
        <family val="1"/>
        <charset val="204"/>
      </rPr>
      <t xml:space="preserve">         </t>
    </r>
    <r>
      <rPr>
        <sz val="10"/>
        <color indexed="8"/>
        <rFont val="Arial"/>
        <family val="2"/>
        <charset val="204"/>
      </rPr>
      <t>сотрудники, находящихся в отпуске по уходу за ребенком (до 1,5 или до 3 лет)</t>
    </r>
  </si>
  <si>
    <r>
      <t>−</t>
    </r>
    <r>
      <rPr>
        <sz val="7"/>
        <color indexed="8"/>
        <rFont val="Times New Roman"/>
        <family val="1"/>
        <charset val="204"/>
      </rPr>
      <t xml:space="preserve">         </t>
    </r>
    <r>
      <rPr>
        <sz val="10"/>
        <color indexed="8"/>
        <rFont val="Arial"/>
        <family val="2"/>
        <charset val="204"/>
      </rPr>
      <t xml:space="preserve">сотрудники с длительным прогулом или с длительным невыясненным отсутствием </t>
    </r>
  </si>
  <si>
    <r>
      <t>−</t>
    </r>
    <r>
      <rPr>
        <sz val="7"/>
        <color indexed="8"/>
        <rFont val="Times New Roman"/>
        <family val="1"/>
        <charset val="204"/>
      </rPr>
      <t xml:space="preserve">         </t>
    </r>
    <r>
      <rPr>
        <sz val="10"/>
        <color indexed="8"/>
        <rFont val="Arial"/>
        <family val="2"/>
        <charset val="204"/>
      </rPr>
      <t>сотрудники, находящиеся в длительном (3 месяца и более) отпуске без сохранения заработной платы</t>
    </r>
  </si>
  <si>
    <r>
      <t>−</t>
    </r>
    <r>
      <rPr>
        <sz val="7"/>
        <color indexed="8"/>
        <rFont val="Times New Roman"/>
        <family val="1"/>
        <charset val="204"/>
      </rPr>
      <t xml:space="preserve">         </t>
    </r>
    <r>
      <rPr>
        <sz val="10"/>
        <color indexed="8"/>
        <rFont val="Arial"/>
        <family val="2"/>
        <charset val="204"/>
      </rPr>
      <t>внутренние совместители (по той должности, которая является для них работой по совместительству)</t>
    </r>
  </si>
  <si>
    <t>Сотрудники, уволенные в последний календарный день месяца включаются на оба листа: и в численность, и в уволенные</t>
  </si>
  <si>
    <t>Лист "Список сотрудников" в шаблоне</t>
  </si>
  <si>
    <t>Комментарии по данным для отчета</t>
  </si>
  <si>
    <t xml:space="preserve">Таб.№ </t>
  </si>
  <si>
    <t>табельный номер сотрудника</t>
  </si>
  <si>
    <t>ФИО</t>
  </si>
  <si>
    <t>ФИО сотрудника</t>
  </si>
  <si>
    <t>Дата начала работы в ГК (при переводе из одного юрлица в другое)</t>
  </si>
  <si>
    <t>первичная дата приема на работу (при переводе внутри ГК)</t>
  </si>
  <si>
    <t>Дата начала работы в юрлице</t>
  </si>
  <si>
    <t>дата начала работы в юрлице</t>
  </si>
  <si>
    <t>Дата рождения</t>
  </si>
  <si>
    <t>дата рождения</t>
  </si>
  <si>
    <t>Подразделение</t>
  </si>
  <si>
    <t xml:space="preserve">Наименование подразделения </t>
  </si>
  <si>
    <t>Должность</t>
  </si>
  <si>
    <t>Наименование должности</t>
  </si>
  <si>
    <t>Пол сотрудника</t>
  </si>
  <si>
    <t>Заполняется автоматически</t>
  </si>
  <si>
    <t>Категория персонала</t>
  </si>
  <si>
    <t>Категория персонала: см.лист "Справочник"</t>
  </si>
  <si>
    <t>Заполняем вручную, настроен выпадающий список</t>
  </si>
  <si>
    <t>Город, фактическое место работы</t>
  </si>
  <si>
    <t xml:space="preserve">Наименование места работы сотрудника (название города). </t>
  </si>
  <si>
    <t>полный \ неполный рабочий день</t>
  </si>
  <si>
    <t xml:space="preserve">полный – для сотрудников, работающих полный рабочий день
Не полный – для сотрудников, работающих не полный рабочий день
</t>
  </si>
  <si>
    <t>ставка</t>
  </si>
  <si>
    <t>Процент занятости работника: 0,1 ставка-это 10%</t>
  </si>
  <si>
    <t>Основное место работы/Совместительство</t>
  </si>
  <si>
    <t>Вид работы основной или совместитель</t>
  </si>
  <si>
    <t>Включаем \ не включаем в отчет</t>
  </si>
  <si>
    <t>Причина невключения сотрудника в отчет</t>
  </si>
  <si>
    <t>см.список исключений выше</t>
  </si>
  <si>
    <t>Функция</t>
  </si>
  <si>
    <t>Функция к которой относиться сотрудник</t>
  </si>
  <si>
    <t>Месяц</t>
  </si>
  <si>
    <t>месяц, за который предоставляется отчет</t>
  </si>
  <si>
    <t>Изменение поля "включаем/не включаем"</t>
  </si>
  <si>
    <t>Причина изменения "включаем/не включаем"</t>
  </si>
  <si>
    <t>см.список исключений выше (если в течении отчетного месяца изменился статус сотрудника)</t>
  </si>
  <si>
    <t>Юридическое лицо</t>
  </si>
  <si>
    <t xml:space="preserve">Лист "Список уволенных" </t>
  </si>
  <si>
    <t>Лист "Список уволенных" в шаблоне</t>
  </si>
  <si>
    <t>Таб. №</t>
  </si>
  <si>
    <t>не заполняем</t>
  </si>
  <si>
    <t>Дата увольнения</t>
  </si>
  <si>
    <t>Категории персонала</t>
  </si>
  <si>
    <t>Статья ТК РФ</t>
  </si>
  <si>
    <t>Статья ТК РФ (берем только статью)</t>
  </si>
  <si>
    <t>Расшифровка статьи увольнения</t>
  </si>
  <si>
    <t>расшифровка статьи заполняем в шаблоне отчета</t>
  </si>
  <si>
    <t>Месяц увольнения</t>
  </si>
  <si>
    <t>Реальные причины увольнения</t>
  </si>
  <si>
    <t>Причины увольнения, влияющие на текучесть</t>
  </si>
  <si>
    <t>включаем \ не включаем</t>
  </si>
  <si>
    <t>включаем или не включаем в увольнения на лист "Текучесть"</t>
  </si>
  <si>
    <t>Дата начала работы</t>
  </si>
  <si>
    <t>Тип договора</t>
  </si>
  <si>
    <t>Постоянный или временный</t>
  </si>
  <si>
    <t>Длительность работы в компании</t>
  </si>
  <si>
    <t>Увольнение в течении испытательного срока</t>
  </si>
  <si>
    <t>Автоматический расчет в шаблоне</t>
  </si>
  <si>
    <t>Пол</t>
  </si>
  <si>
    <t>Непосредтвенный руководитель</t>
  </si>
  <si>
    <t>ФИО руководителя</t>
  </si>
  <si>
    <t xml:space="preserve">Лист "Декретчицы" </t>
  </si>
  <si>
    <t>Цветовой код:</t>
  </si>
  <si>
    <t>период перед окончанием декрета (перед достижением ребенка указанного возраста (1,5; 3 года))</t>
  </si>
  <si>
    <t>меньше, чем 6 месяцев</t>
  </si>
  <si>
    <t>меньше, чем 3 месяца</t>
  </si>
  <si>
    <t xml:space="preserve">Лист "Текучесть" </t>
  </si>
  <si>
    <t>Ежемесячно отражается численность работающих  сотрудников (списочная) на последнюю дату месяца (список сотрудников (включаем)) по функциям</t>
  </si>
  <si>
    <t>Ежемесячно отражается численностьуволенных в течении соответствующего месяца по причинам "включаем" по функциям</t>
  </si>
  <si>
    <t>Информацию можно получить на листах "Сводный по юрлицам" и "Сводный по увольнениям"</t>
  </si>
  <si>
    <t xml:space="preserve">Лист "Отпуска" </t>
  </si>
  <si>
    <t>задолженность по ежегодным отпускам</t>
  </si>
  <si>
    <t>свыше 35 дней</t>
  </si>
  <si>
    <t>свыше 42 дней</t>
  </si>
  <si>
    <t>В список включаем всех сотрудников, у кого на начало месяца количество дней неотгуляррного отпуска свыше 28.</t>
  </si>
  <si>
    <t xml:space="preserve">В последующие месяца сотрудников не удаляем, новых сотрудников добавляем ниже. В комментариях указываем предполагаемую дату снижения. </t>
  </si>
  <si>
    <t xml:space="preserve">Лист "Вакансии" </t>
  </si>
  <si>
    <t>закрытие вакансий</t>
  </si>
  <si>
    <t>свыше 10 рабочих дней в работе</t>
  </si>
  <si>
    <t>свыше 15 рабочих дней в работе</t>
  </si>
  <si>
    <t>В список включаем все вакансии, имеющиеся в разработке. Закрытые вакансии не удаляем.</t>
  </si>
  <si>
    <t xml:space="preserve">Лист "Нетрудоспособность" </t>
  </si>
  <si>
    <t>В список включаем все листы нетрудоспособности нарастующим итогом, кроме совместителей</t>
  </si>
  <si>
    <t xml:space="preserve">Лист "Прогульщики" </t>
  </si>
  <si>
    <t>В список включаем всех прогульщиков нарастующим итогом</t>
  </si>
  <si>
    <t xml:space="preserve">Лист "Обучение" </t>
  </si>
  <si>
    <t>В список включаем всех сотрудников, прошедших обучение, нарастующим итогом</t>
  </si>
  <si>
    <t>Вид обучения: внутреннее или внешнее</t>
  </si>
  <si>
    <t>Тип обучения: профессиональное или личностное</t>
  </si>
  <si>
    <t xml:space="preserve">Лист "Сводный по юрлицам" </t>
  </si>
  <si>
    <t>Формируется автоматически, частично заполняем вручную</t>
  </si>
  <si>
    <t>Обновляем сводную таблицу и напротив наименования организации заполняем данные по текущей численности. Если есть расхождение по численности - пишем комментарии.</t>
  </si>
  <si>
    <t>На конец прошлого месяца</t>
  </si>
  <si>
    <t>Вновь пришедшие</t>
  </si>
  <si>
    <t xml:space="preserve">Уволившиеся </t>
  </si>
  <si>
    <t>Стал "включаем в численность"</t>
  </si>
  <si>
    <t>Стал "исключаем из численности"</t>
  </si>
  <si>
    <t>Проверка</t>
  </si>
  <si>
    <t>Комментарии к расхождениям</t>
  </si>
  <si>
    <t xml:space="preserve">Лист "Сводный по увольнениям" </t>
  </si>
  <si>
    <t>Формируется автоматически</t>
  </si>
  <si>
    <t>Обновляем сводную таблицу. Полученное количество увольнений по функциям вносим на лист текучесть</t>
  </si>
  <si>
    <t xml:space="preserve">Лист "Сводный по исключениям" </t>
  </si>
  <si>
    <t>Обновляем сводную таблицу. Кол-во декретчиц должно совпадать с листом Декретчицы</t>
  </si>
  <si>
    <t>Продуктивность</t>
  </si>
  <si>
    <t>Кассир-приемщик</t>
  </si>
  <si>
    <t>служащий</t>
  </si>
  <si>
    <t>Не продуктивный</t>
  </si>
  <si>
    <t>Сервис</t>
  </si>
  <si>
    <t>Техник</t>
  </si>
  <si>
    <t>Продуктивный</t>
  </si>
  <si>
    <t>Административно-хозяйственный отдел</t>
  </si>
  <si>
    <t>Водитель-экспедитор</t>
  </si>
  <si>
    <t>рабочий</t>
  </si>
  <si>
    <t>Вспомогательные</t>
  </si>
  <si>
    <t>директор направления</t>
  </si>
  <si>
    <t>Персональный водитель</t>
  </si>
  <si>
    <t>Азовский СЦ</t>
  </si>
  <si>
    <t>руководитель отдела</t>
  </si>
  <si>
    <t>Аксайский СЦ</t>
  </si>
  <si>
    <t>Начальник сервисного центра</t>
  </si>
  <si>
    <t>Батайский СЦ</t>
  </si>
  <si>
    <t>Бухгалтерия</t>
  </si>
  <si>
    <t>Бухгалтер</t>
  </si>
  <si>
    <t>специалист</t>
  </si>
  <si>
    <t>Главный бухгалтер</t>
  </si>
  <si>
    <t>Волгодонской СЦ</t>
  </si>
  <si>
    <t>Каменск-Шахтинский СЦ</t>
  </si>
  <si>
    <t>Инженер по нормативно-технической документации 1 категории</t>
  </si>
  <si>
    <t>Инженер по нормативно-технической документации 2 категории</t>
  </si>
  <si>
    <t>Метрологическая служба</t>
  </si>
  <si>
    <t>Ведущий инженер по метрологии</t>
  </si>
  <si>
    <t>Инженер-диспетчер</t>
  </si>
  <si>
    <t>Инженер-метролог</t>
  </si>
  <si>
    <t>Механический участок №1</t>
  </si>
  <si>
    <t>Водитель автопогрузчика</t>
  </si>
  <si>
    <t>Производство</t>
  </si>
  <si>
    <t>Мастер участка</t>
  </si>
  <si>
    <t>Подготовитель окрасочно-сушильных работ</t>
  </si>
  <si>
    <t>Слесарь механосборочных работ</t>
  </si>
  <si>
    <t>Слесарь-ремонтник</t>
  </si>
  <si>
    <t>Электрогазосварщик</t>
  </si>
  <si>
    <t>Кладовщик</t>
  </si>
  <si>
    <t>Наладчик станков и манипуляторов с программным управлением</t>
  </si>
  <si>
    <t>Упаковщик</t>
  </si>
  <si>
    <t>Инженер КИПиА</t>
  </si>
  <si>
    <t>Новочеркасский СЦ</t>
  </si>
  <si>
    <t>Основное подразделение (Промзона)</t>
  </si>
  <si>
    <t>Директор</t>
  </si>
  <si>
    <t>директор</t>
  </si>
  <si>
    <t>Отдел IT</t>
  </si>
  <si>
    <t>Помощник системного администратора</t>
  </si>
  <si>
    <t>Заместитель начальника отдела</t>
  </si>
  <si>
    <t>Продажи</t>
  </si>
  <si>
    <t>Региональный менеджер</t>
  </si>
  <si>
    <t>Ведущий региональный менеджер</t>
  </si>
  <si>
    <t>Отдел конструкторский и внедрения</t>
  </si>
  <si>
    <t>Инженер-конструктор 1 категории</t>
  </si>
  <si>
    <t>Инженер-конструктор 3 категории</t>
  </si>
  <si>
    <t>Менеджер по рекламе и PR</t>
  </si>
  <si>
    <t>Отдел материально-технического обеспечения</t>
  </si>
  <si>
    <t>Ведущий менеджер</t>
  </si>
  <si>
    <t>Ведущий оператор 1 С</t>
  </si>
  <si>
    <t>Менеджер по закупкам</t>
  </si>
  <si>
    <t>Оператор 1С</t>
  </si>
  <si>
    <t>Менеджер по региональному развитию</t>
  </si>
  <si>
    <t>Отдел продаж метрологических услуг</t>
  </si>
  <si>
    <t>Монтажник РЭА</t>
  </si>
  <si>
    <t>Ведущий инженер-программист</t>
  </si>
  <si>
    <t>Ведущий инженер-разработчик</t>
  </si>
  <si>
    <t>Инженер-разработчик радиоэлектронной аппаратуры 1 категории</t>
  </si>
  <si>
    <t>Отдел сопровождения 1С</t>
  </si>
  <si>
    <t>Начальник отдела сопровождения 1С</t>
  </si>
  <si>
    <t>Менеджер отдела тендерных продаж</t>
  </si>
  <si>
    <t>Отдел технической поддержки</t>
  </si>
  <si>
    <t>Инженер по качеству 1 категории</t>
  </si>
  <si>
    <t>Начальник отдела технического контроля</t>
  </si>
  <si>
    <t>Ведущий инженер по проектированию</t>
  </si>
  <si>
    <t>Диспетчер производства</t>
  </si>
  <si>
    <t>Инженер-электронщик</t>
  </si>
  <si>
    <t>Сборщик</t>
  </si>
  <si>
    <t>Производство №2</t>
  </si>
  <si>
    <t>Начальник производства</t>
  </si>
  <si>
    <t>Инженер по ремонту</t>
  </si>
  <si>
    <t>Ростов (Нагибина) СЦ</t>
  </si>
  <si>
    <t>Руководство</t>
  </si>
  <si>
    <t>Ведущий специалист по физической культуре и спорту</t>
  </si>
  <si>
    <t>Директор по научной работе</t>
  </si>
  <si>
    <t>Директор по экономике</t>
  </si>
  <si>
    <t>Заместитель директора по экономической безопасности</t>
  </si>
  <si>
    <t>Инженер выходного контроля</t>
  </si>
  <si>
    <t>Инженер по подготовке производства</t>
  </si>
  <si>
    <t>Начальник склада</t>
  </si>
  <si>
    <t>Помощник директора</t>
  </si>
  <si>
    <t>Помощник руководителя</t>
  </si>
  <si>
    <t>Председатель совета директоров</t>
  </si>
  <si>
    <t>Финансовый директор</t>
  </si>
  <si>
    <t>Инженер-электроник 2 категории</t>
  </si>
  <si>
    <t>Инженер-электроник 1 категории</t>
  </si>
  <si>
    <t>Инженер-программист 1 категории</t>
  </si>
  <si>
    <t>Инженер-разработчик радиоэлектронной аппаратуры 2 категории</t>
  </si>
  <si>
    <t>Сервисная служба</t>
  </si>
  <si>
    <t>Складской комплекс</t>
  </si>
  <si>
    <t>Грузчик</t>
  </si>
  <si>
    <t>Кладовщик-комплектовщик</t>
  </si>
  <si>
    <t>Служба безопасности</t>
  </si>
  <si>
    <t>Служба качества</t>
  </si>
  <si>
    <t>Менеджер системы менеджмента качества</t>
  </si>
  <si>
    <t>Служба развития</t>
  </si>
  <si>
    <t>Дизайнер</t>
  </si>
  <si>
    <t>Директор по развитию</t>
  </si>
  <si>
    <t>Экономист</t>
  </si>
  <si>
    <t>Ведущий менеджер по управлению проектами</t>
  </si>
  <si>
    <t>Служба управления персоналом</t>
  </si>
  <si>
    <t>Директор по персоналу</t>
  </si>
  <si>
    <t>Таганрогский СЦ</t>
  </si>
  <si>
    <t>Управление делами</t>
  </si>
  <si>
    <t>Начальник управления</t>
  </si>
  <si>
    <t>Шахтинский СЦ</t>
  </si>
  <si>
    <t>Юридический отдел</t>
  </si>
  <si>
    <t>Начальник юридического отдела</t>
  </si>
  <si>
    <t>Компания</t>
  </si>
  <si>
    <t>Рабочий день</t>
  </si>
  <si>
    <t>категория персонала</t>
  </si>
  <si>
    <t>Функции</t>
  </si>
  <si>
    <t>Вид занятости</t>
  </si>
  <si>
    <t>причины невключения</t>
  </si>
  <si>
    <t>причины изменения</t>
  </si>
  <si>
    <t>причина нетрудоспособности</t>
  </si>
  <si>
    <t>Вид обучения</t>
  </si>
  <si>
    <t>Направление обучения</t>
  </si>
  <si>
    <t>Рекрутер</t>
  </si>
  <si>
    <t>Январь</t>
  </si>
  <si>
    <t>АЛМАЗ</t>
  </si>
  <si>
    <t>постоянный</t>
  </si>
  <si>
    <t>полный</t>
  </si>
  <si>
    <t>Ростов-на-Дону</t>
  </si>
  <si>
    <t>Основное место</t>
  </si>
  <si>
    <t>отпуск по беременности и родам (Декрет)</t>
  </si>
  <si>
    <t>уход в отпуск по беременности и родам</t>
  </si>
  <si>
    <t>стал исключаем</t>
  </si>
  <si>
    <t>заболевание</t>
  </si>
  <si>
    <t>Внутренее</t>
  </si>
  <si>
    <t>Профессиональное</t>
  </si>
  <si>
    <t>Февраль</t>
  </si>
  <si>
    <t>Метрогазсервис</t>
  </si>
  <si>
    <t>временный</t>
  </si>
  <si>
    <t>неполный</t>
  </si>
  <si>
    <t>Совместительство</t>
  </si>
  <si>
    <t>отпуск по уходу за ребенком до 1,5 и 3-х лет</t>
  </si>
  <si>
    <t>уход в отпуск по уходу за ребенком до 1,5 и 3-х лет</t>
  </si>
  <si>
    <t>уход за больным членом семьи</t>
  </si>
  <si>
    <t>Внешнее</t>
  </si>
  <si>
    <t>Личностное</t>
  </si>
  <si>
    <t>Март</t>
  </si>
  <si>
    <t>сокращенный</t>
  </si>
  <si>
    <t>Азов</t>
  </si>
  <si>
    <t>длительный прогул</t>
  </si>
  <si>
    <t>начало  длительного прогула</t>
  </si>
  <si>
    <t>травма</t>
  </si>
  <si>
    <t>Разрешительные документы</t>
  </si>
  <si>
    <t>Апрель</t>
  </si>
  <si>
    <t>НПО Турбулентность-Дон</t>
  </si>
  <si>
    <t>Аксай</t>
  </si>
  <si>
    <t>длительное отсутствие по невыясненным причинам</t>
  </si>
  <si>
    <t>начало длительного отсутствие по невыясненным причинам</t>
  </si>
  <si>
    <t>отпуск по беременности и родам</t>
  </si>
  <si>
    <t>Май</t>
  </si>
  <si>
    <t>длительный отпуск без сохранения з/п</t>
  </si>
  <si>
    <t>уход в отпуск без сохранения з/п</t>
  </si>
  <si>
    <t>протезирование в стационаре</t>
  </si>
  <si>
    <t>Июнь</t>
  </si>
  <si>
    <t>Батайск</t>
  </si>
  <si>
    <t>длительный больничный</t>
  </si>
  <si>
    <t>выход из  отпуска по беременности и родам</t>
  </si>
  <si>
    <t>стал включаем</t>
  </si>
  <si>
    <t>долечивание в санатории</t>
  </si>
  <si>
    <t>Июль</t>
  </si>
  <si>
    <t>Волгодонск</t>
  </si>
  <si>
    <t>внутренний соместитель</t>
  </si>
  <si>
    <t>выход из  отпуска по уходу за ребенком до 1,5 и 3-х лет</t>
  </si>
  <si>
    <t>иное состояние</t>
  </si>
  <si>
    <t>Август</t>
  </si>
  <si>
    <t>Каменск-Шахтинск</t>
  </si>
  <si>
    <t>внешний совместитель</t>
  </si>
  <si>
    <t>конец длительного прогула</t>
  </si>
  <si>
    <t>Сентябрь</t>
  </si>
  <si>
    <t>конец длительного отсутствие по невыясненным причинам</t>
  </si>
  <si>
    <t>Октябрь</t>
  </si>
  <si>
    <t>ИП Корниенко М.С.</t>
  </si>
  <si>
    <t>Новочеркасск</t>
  </si>
  <si>
    <t>выход из  отпуска без сохранения з/п</t>
  </si>
  <si>
    <t>Ноябрь</t>
  </si>
  <si>
    <t>Таганрог</t>
  </si>
  <si>
    <t>Декабрь</t>
  </si>
  <si>
    <t>Шахты</t>
  </si>
  <si>
    <t>1. Предложили более высокую позицию, нет карьерного роста в Компании</t>
  </si>
  <si>
    <t>1. Недовольство руководством, непосредственным руководителем, общим стилем управления, отношениями в отделе</t>
  </si>
  <si>
    <t>1. Другая сфера деятельности, открытие собственного дела и т.п.</t>
  </si>
  <si>
    <t>1. Предложили более высокую зарплату  на аналогичной должности, неудовлетворенность текущей з/платой</t>
  </si>
  <si>
    <t>1. Неудобный график работы</t>
  </si>
  <si>
    <t>1. Неудобное расположение, далеко от дома</t>
  </si>
  <si>
    <t>1. Плохие условия труда</t>
  </si>
  <si>
    <t xml:space="preserve">1. Состояние здоровья </t>
  </si>
  <si>
    <t>1. Учеба/поступление в учебное заведение</t>
  </si>
  <si>
    <t>1. Семейные обстоятельства</t>
  </si>
  <si>
    <t>1. Переезд офиса/смена адреса</t>
  </si>
  <si>
    <t>2. Низкие результаты, не справляется с основными обязанностями</t>
  </si>
  <si>
    <t>2. Неадекватное поведение, поступки и т.п.</t>
  </si>
  <si>
    <t>2. Пьянство</t>
  </si>
  <si>
    <t>2. Хищение, долги, подделка документации</t>
  </si>
  <si>
    <t>2. Прогул</t>
  </si>
  <si>
    <t>2. Лишение водительского удостоверения</t>
  </si>
  <si>
    <t>3. Переезд на другое место жительства</t>
  </si>
  <si>
    <t>3. Срочный договор на период замещения/сезонные работы</t>
  </si>
  <si>
    <t>3. Оптимизация численности/штата</t>
  </si>
  <si>
    <t xml:space="preserve">3. Оптимизация структуры Компании </t>
  </si>
  <si>
    <t>3. Призыв в армию</t>
  </si>
  <si>
    <t>3. Гос. обязанность</t>
  </si>
  <si>
    <t>3. Смерть работника на рабочем месте</t>
  </si>
  <si>
    <t>3. Смерть работника вне работы</t>
  </si>
  <si>
    <t>3. Перевод работника с его согласия в другое юридическое лицо в рамках Группы компаний</t>
  </si>
  <si>
    <t>3. Инвалидность</t>
  </si>
  <si>
    <t>3. Уход на пенсию: досрочный/регулярный</t>
  </si>
  <si>
    <t>Расшифровка статей увольнения</t>
  </si>
  <si>
    <t>п. 1 части 1 ст. 77 ТК РФ</t>
  </si>
  <si>
    <t>Соглашение сторон</t>
  </si>
  <si>
    <t xml:space="preserve">п. 2 части 1 ст. 77 ТК РФ </t>
  </si>
  <si>
    <t>Истечение срока трудового договора</t>
  </si>
  <si>
    <t>п. 3 части 1 ст. 77 ТК РФ</t>
  </si>
  <si>
    <t>Расторжение трудового договора по инициативе работника</t>
  </si>
  <si>
    <t>п. 5 части 1 ст. 77 ТК РФ</t>
  </si>
  <si>
    <t>В порядке перевода</t>
  </si>
  <si>
    <t>п. 6 части 1 ст. 77 ТК РФ</t>
  </si>
  <si>
    <t>Отказ работника от продолжения работы в связи с изменением подведомственности (подчиненности) организации</t>
  </si>
  <si>
    <t>Отказ работника от продолжения работы в связи с реорганизацией организации</t>
  </si>
  <si>
    <t>Отказ работника от продолжения работы в связи со сменой собственника имущества организации</t>
  </si>
  <si>
    <t>п. 7 части 1 ст. 77 ТК РФ</t>
  </si>
  <si>
    <t>Отказ работника от продолжения работы в связи с изменением определенных сторонами условий трудового договора</t>
  </si>
  <si>
    <t>п. 8 части 1 ст. 77 ТК РФ</t>
  </si>
  <si>
    <t>Отсутствие у работодателя работы, необходимой работнику в соответствии с мед. Заключением</t>
  </si>
  <si>
    <t>п. 9 части 1 ст. 77 ТК РФ</t>
  </si>
  <si>
    <t>Отказ работника от перевода на работу в другую местность вместе с работодателем</t>
  </si>
  <si>
    <t>п. 11 части 1 ст. 77 ТК РФ</t>
  </si>
  <si>
    <t>Нарушение установленных ТК РФ или иным ФЗ правил заключения трудового договора</t>
  </si>
  <si>
    <t>Отказ работника от перевода на другую работу, необходимую ему в соответствии с мед. заключением</t>
  </si>
  <si>
    <t>п. 1 части 1 ст. 81 ТК РФ</t>
  </si>
  <si>
    <t>Ликвидация организации</t>
  </si>
  <si>
    <t xml:space="preserve">п. 2 части 1 ст. 81 ТК РФ  </t>
  </si>
  <si>
    <t>Увольнение по инициативе работодателя</t>
  </si>
  <si>
    <t>п. 3 части 1 ст. 81 ТК РФ</t>
  </si>
  <si>
    <t>Несоответствие работника занимаемой должности вследствие недостаточной квалификации</t>
  </si>
  <si>
    <t>п. 4 части 1 ст. 81 ТК РФ</t>
  </si>
  <si>
    <t>Смена собственника имущества организации</t>
  </si>
  <si>
    <t>п. 5 части 1 ст. 81 ТК РФ</t>
  </si>
  <si>
    <t>Неоднократное неисполнение работником без уважительных причин трудовых обязанностей</t>
  </si>
  <si>
    <t>п/п "а" п. 6 части 1 ст. 81 ТК РФ</t>
  </si>
  <si>
    <t>Прогул</t>
  </si>
  <si>
    <t>п/п "б" п. 6 части 1 ст. 81 ТК РФ</t>
  </si>
  <si>
    <t>Появление работника на работе в состоянии алкогольного, наркотического или иного токсического опьянения</t>
  </si>
  <si>
    <t>п/п "в" п. 6 части 1 ст. 81 ТК РФ</t>
  </si>
  <si>
    <t>Разглашение охраняемой законом тайны</t>
  </si>
  <si>
    <t>п/п "г" п. 6 части 1 ст. 81 ТК РФ</t>
  </si>
  <si>
    <t>Совершение по месту работы хищения чужого имущества, растраты, умышленного его уничтожения или повреждения</t>
  </si>
  <si>
    <t>п/п "д" п. 6 части 1 ст. 81 ТК РФ</t>
  </si>
  <si>
    <t>Нарушение работником требований охраны труда</t>
  </si>
  <si>
    <t>п. 7 части 1 ст. 81 ТК РФ</t>
  </si>
  <si>
    <t>Совершение виновных действий работником, непосредственно обслуживающим денежные или товарные ценности</t>
  </si>
  <si>
    <t>п. 9 части 1 ст. 81 ТК РФ</t>
  </si>
  <si>
    <t>Принятие необоснованного решения руководителем организации</t>
  </si>
  <si>
    <t xml:space="preserve">п. 10 части 1 ст. 81 ТК РФ </t>
  </si>
  <si>
    <t>Однократное грубое нарушение руководителем организации, его заместителями своих трудовых обязанностей</t>
  </si>
  <si>
    <t>п. 11 части 1 ст. 81 ТК РФ</t>
  </si>
  <si>
    <t>Представление работником работодателю подложных документов при заключении трудового договора</t>
  </si>
  <si>
    <t>п. 13 части 1 ст. 81 ТК РФ</t>
  </si>
  <si>
    <t xml:space="preserve">Расторжение трудового договора в случаях, предусмотренных трудовым договором с руководителем организации </t>
  </si>
  <si>
    <t>п. 1 части 1 ст. 83 ТК РФ</t>
  </si>
  <si>
    <t>Трудовой договор расторгнут по обстоятельствам, не зависящим от воли сторон (призыв работника на военную службу)</t>
  </si>
  <si>
    <t>п. 2 части 1 ст. 83 ТК РФ</t>
  </si>
  <si>
    <t>Восстановление на работе работника, ранее выполнявшего эту работу</t>
  </si>
  <si>
    <t>п. 4 части 1 ст. 83 ТК РФ</t>
  </si>
  <si>
    <t>Осуждение работника</t>
  </si>
  <si>
    <t>п. 5 части 1 ст. 83 ТК РФ</t>
  </si>
  <si>
    <t>Нетрудоспособность работника</t>
  </si>
  <si>
    <t>п. 6 части 1 ст. 83 ТК РФ</t>
  </si>
  <si>
    <t>Смерть работника</t>
  </si>
  <si>
    <t>п. 9 части 1 ст. 83 ТК РФ</t>
  </si>
  <si>
    <t>Истечение срока действия, приостановление действия на срок более двух месяцев или лишение работника специального права</t>
  </si>
  <si>
    <t>п. 11 части 1 ст. 83 ТК РФ</t>
  </si>
  <si>
    <t>Отмена решения суда о восстановлении работника на работе</t>
  </si>
  <si>
    <t>ст. 288 ТК РФ</t>
  </si>
  <si>
    <t>Прием на работу работника, для которого эта работа будет являться основной</t>
  </si>
  <si>
    <t>Причина увольнения</t>
  </si>
  <si>
    <t>Увольнение по собственному желанию</t>
  </si>
  <si>
    <t>включаем</t>
  </si>
  <si>
    <t>3. Причины, не зависящие от воли сторон  трудового договора</t>
  </si>
  <si>
    <t>не включаем</t>
  </si>
  <si>
    <t>Участок сборки счетчиков</t>
  </si>
  <si>
    <t>Конструкторское бюро</t>
  </si>
  <si>
    <t>Бригадир сборщиков</t>
  </si>
  <si>
    <t>Участок ремонта гарантийных приборов</t>
  </si>
  <si>
    <t>Механический цех</t>
  </si>
  <si>
    <t xml:space="preserve">Фрезеровщик                                                           </t>
  </si>
  <si>
    <t>Специалист по кадровому делопроизводству</t>
  </si>
  <si>
    <t>(Все)</t>
  </si>
  <si>
    <t>Общий итог</t>
  </si>
  <si>
    <t>май</t>
  </si>
  <si>
    <t>ИП Корниенко М.В.</t>
  </si>
  <si>
    <t>Текучесть в разрезе компаний (общая)</t>
  </si>
  <si>
    <t>январь</t>
  </si>
  <si>
    <t>февраль</t>
  </si>
  <si>
    <t>март</t>
  </si>
  <si>
    <t>апрель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</si>
  <si>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</si>
  <si>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</si>
  <si>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</si>
  <si>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</si>
  <si>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</si>
  <si>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</si>
  <si>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</si>
  <si>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ГОД</t>
  </si>
  <si>
    <t>численность</t>
  </si>
  <si>
    <t>увольнение</t>
  </si>
  <si>
    <t>текучесть</t>
  </si>
  <si>
    <t>Итого</t>
  </si>
  <si>
    <t>С накоплением</t>
  </si>
  <si>
    <t>Биденко Е.Г.</t>
  </si>
  <si>
    <t>Город</t>
  </si>
  <si>
    <t>Предприятие</t>
  </si>
  <si>
    <t>Комментарии</t>
  </si>
  <si>
    <t xml:space="preserve"> </t>
  </si>
  <si>
    <t>Причина нетрудоспособности</t>
  </si>
  <si>
    <t>Месяц начала</t>
  </si>
  <si>
    <t>Месяц окончания</t>
  </si>
  <si>
    <t>Дата начала больничного листа</t>
  </si>
  <si>
    <t>Дата окончания больничного листа</t>
  </si>
  <si>
    <t>Количество календарных дней по болезни</t>
  </si>
  <si>
    <t>Тема обучения</t>
  </si>
  <si>
    <t>Месяц обучения</t>
  </si>
  <si>
    <t>Дата начала обучения</t>
  </si>
  <si>
    <t>Дата окончания обучения</t>
  </si>
  <si>
    <t>Затраты на обучение, руб</t>
  </si>
  <si>
    <t>Обучающая организация</t>
  </si>
  <si>
    <t>Плановый срок закрытия:</t>
  </si>
  <si>
    <t>21 день</t>
  </si>
  <si>
    <t>для низкоквалифицированного персонала</t>
  </si>
  <si>
    <t>42 дня</t>
  </si>
  <si>
    <t>для менеджеров и начальников отделов</t>
  </si>
  <si>
    <t>84 дня</t>
  </si>
  <si>
    <t>Вакансия</t>
  </si>
  <si>
    <t>Месяц открытия</t>
  </si>
  <si>
    <t>Дата открытия</t>
  </si>
  <si>
    <t>Дата закрытия плановая</t>
  </si>
  <si>
    <t>Дата закрытия факт</t>
  </si>
  <si>
    <t>Количество дней в работе</t>
  </si>
  <si>
    <t>Срок закрытия плановый</t>
  </si>
  <si>
    <t>Отклонения от срока</t>
  </si>
  <si>
    <t>Данные</t>
  </si>
  <si>
    <t>Количество по полю Вакансия</t>
  </si>
  <si>
    <t>Сумма по полю Количество дней в работе</t>
  </si>
  <si>
    <t>Сумма по полю Срок закрытия плановый</t>
  </si>
  <si>
    <t>Сумма по полю Отклонения от срока</t>
  </si>
  <si>
    <t>Логистика</t>
  </si>
  <si>
    <t>Участок ЧПУ</t>
  </si>
  <si>
    <t>Инженер-разработчик 3 категории</t>
  </si>
  <si>
    <t>Менеджер по развитию</t>
  </si>
  <si>
    <t>Уборщик помещений</t>
  </si>
  <si>
    <t xml:space="preserve">Отдел продаж </t>
  </si>
  <si>
    <t>Отдел технического контроля №1</t>
  </si>
  <si>
    <t>Экономический отдел</t>
  </si>
  <si>
    <t>Начальник экономического отдела</t>
  </si>
  <si>
    <t xml:space="preserve">Бухгалтер                                                             </t>
  </si>
  <si>
    <t>Участок упаковки</t>
  </si>
  <si>
    <t>Сборщик-упаковщик</t>
  </si>
  <si>
    <t>Токарный участок</t>
  </si>
  <si>
    <t>Специалист по работе с рекламациями</t>
  </si>
  <si>
    <t>Ремонтный участок стендов</t>
  </si>
  <si>
    <t>Начальник службы развития</t>
  </si>
  <si>
    <t>Начальник сервисной службы</t>
  </si>
  <si>
    <t>Производство №1</t>
  </si>
  <si>
    <t>Слесарь-сборщик радиоэлектронной аппаратуры</t>
  </si>
  <si>
    <t>Проектный офис</t>
  </si>
  <si>
    <t>Бригадир участка</t>
  </si>
  <si>
    <t>Инженер входного контроля</t>
  </si>
  <si>
    <t>Монтажный участок</t>
  </si>
  <si>
    <t xml:space="preserve">Инженер-электроник                                                   </t>
  </si>
  <si>
    <t>Помощник Председателя совета директоров</t>
  </si>
  <si>
    <t>Отдел технического контроля №2</t>
  </si>
  <si>
    <t>Участок СПУ-5</t>
  </si>
  <si>
    <t>Слесарь-калибровщик</t>
  </si>
  <si>
    <t>Ведущий менеджер по персоналу</t>
  </si>
  <si>
    <t>Фрезерный участок</t>
  </si>
  <si>
    <t>Инженер по опытно-промышленной эксплуатации</t>
  </si>
  <si>
    <t xml:space="preserve">Диспетчер                                                             </t>
  </si>
  <si>
    <t>Лакировщик радиодеталий</t>
  </si>
  <si>
    <t xml:space="preserve">Участок Гранд SPI </t>
  </si>
  <si>
    <t>Сварщик аргонно-дуговой сварки</t>
  </si>
  <si>
    <t>Заместитель главного бухгалтера</t>
  </si>
  <si>
    <t>Диспетчер по планированию</t>
  </si>
  <si>
    <t>Директор по производству</t>
  </si>
  <si>
    <t>Ведущий менеджер отдела тендерных продаж</t>
  </si>
  <si>
    <t xml:space="preserve">Бухгалтерия </t>
  </si>
  <si>
    <t>Группа по развитию производственной системы</t>
  </si>
  <si>
    <t>Руководитель группы по развитию производственной системы</t>
  </si>
  <si>
    <t>ФИО лектора</t>
  </si>
  <si>
    <t>Сборочный участок №1</t>
  </si>
  <si>
    <t>Допольнительные затраты</t>
  </si>
  <si>
    <t>Транспортная служба</t>
  </si>
  <si>
    <t>Бухгалтер-кассир</t>
  </si>
  <si>
    <t xml:space="preserve">Начальник отдела материально-технического обеспечения </t>
  </si>
  <si>
    <t>Количество часов обучения</t>
  </si>
  <si>
    <t>Сборочный участок №2</t>
  </si>
  <si>
    <t>Начальник отдела конструкторского и внедрения</t>
  </si>
  <si>
    <t>без сроков</t>
  </si>
  <si>
    <t>Приоритет закрытия</t>
  </si>
  <si>
    <t>Первоочередная</t>
  </si>
  <si>
    <t>Текущая</t>
  </si>
  <si>
    <t>Резерв</t>
  </si>
  <si>
    <t>руководители высшего звена, узкоквалифицированные специалисты, удаленный подбор (сервисные центры)</t>
  </si>
  <si>
    <t>Менеджер по работе с клиентами</t>
  </si>
  <si>
    <t xml:space="preserve">Отдел сопровождения </t>
  </si>
  <si>
    <t>Участок ремонта гарантийных плат</t>
  </si>
  <si>
    <t>Слесарно-сварочный участок №1</t>
  </si>
  <si>
    <t>Слесарно-сварочный участок №2</t>
  </si>
  <si>
    <t>Специалист по охране труда</t>
  </si>
  <si>
    <t>Оператор розлива воды</t>
  </si>
  <si>
    <t>Старший менеджер по работе с клиентами</t>
  </si>
  <si>
    <t>Инженер контроля качества и безопасности пищевой продукции</t>
  </si>
  <si>
    <t>Начальник транспортного отдела</t>
  </si>
  <si>
    <t>Продавец</t>
  </si>
  <si>
    <t xml:space="preserve">Транспортный отдел </t>
  </si>
  <si>
    <t>Закрытый поиск</t>
  </si>
  <si>
    <t>Менеджер по сопровождению</t>
  </si>
  <si>
    <t>Программист 1С-Битрикс</t>
  </si>
  <si>
    <t xml:space="preserve">Инженер-проектировщик АСУТП 1-й категории </t>
  </si>
  <si>
    <t>Директор по логистике</t>
  </si>
  <si>
    <t>Инженер-проектировщик АСУТП 3-й категории</t>
  </si>
  <si>
    <t>Главный конструктор по изделию</t>
  </si>
  <si>
    <t xml:space="preserve">Мастер цеха                                                          </t>
  </si>
  <si>
    <t>Склад ремонтных приборов</t>
  </si>
  <si>
    <t>Участок ультразвуковых датчиков</t>
  </si>
  <si>
    <t>Дефектовщик</t>
  </si>
  <si>
    <t xml:space="preserve">Заместитель директора                                                 </t>
  </si>
  <si>
    <t>Начальник транспортной службы</t>
  </si>
  <si>
    <t>Контролер-упаковщик</t>
  </si>
  <si>
    <t xml:space="preserve">Технический директор                                                  </t>
  </si>
  <si>
    <t>Оператор склада</t>
  </si>
  <si>
    <t>Инженер-программист 3 категории</t>
  </si>
  <si>
    <t xml:space="preserve">Начальник склада механического участка </t>
  </si>
  <si>
    <t>Инженер по сертификации и стандартизация 1 категории</t>
  </si>
  <si>
    <t>Ведущий менеджер по маркетингу и рекламе</t>
  </si>
  <si>
    <t xml:space="preserve">Администрация </t>
  </si>
  <si>
    <t xml:space="preserve">Мастер по ремонту </t>
  </si>
  <si>
    <t>Руководитель отдела</t>
  </si>
  <si>
    <t>Амурская легенда</t>
  </si>
  <si>
    <t>Отдел логистики</t>
  </si>
  <si>
    <t xml:space="preserve">Начальник отдела логистики </t>
  </si>
  <si>
    <t>Руководитель отдела продаж</t>
  </si>
  <si>
    <t>Розничная торговая сеть</t>
  </si>
  <si>
    <t xml:space="preserve">Менеджер по логистике </t>
  </si>
  <si>
    <t xml:space="preserve">Ведущий менеджер </t>
  </si>
  <si>
    <t>Программист 1С</t>
  </si>
  <si>
    <t>Менеджер по развитию 2 категории</t>
  </si>
  <si>
    <t>Заместитель директора по развитию производства</t>
  </si>
  <si>
    <t>Регулировщик радиоэлектронной аппаратуры и приборов</t>
  </si>
  <si>
    <t>Юрисконсульт</t>
  </si>
  <si>
    <t>№ п/п</t>
  </si>
  <si>
    <t>Начальник отдела</t>
  </si>
  <si>
    <t>Офис-менеджер</t>
  </si>
  <si>
    <t xml:space="preserve">Инженер по качеству   </t>
  </si>
  <si>
    <t>Начальник службы качества</t>
  </si>
  <si>
    <t xml:space="preserve">Ведущий специалист  </t>
  </si>
  <si>
    <t>Помощник бухгалтера</t>
  </si>
  <si>
    <t xml:space="preserve">Инженер-разработчик радиоэлектронной аппаратуры 3 категории </t>
  </si>
  <si>
    <t>Инженер-конструктор 2 категории</t>
  </si>
  <si>
    <t>Коммерческий директор</t>
  </si>
  <si>
    <t>Менеджер по снабжению</t>
  </si>
  <si>
    <t>Ведущий инженер по внедрению новой технике и технологии</t>
  </si>
  <si>
    <t>Менеджер по логистике</t>
  </si>
  <si>
    <t>Ведущий специалист по внедрению новой техники и технологии</t>
  </si>
  <si>
    <t xml:space="preserve">Главный конструктор   </t>
  </si>
  <si>
    <t xml:space="preserve">Конструкторское бюро        </t>
  </si>
  <si>
    <t xml:space="preserve">Отдел технической поддержки        </t>
  </si>
  <si>
    <t xml:space="preserve">Ростов (Нагибина) СЦ        </t>
  </si>
  <si>
    <t xml:space="preserve">Основное подразделение (Промзона)        </t>
  </si>
  <si>
    <t>ООО АЛМАЗ</t>
  </si>
  <si>
    <t>Специалист по технической поддержке</t>
  </si>
  <si>
    <t>Менеджер по маркетингу и рекламе</t>
  </si>
  <si>
    <t>35 дней</t>
  </si>
  <si>
    <t>Диспетчер 1С ERP</t>
  </si>
  <si>
    <t>Заместитель директора по развитию</t>
  </si>
  <si>
    <t>Бухгалтер производства</t>
  </si>
  <si>
    <t>Отдел продаж бытового оборудования</t>
  </si>
  <si>
    <t>План</t>
  </si>
  <si>
    <t>Выполнение</t>
  </si>
  <si>
    <t>Вид приема</t>
  </si>
  <si>
    <t>Перевод</t>
  </si>
  <si>
    <t xml:space="preserve">Подбор </t>
  </si>
  <si>
    <t>Приведи друга</t>
  </si>
  <si>
    <t xml:space="preserve">Отдел дилерских продаж </t>
  </si>
  <si>
    <t>Отдел менеджмента качества</t>
  </si>
  <si>
    <t>Отдел по работе с ключевыми клиентами</t>
  </si>
  <si>
    <t xml:space="preserve">Отдел продаж бытового оборудования </t>
  </si>
  <si>
    <t>Отдел внешнеэкономической деятельности</t>
  </si>
  <si>
    <t>Месяц закрытия план</t>
  </si>
  <si>
    <t>Месяц закрытия факт</t>
  </si>
  <si>
    <t>Специалист по организации мероприятий</t>
  </si>
  <si>
    <t>Специалист по процессному управлению</t>
  </si>
  <si>
    <t xml:space="preserve">Ведущий инженер по нормативно-технической документации </t>
  </si>
  <si>
    <t>Технический директор</t>
  </si>
  <si>
    <t>Главный конструктор</t>
  </si>
  <si>
    <t xml:space="preserve">Начальник отдела </t>
  </si>
  <si>
    <t xml:space="preserve">Водитель </t>
  </si>
  <si>
    <t>Вакансии по сроку закрытия</t>
  </si>
  <si>
    <t>Вакансии по плану закрытия</t>
  </si>
  <si>
    <t>45 дней</t>
  </si>
  <si>
    <t>Конструкторско-технологический отдел</t>
  </si>
  <si>
    <t>Старший кассир</t>
  </si>
  <si>
    <t>Специалист по технической поддержке продаж</t>
  </si>
  <si>
    <t>Менеджер по сопровождению ВЭД</t>
  </si>
  <si>
    <t>Бухгалтер по расчету заработной платы</t>
  </si>
  <si>
    <t>Отдел информационных технологий</t>
  </si>
  <si>
    <t>Руководитель проекта</t>
  </si>
  <si>
    <t>Участок ремонта промышленного оборудования</t>
  </si>
  <si>
    <t>Служба ремонта и обслуживания оборудования</t>
  </si>
  <si>
    <t>Начальник службы</t>
  </si>
  <si>
    <t>Планово-диспетчерская служба</t>
  </si>
  <si>
    <t>Главный диспетчер</t>
  </si>
  <si>
    <t>Главный метролог</t>
  </si>
  <si>
    <t>Ведущий инженер-разработчик радиоэлектронной аппаратуры</t>
  </si>
  <si>
    <t xml:space="preserve">Инженер-проектировщик АСУТП 2-й категории </t>
  </si>
  <si>
    <t>Заместитель главного конструктора</t>
  </si>
  <si>
    <t>Заместитель главного конструктора по качеству</t>
  </si>
  <si>
    <t>Ведущий инженер-конструктор</t>
  </si>
  <si>
    <t>Ведущий инженер по разработке и оформлению научно-технической документации</t>
  </si>
  <si>
    <t>Отдел метрологии и испытаний</t>
  </si>
  <si>
    <t>Ведущий менеджер по развитию</t>
  </si>
  <si>
    <t>Менеджер по развитию 1 категории</t>
  </si>
  <si>
    <t>Отдел сопровождения 1С.</t>
  </si>
  <si>
    <t>Руководство конструкторского бюро</t>
  </si>
  <si>
    <t>Руководство (основное)</t>
  </si>
  <si>
    <t>Отдел по работе с рекламациями</t>
  </si>
  <si>
    <t>Участок Гранд SPI</t>
  </si>
  <si>
    <t>Сальский СЦ</t>
  </si>
  <si>
    <t>Производственный отдел</t>
  </si>
  <si>
    <t>ОП Розничная торговая сеть: водный павильон "Суворовский"</t>
  </si>
  <si>
    <t>ОП Розничная торговая сеть: водный павильон "Аксай"</t>
  </si>
  <si>
    <t>ОП Розничная торговая сеть: водный павильон "Западный"</t>
  </si>
  <si>
    <t>Шахты СЦ</t>
  </si>
  <si>
    <t>Сальск</t>
  </si>
  <si>
    <t>Название компании</t>
  </si>
  <si>
    <t>Менеджер по развитию продаж</t>
  </si>
  <si>
    <t>Уровень управления</t>
  </si>
  <si>
    <t>2БП</t>
  </si>
  <si>
    <t>1БП</t>
  </si>
  <si>
    <t>2ПП</t>
  </si>
  <si>
    <t>3ПП</t>
  </si>
  <si>
    <t>Коммерческая служба</t>
  </si>
  <si>
    <t>3БП</t>
  </si>
  <si>
    <t>Заместитель коммерческого директора</t>
  </si>
  <si>
    <t>4БП</t>
  </si>
  <si>
    <t>4ПП</t>
  </si>
  <si>
    <t>6ПП</t>
  </si>
  <si>
    <t>5ПП</t>
  </si>
  <si>
    <t>5БП</t>
  </si>
  <si>
    <t>7БП</t>
  </si>
  <si>
    <t>1ПП</t>
  </si>
  <si>
    <t>7ПП</t>
  </si>
  <si>
    <t>6БП</t>
  </si>
  <si>
    <t>Начальник контрольной службы и режима</t>
  </si>
  <si>
    <t>Специалист по технической документации</t>
  </si>
  <si>
    <t>Специалист по сопровождению 1С:ERP</t>
  </si>
  <si>
    <t>Программист 1С 3-й категории</t>
  </si>
  <si>
    <t xml:space="preserve"> Менеджер по развитию продаж</t>
  </si>
  <si>
    <t>Начальник отдела продаж</t>
  </si>
  <si>
    <t xml:space="preserve">Старший уборщик помещений </t>
  </si>
  <si>
    <t>Начальник отдела снабжения</t>
  </si>
  <si>
    <t>Монтажник КИПиА</t>
  </si>
  <si>
    <t xml:space="preserve">Менеджер по сопровождению </t>
  </si>
  <si>
    <t>ЦФО</t>
  </si>
  <si>
    <t xml:space="preserve">Заместитель главного конструктора - председатель экспертной комиссии </t>
  </si>
  <si>
    <t>Отдел метрологии и сертификации</t>
  </si>
  <si>
    <t>Ведущий менеджер по тендерам</t>
  </si>
  <si>
    <t xml:space="preserve">Менеджер по сопровождению клиентов </t>
  </si>
  <si>
    <t>Ведущий инженер по качеству</t>
  </si>
  <si>
    <t xml:space="preserve">Менеджер по продажам   </t>
  </si>
  <si>
    <t>Менеджер по качеству</t>
  </si>
  <si>
    <t>Ведущий специалист по сертификации</t>
  </si>
  <si>
    <t>Инженер по опытно-промышленной эксплуатации 1 категории</t>
  </si>
  <si>
    <t>Руководство ГК</t>
  </si>
  <si>
    <t>Программист 1С 2-й категории</t>
  </si>
  <si>
    <t>Инженер по метрологии 2 категории</t>
  </si>
  <si>
    <t xml:space="preserve">вакансии в резерв </t>
  </si>
  <si>
    <t>с медосмотром:</t>
  </si>
  <si>
    <t>Кандидат (ФИО)</t>
  </si>
  <si>
    <t>НПО Турбулентность-ДОН</t>
  </si>
  <si>
    <t>Текучесть в разрезе ЦФО</t>
  </si>
  <si>
    <t>Милака</t>
  </si>
  <si>
    <t>Затраты на командировку</t>
  </si>
  <si>
    <t>Менеджер по персоналу</t>
  </si>
  <si>
    <t>Транспортный отдел</t>
  </si>
  <si>
    <t>ОПМУ</t>
  </si>
  <si>
    <t>Гостиница</t>
  </si>
  <si>
    <t>Беседин Евгений Сергеевич</t>
  </si>
  <si>
    <t>Павлов Александр Сергеевич</t>
  </si>
  <si>
    <t>Служба экономической безопасности</t>
  </si>
  <si>
    <t xml:space="preserve">Контролер поста контроля  </t>
  </si>
  <si>
    <t>Производственный цех №1</t>
  </si>
  <si>
    <t>Оператор станков с программным управлением</t>
  </si>
  <si>
    <t>Служба технического директора</t>
  </si>
  <si>
    <t>Эксплуатационная служба</t>
  </si>
  <si>
    <t>Рабочий по комплексному обслуживанию зданий</t>
  </si>
  <si>
    <t>Энергетик</t>
  </si>
  <si>
    <t>Заместитель главного бухгалтера КБ</t>
  </si>
  <si>
    <t>Метрогазсервис ООО</t>
  </si>
  <si>
    <t>ТУРБУЛЕНТНОСТЬ-ДОН ООО НПО</t>
  </si>
  <si>
    <t>Менеджер по работе с государственными органами</t>
  </si>
  <si>
    <t>Ведущий юрисконсульт</t>
  </si>
  <si>
    <t>Факт</t>
  </si>
  <si>
    <t>% выполнения</t>
  </si>
  <si>
    <t>Монтажник</t>
  </si>
  <si>
    <t>Контролер поста контроля</t>
  </si>
  <si>
    <t>Инженер-проектировщик АСУТП 2-й категории</t>
  </si>
  <si>
    <t>Ведущий инженер по нормативно-технической документации</t>
  </si>
  <si>
    <t>Заместитель главного конструктора - председатель экспертной комиссии</t>
  </si>
  <si>
    <t>Начальник склада механического участка</t>
  </si>
  <si>
    <t>Ведущий специалист</t>
  </si>
  <si>
    <t>Мастер цеха</t>
  </si>
  <si>
    <t>Токарь</t>
  </si>
  <si>
    <t>Инженер сервисной службы</t>
  </si>
  <si>
    <t>Лаборатория неразрушающего контроля</t>
  </si>
  <si>
    <t>Начальник лаборатории неразрушающего контроля</t>
  </si>
  <si>
    <t>Диспетчер</t>
  </si>
  <si>
    <t>Электрик</t>
  </si>
  <si>
    <t>Фрезеровщик</t>
  </si>
  <si>
    <t>Сидоренко Николай Михайлович</t>
  </si>
  <si>
    <t>Томилина Надежда Юрьевна</t>
  </si>
  <si>
    <t>Отдел продаж</t>
  </si>
  <si>
    <t>Мастер по ремонту и сервисному обслуживанию</t>
  </si>
  <si>
    <t>Менеджер по сопровождению клиентов</t>
  </si>
  <si>
    <t>Водитель</t>
  </si>
  <si>
    <t>Служба приема и размещения</t>
  </si>
  <si>
    <t>Старший портье</t>
  </si>
  <si>
    <t>Портье</t>
  </si>
  <si>
    <t>Контролер</t>
  </si>
  <si>
    <t>ЦФО Амурская легенда (1 ур)</t>
  </si>
  <si>
    <t xml:space="preserve">Кассир-приемщик </t>
  </si>
  <si>
    <t>Черненко Олег Константинович</t>
  </si>
  <si>
    <t>ТД Амурская легенда</t>
  </si>
  <si>
    <t xml:space="preserve"> Сборочный участок №1</t>
  </si>
  <si>
    <t>Москва</t>
  </si>
  <si>
    <t>Никитаев Алексей Вячеславович</t>
  </si>
  <si>
    <t>Инженер-программист 2 категории</t>
  </si>
  <si>
    <t>Славина Ольга Николаевна</t>
  </si>
  <si>
    <t xml:space="preserve">Специалист по работе с рекламациями </t>
  </si>
  <si>
    <t>Старший оператор 1С</t>
  </si>
  <si>
    <t>Мишенин Игорь Петрович</t>
  </si>
  <si>
    <t xml:space="preserve">Начальник склада </t>
  </si>
  <si>
    <t>Дьяконова Олеся Сергеевна</t>
  </si>
  <si>
    <t xml:space="preserve"> Отдел продаж метрологических услуг </t>
  </si>
  <si>
    <t>Заместитель начальника</t>
  </si>
  <si>
    <t>Бабичева Виктория Николаевна</t>
  </si>
  <si>
    <t>Близнюкова Светлана Сергеевна</t>
  </si>
  <si>
    <t>Абрамов Георгий Георгиевич</t>
  </si>
  <si>
    <t>ООО Метрогазсервис</t>
  </si>
  <si>
    <t>Вирабян Арнольд Юраевич</t>
  </si>
  <si>
    <t>Транспортный отдели</t>
  </si>
  <si>
    <t>Оккаев Валод Эрикович</t>
  </si>
  <si>
    <t xml:space="preserve"> Участок ремонта гарантийных приборов </t>
  </si>
  <si>
    <t xml:space="preserve"> Транспортный отдел </t>
  </si>
  <si>
    <t xml:space="preserve"> Семикаракорский СЦ </t>
  </si>
  <si>
    <t>ООО МИЛАКА</t>
  </si>
  <si>
    <t>Присталенко Георгий Владимирович</t>
  </si>
  <si>
    <t>Степанов Владимир Васильевич</t>
  </si>
  <si>
    <t xml:space="preserve"> Участок ЧПУ</t>
  </si>
  <si>
    <t>Терещенко Инна Александровна</t>
  </si>
  <si>
    <t xml:space="preserve"> Отдел продаж бытового оборудования </t>
  </si>
  <si>
    <t>Марсов Алексей Алексеевич</t>
  </si>
  <si>
    <t xml:space="preserve">Складской комплекс </t>
  </si>
  <si>
    <t>Каратаев Дмитрий Игоревич</t>
  </si>
  <si>
    <t>Абрамов Юрий Арсенович</t>
  </si>
  <si>
    <t>Шепель Станислав Павлович</t>
  </si>
  <si>
    <t xml:space="preserve">Инженер выходного контроля </t>
  </si>
  <si>
    <t>ОТК-1</t>
  </si>
  <si>
    <t xml:space="preserve"> Служба приема и размещения</t>
  </si>
  <si>
    <t xml:space="preserve">  Семикаракорский СЦ </t>
  </si>
  <si>
    <t xml:space="preserve">  Семикаракорск </t>
  </si>
  <si>
    <t>Халиков Рамиз Курбанович</t>
  </si>
  <si>
    <t xml:space="preserve"> Транспортный отдел  </t>
  </si>
  <si>
    <t xml:space="preserve">Монтажник                                                     </t>
  </si>
  <si>
    <t>ЦФО Производство №1 (1 ур)</t>
  </si>
  <si>
    <t xml:space="preserve">ЦФО Производство №2 (1 ур)  </t>
  </si>
  <si>
    <t>ЦФО МГС (1 ур)</t>
  </si>
  <si>
    <t>ЦФО Главный метролог (1 ур)</t>
  </si>
  <si>
    <t>ЦФО КБ (2 ур)</t>
  </si>
  <si>
    <t>ЦФО Финслужба (2 ур)</t>
  </si>
  <si>
    <t>ЦФО Служба развития (2 ур)</t>
  </si>
  <si>
    <t>ЦФО Производство БМИ (1 ур)</t>
  </si>
  <si>
    <t>ЦФО Служба безопасности (2 ур)</t>
  </si>
  <si>
    <t>ЦФО Руководство (2 ур)</t>
  </si>
  <si>
    <t>ЦФО Служба качества (2 ур)</t>
  </si>
  <si>
    <t>ЦФО Сервисная служба (1+2 ур)</t>
  </si>
  <si>
    <t>ЦФО Служба логистики (2 ур)</t>
  </si>
  <si>
    <t>ЦФО Служба персонала (2 ур)</t>
  </si>
  <si>
    <t>ЦФО Ком.служба (2 ур)</t>
  </si>
  <si>
    <t xml:space="preserve">Инженер-конструктор 1 категории </t>
  </si>
  <si>
    <t xml:space="preserve">  Служба качества </t>
  </si>
  <si>
    <t xml:space="preserve">Заместитель директора по качеству </t>
  </si>
  <si>
    <t>Ковшиков Александр Леонидович</t>
  </si>
  <si>
    <t xml:space="preserve">Инженер по ремонту </t>
  </si>
  <si>
    <t>Клименко Артём Григорьевич</t>
  </si>
  <si>
    <t>Осипов Денис Васильевич</t>
  </si>
  <si>
    <t>офис-менеджер</t>
  </si>
  <si>
    <t>Зайченко Валерия Евгеньевна</t>
  </si>
  <si>
    <t>Хамидов Гафур Бахтиярович</t>
  </si>
  <si>
    <t xml:space="preserve"> /Отдел по работе с ключевыми клиентами/,  </t>
  </si>
  <si>
    <t>Мирошников Александр Юрьевич</t>
  </si>
  <si>
    <t xml:space="preserve">Инженер-метролог </t>
  </si>
  <si>
    <t>/Метрологическая служба/</t>
  </si>
  <si>
    <t>Буркин Руслан Евгеньевич</t>
  </si>
  <si>
    <t xml:space="preserve">Слесарь-сборщик радиоэлектронной аппаратуры </t>
  </si>
  <si>
    <t>/Сборочный участок №2/</t>
  </si>
  <si>
    <t>Редькин Никита Андреевич</t>
  </si>
  <si>
    <t>Дефектоскопист</t>
  </si>
  <si>
    <t xml:space="preserve"> /Лаборатория неразрушающего контроля/</t>
  </si>
  <si>
    <t>Рубанов Александр Андреевич</t>
  </si>
  <si>
    <t>Инженер-проектировщик КИПиА 2 категории</t>
  </si>
  <si>
    <t xml:space="preserve"> /Группа сопровождения продаж и производства/</t>
  </si>
  <si>
    <t>Килин Аркадий Александрович</t>
  </si>
  <si>
    <t xml:space="preserve"> /Отдел сопровождения 1С/</t>
  </si>
  <si>
    <t>Дягилев Константин Олегович</t>
  </si>
  <si>
    <t xml:space="preserve">Начальник лаборатории неразрушающего контроля </t>
  </si>
  <si>
    <t>/Лаборатория неразрушающего контроля/</t>
  </si>
  <si>
    <t>Сливков Петр Павлович</t>
  </si>
  <si>
    <t>/Отдел внешнеэкономической деятельности/</t>
  </si>
  <si>
    <t>Титов Даниил Андреевич</t>
  </si>
  <si>
    <t xml:space="preserve"> /Отдел технической поддержки/</t>
  </si>
  <si>
    <t>Бронич Диана Антоновна</t>
  </si>
  <si>
    <t xml:space="preserve"> /Служба безопасности/</t>
  </si>
  <si>
    <t>Брушкевич Леонид Владимирович</t>
  </si>
  <si>
    <t xml:space="preserve"> /Слесарно-сварочный участок №2/</t>
  </si>
  <si>
    <t>Захаренко Руслан Александрович</t>
  </si>
  <si>
    <t xml:space="preserve">Инженер выходного контроля  </t>
  </si>
  <si>
    <t>Филин Станислав Сергеевич</t>
  </si>
  <si>
    <t>Сафина Наталья Василовна</t>
  </si>
  <si>
    <t xml:space="preserve"> /Отдел технической поддержки </t>
  </si>
  <si>
    <t>Участок сборки счетчиков/</t>
  </si>
  <si>
    <t xml:space="preserve">Монтажник    </t>
  </si>
  <si>
    <t>Куликов Антон Викторович</t>
  </si>
  <si>
    <t>Сальский СЦ/</t>
  </si>
  <si>
    <t>Начальник сервисного центра /</t>
  </si>
  <si>
    <t xml:space="preserve"> /Отдел продаж бытового оборудования/</t>
  </si>
  <si>
    <t>Звягинцев Юрий Владимирович</t>
  </si>
  <si>
    <t xml:space="preserve">ОДПО </t>
  </si>
  <si>
    <t>Чернышков Антон Валерьевич</t>
  </si>
  <si>
    <t>/Отдел разработки ПО и АСУ/</t>
  </si>
  <si>
    <t xml:space="preserve">Инженер-проектировщик АСУТП 1-й категории  </t>
  </si>
  <si>
    <t>Песоцкий Андрей Владимирович</t>
  </si>
  <si>
    <t>Ткачева Надежда Юрьевна</t>
  </si>
  <si>
    <t>/Конструкторское бюро/</t>
  </si>
  <si>
    <t>Вартеванян Хачерес Корапетович</t>
  </si>
  <si>
    <t>/Отдел по работе с ключевыми клиентами/,</t>
  </si>
  <si>
    <t>Екшикеева Алла Викторовна</t>
  </si>
  <si>
    <t xml:space="preserve">Заместитель главного метролога </t>
  </si>
  <si>
    <t>/Складской комплекс/</t>
  </si>
  <si>
    <t xml:space="preserve">Кладовщик </t>
  </si>
  <si>
    <t>Агарков Алексей Валерьевич</t>
  </si>
  <si>
    <t>Слоневский Сергей Георгиевич</t>
  </si>
  <si>
    <t xml:space="preserve"> /Производство БМИ/</t>
  </si>
  <si>
    <t>Менеджер по управлению проектами</t>
  </si>
  <si>
    <t>Мегрелишвили Михаил Эмзарович</t>
  </si>
  <si>
    <t xml:space="preserve"> /Производство №2/</t>
  </si>
  <si>
    <t>Атаян Георгий Романович</t>
  </si>
  <si>
    <t xml:space="preserve"> Участок сборки счетчиков </t>
  </si>
  <si>
    <t xml:space="preserve">Сборщик </t>
  </si>
  <si>
    <t>Хурдаян Руслан Владиславович</t>
  </si>
  <si>
    <t xml:space="preserve">Ведущий инженер-проектировщик АСУТП </t>
  </si>
  <si>
    <t>Мерзляков Алексей Сергеевич</t>
  </si>
  <si>
    <t>/Служба качества/</t>
  </si>
  <si>
    <t>ЦФО Исполнительный директор (2 ур)</t>
  </si>
  <si>
    <t>ЦФО Милака (1 ур)</t>
  </si>
  <si>
    <t>мобилизация</t>
  </si>
  <si>
    <t>ОМТО</t>
  </si>
  <si>
    <t>Медведева Оксана Владимировна</t>
  </si>
  <si>
    <t xml:space="preserve">Менеджер по сопровождению клиентов  </t>
  </si>
  <si>
    <t>Булгаков Артемий Сергеевич</t>
  </si>
  <si>
    <t>Водитель автомобиля</t>
  </si>
  <si>
    <t xml:space="preserve"> /Транспортный отдел /</t>
  </si>
  <si>
    <t xml:space="preserve">Фуфаев Александр Владимирович </t>
  </si>
  <si>
    <t>Менеджер по снабжению /</t>
  </si>
  <si>
    <t>Производство БМИ/</t>
  </si>
  <si>
    <t>Кондрашов Кирилл Игоревич</t>
  </si>
  <si>
    <t xml:space="preserve">Монтажник РЭА  </t>
  </si>
  <si>
    <t>/Монтажный участок №2</t>
  </si>
  <si>
    <t>Щербина Владимир</t>
  </si>
  <si>
    <t xml:space="preserve">Заместитель директора по проектированию, автоматизации и метрологии </t>
  </si>
  <si>
    <t>/Производство БМИ/</t>
  </si>
  <si>
    <t>Богуш Елена Владимировна</t>
  </si>
  <si>
    <t>Ершова Ирина Лаврентьевна</t>
  </si>
  <si>
    <t>Бодрова Элеонора Геннадьевна</t>
  </si>
  <si>
    <t>Боровикова Виктория Ричардовна</t>
  </si>
  <si>
    <t>Свистун Сергей Николаевич</t>
  </si>
  <si>
    <t>Гасанов Абдулгамид Османович</t>
  </si>
  <si>
    <t>Дутов Александр Федорович</t>
  </si>
  <si>
    <t>Мельников Александр Викторович охранник</t>
  </si>
  <si>
    <t>Муштат Сергей Николаевич</t>
  </si>
  <si>
    <t>Ярмизина Евгения Александровна</t>
  </si>
  <si>
    <t>Терехова Елена Николаевна</t>
  </si>
  <si>
    <t>Давыдов Артем Васильевич</t>
  </si>
  <si>
    <t>Корниенко Сергей Александрович</t>
  </si>
  <si>
    <t>Кулишенко Михаил Евгеньевич</t>
  </si>
  <si>
    <t>Шатилова Татьяна Юрьевна</t>
  </si>
  <si>
    <t>Селемонка Татьяна Анатольевна</t>
  </si>
  <si>
    <t>Пономарева Марина Николаевна</t>
  </si>
  <si>
    <t>21.10.1967</t>
  </si>
  <si>
    <t>Семикаракорский СЦ</t>
  </si>
  <si>
    <t>Малярно-слесарный участок</t>
  </si>
  <si>
    <t>Заместитель главного метролога</t>
  </si>
  <si>
    <t>Отдел дилерских продаж</t>
  </si>
  <si>
    <t>Технический писатель</t>
  </si>
  <si>
    <t>Кудрявцева Анна Николаевна</t>
  </si>
  <si>
    <t xml:space="preserve"> /Управление делами/</t>
  </si>
  <si>
    <t>Парецкая Анастасия Сергеевна</t>
  </si>
  <si>
    <t>заместитель главного бухгалтера</t>
  </si>
  <si>
    <t>Абрамова Галина Игоревна</t>
  </si>
  <si>
    <t>Инженер по качеству</t>
  </si>
  <si>
    <t>Гайдук Александр Сергеевич</t>
  </si>
  <si>
    <t>Овечкин Андрей Александрович</t>
  </si>
  <si>
    <t>Резник Павел Анатольевич</t>
  </si>
  <si>
    <t>Ачимова Кристина Владимировна</t>
  </si>
  <si>
    <t>Заготовительный участок для сборки UFG</t>
  </si>
  <si>
    <t>Юхименко Сергей Александрович</t>
  </si>
  <si>
    <t>Семикаракорск</t>
  </si>
  <si>
    <t>ЦФО Заготовительный</t>
  </si>
  <si>
    <t>Румянцева Наталья Александровна</t>
  </si>
  <si>
    <t>Мозговая Вероника Викторовна</t>
  </si>
  <si>
    <t xml:space="preserve">ИП Корниенко </t>
  </si>
  <si>
    <t>оператор 1С</t>
  </si>
  <si>
    <t>Вед менеджер</t>
  </si>
  <si>
    <t>Головко Алексей Александрович</t>
  </si>
  <si>
    <t>Инженер-электронщик /</t>
  </si>
  <si>
    <t>Сборщик /</t>
  </si>
  <si>
    <t>/Отдел по работе с рекламациями/</t>
  </si>
  <si>
    <t>Мягков Александр Сергеевич</t>
  </si>
  <si>
    <t>Монтажник РЭА /</t>
  </si>
  <si>
    <t>Участок ремонта гарантийных приборов/</t>
  </si>
  <si>
    <t>Савицкий Артём Витальевич</t>
  </si>
  <si>
    <t xml:space="preserve">Монтажник                                                      </t>
  </si>
  <si>
    <t xml:space="preserve">        /Участок сборки счетчиков/</t>
  </si>
  <si>
    <t>Коробова Дарья Витальевна</t>
  </si>
  <si>
    <t>Корниенко Никита Сергеевич</t>
  </si>
  <si>
    <t>Баталов Вячеслав Владимирович</t>
  </si>
  <si>
    <t>/Участок сборки счетчиков/</t>
  </si>
  <si>
    <t>Служба развити</t>
  </si>
  <si>
    <t xml:space="preserve">Менеджер по развитию 3 категории </t>
  </si>
  <si>
    <t>Васильев Игорь Николаевич</t>
  </si>
  <si>
    <t>Ясыров</t>
  </si>
  <si>
    <t>Заготовительный участок для сборки UFG/</t>
  </si>
  <si>
    <t xml:space="preserve"> Слесарь-сборщик радиоэлектронной аппаратуры  </t>
  </si>
  <si>
    <t>Кравченко Владимир Александрович</t>
  </si>
  <si>
    <t>Бабенкова Ирина Сергеевна</t>
  </si>
  <si>
    <t>Разработчик электронных курсов /</t>
  </si>
  <si>
    <t>Служба управления персоналом/</t>
  </si>
  <si>
    <t xml:space="preserve"> /Семикаракорский СЦ/</t>
  </si>
  <si>
    <t xml:space="preserve"> Коломийцева София Витальевна</t>
  </si>
  <si>
    <t>Осминин Сергей Николаевич</t>
  </si>
  <si>
    <t>/Участок ремонта промышленного оборудования/</t>
  </si>
  <si>
    <t>Остроухов Андрей Анатольевич</t>
  </si>
  <si>
    <t>Бастрыкин Валерий Сергеевич</t>
  </si>
  <si>
    <t>Александрова Анастасия Александровна</t>
  </si>
  <si>
    <t>менеджер</t>
  </si>
  <si>
    <t>Менеджер по сопровождению клиентов  /Отдел продаж /</t>
  </si>
  <si>
    <t>Галат Евгения Сергеевна</t>
  </si>
  <si>
    <t>Земляков Константин Сергеевич</t>
  </si>
  <si>
    <t>Четверня Людмила Ивановна</t>
  </si>
  <si>
    <t>Переведенцев Павел Дмитриевич</t>
  </si>
  <si>
    <t>Демин Сергей Владимирович</t>
  </si>
  <si>
    <t>Ракитин Вячеслав Михайлович</t>
  </si>
  <si>
    <t>Донченко Данил Русланович</t>
  </si>
  <si>
    <t>Захаров Александр Иванович</t>
  </si>
  <si>
    <t>Диспетчер                                                              /Служба по развитию производства/</t>
  </si>
  <si>
    <t>Оператор трехмерной печати /Заготовительный участок для сборки UFG/</t>
  </si>
  <si>
    <t>Монтажник РЭА /Заготовительный участок для сборки UFG/, (ТУРБУЛЕНТНОСТЬ-ДОН ООО НПО)</t>
  </si>
  <si>
    <t>Инженер по качеству    /Отдел технического контроля №1/</t>
  </si>
  <si>
    <t>Слесарь-сборщик радиоэлектронной аппаратуры /Заготовительный участок для сборки UFG/, (ТУРБУЛЕНТНОСТЬ-ДОН ООО НПО)</t>
  </si>
  <si>
    <t>Карнаухов Сергей Сергеевич</t>
  </si>
  <si>
    <t>Догадин Александр Михайлович</t>
  </si>
  <si>
    <t>Сборщик /Участок сборки счетчиков/</t>
  </si>
  <si>
    <t>водитель</t>
  </si>
  <si>
    <t>Сотрудник</t>
  </si>
  <si>
    <t>Дата выхода на пенсию</t>
  </si>
  <si>
    <t>МГС</t>
  </si>
  <si>
    <t>Возраст выхода</t>
  </si>
  <si>
    <t>Нет заявки на подбор</t>
  </si>
  <si>
    <t>Архивариус</t>
  </si>
  <si>
    <t>Инженер-разработчик РЭА</t>
  </si>
  <si>
    <t>Инженер-конструктор</t>
  </si>
  <si>
    <t>Мастер чистоты</t>
  </si>
  <si>
    <t>Причина появления</t>
  </si>
  <si>
    <t>АВС</t>
  </si>
  <si>
    <t>Сварщик СО2</t>
  </si>
  <si>
    <t>Замена</t>
  </si>
  <si>
    <t>А</t>
  </si>
  <si>
    <t>Склад</t>
  </si>
  <si>
    <t>Специалист по развитию новых продуктов</t>
  </si>
  <si>
    <t>Производство БМИ</t>
  </si>
  <si>
    <t>Новая</t>
  </si>
  <si>
    <t>Холдинги 1</t>
  </si>
  <si>
    <t>ОПБМИ</t>
  </si>
  <si>
    <t>Газпром</t>
  </si>
  <si>
    <t>Менеджер по тендерам</t>
  </si>
  <si>
    <t>Заместитель ГК по метрологии</t>
  </si>
  <si>
    <t>Специалист по качеству разработок</t>
  </si>
  <si>
    <t>Лаврикова Лариса</t>
  </si>
  <si>
    <t>Камышанова Мария</t>
  </si>
  <si>
    <t>Инженер-технолог</t>
  </si>
  <si>
    <t>Отдел сопровождение 1С</t>
  </si>
  <si>
    <t>Директор по качеству</t>
  </si>
  <si>
    <t>Разработчик электронных курсов</t>
  </si>
  <si>
    <t>ОТК1</t>
  </si>
  <si>
    <t>Инженер-проектировщик АСУТП</t>
  </si>
  <si>
    <t>Служба логистики</t>
  </si>
  <si>
    <t>Сектор рекламы и PR</t>
  </si>
  <si>
    <t>Участок монтажа электронных плат</t>
  </si>
  <si>
    <t>Специалист по работе рекламациями</t>
  </si>
  <si>
    <t>Заместитель ГК по изделию</t>
  </si>
  <si>
    <t>Помощник ГКИ</t>
  </si>
  <si>
    <t xml:space="preserve">Камышанова Мария </t>
  </si>
  <si>
    <t>Слесарь МСР (дробеструйщик)</t>
  </si>
  <si>
    <t>Заместитель ГК по проектной деятельности</t>
  </si>
  <si>
    <t>Инженер-верификатор</t>
  </si>
  <si>
    <t>Разработчик микроконтроллеров</t>
  </si>
  <si>
    <t>Специалист по компьютерному зрению</t>
  </si>
  <si>
    <t>Хозяйственная служба</t>
  </si>
  <si>
    <t>Горничная</t>
  </si>
  <si>
    <t>Житкова Ева</t>
  </si>
  <si>
    <t>АХО</t>
  </si>
  <si>
    <t>Уборщица</t>
  </si>
  <si>
    <t>Механик по выпуску</t>
  </si>
  <si>
    <t>СУП</t>
  </si>
  <si>
    <t>ОТП</t>
  </si>
  <si>
    <t>Кол-во дней</t>
  </si>
  <si>
    <t>ЦФО Служба автоматизации (2 ур)</t>
  </si>
  <si>
    <t>дополнительно к срокам подбора три недели на стажировку</t>
  </si>
  <si>
    <t>СС</t>
  </si>
  <si>
    <t>Отдел рекламаций</t>
  </si>
  <si>
    <t>КБ</t>
  </si>
  <si>
    <t>КТО</t>
  </si>
  <si>
    <t>ОМиС</t>
  </si>
  <si>
    <t>ПОиАСУ</t>
  </si>
  <si>
    <t>БМИ</t>
  </si>
  <si>
    <t>ВЭД</t>
  </si>
  <si>
    <t>СПиР</t>
  </si>
  <si>
    <t>Хозслужба</t>
  </si>
  <si>
    <t>СБ</t>
  </si>
  <si>
    <t>ОТК2</t>
  </si>
  <si>
    <t>ЛНК</t>
  </si>
  <si>
    <t>СК</t>
  </si>
  <si>
    <t>ТС</t>
  </si>
  <si>
    <t>Сектор ИИ</t>
  </si>
  <si>
    <t>УД</t>
  </si>
  <si>
    <t>1С</t>
  </si>
  <si>
    <t>ТО</t>
  </si>
  <si>
    <t>Охрана</t>
  </si>
  <si>
    <t>ЭС</t>
  </si>
  <si>
    <t>Количество по полю Месяц закрытия факт</t>
  </si>
  <si>
    <t>Начальник отдела управления несоответствиями</t>
  </si>
  <si>
    <t>ОДП</t>
  </si>
  <si>
    <t>снята заказчиком до 01.03.2025</t>
  </si>
  <si>
    <t xml:space="preserve">Промт-инженер </t>
  </si>
  <si>
    <t>Лиходед Кристина</t>
  </si>
  <si>
    <t>Специалист по промышленной безопасности</t>
  </si>
  <si>
    <t>Начальник службы безопасности</t>
  </si>
  <si>
    <t>Бренд-менеджер</t>
  </si>
  <si>
    <t>Лакировщик радиодеталей</t>
  </si>
  <si>
    <t>Грунтовский Дмитрий</t>
  </si>
  <si>
    <t>Мулявка В.</t>
  </si>
  <si>
    <t>Гайбарян Юля</t>
  </si>
  <si>
    <t>закрыта заказчиком</t>
  </si>
  <si>
    <t>ИП Корниенко</t>
  </si>
  <si>
    <t>Миллерово</t>
  </si>
  <si>
    <t>ЦФО Директор НПО (2 ур)</t>
  </si>
  <si>
    <t>ЦФО Экспериментальный цех (2 ур)</t>
  </si>
  <si>
    <t>приостановл. Заказч. 19.01.2026</t>
  </si>
  <si>
    <t xml:space="preserve">Акимов Евгений </t>
  </si>
  <si>
    <t xml:space="preserve">Рюмин Василий </t>
  </si>
  <si>
    <t>ОРКК</t>
  </si>
  <si>
    <t>ЦФО Технический директор (2 ур)</t>
  </si>
  <si>
    <t>Сектор обучения и развития</t>
  </si>
  <si>
    <t>МС</t>
  </si>
  <si>
    <t>Рем.участок</t>
  </si>
  <si>
    <t>Качество разработки</t>
  </si>
  <si>
    <t>ИТ</t>
  </si>
  <si>
    <t>Инженер по метрологии</t>
  </si>
  <si>
    <t xml:space="preserve">Производство  </t>
  </si>
  <si>
    <t>Ковалева Вера</t>
  </si>
  <si>
    <t>Упаковщик бутылей</t>
  </si>
  <si>
    <t>Новиков Владимир</t>
  </si>
  <si>
    <t>Уставицкий Андрей</t>
  </si>
  <si>
    <t>Горлачев Егор</t>
  </si>
  <si>
    <t>Сектор промышленной безопасности</t>
  </si>
  <si>
    <t>Склад БМИ</t>
  </si>
  <si>
    <t>План на 2026</t>
  </si>
  <si>
    <t>ЦФО Служба технического директора (2 ур)</t>
  </si>
  <si>
    <t>ЦФО Служба развития (2ур)</t>
  </si>
  <si>
    <t>Юр. отдел</t>
  </si>
  <si>
    <t>Рвизионная комиссия</t>
  </si>
  <si>
    <t>администрация</t>
  </si>
  <si>
    <t>служба тех.дир</t>
  </si>
  <si>
    <t>рабочие несерийное производство (БМИ+ЭЦ)</t>
  </si>
  <si>
    <t xml:space="preserve">Задорожняя Ольга </t>
  </si>
  <si>
    <t>вакансия закрыта заказчиком</t>
  </si>
  <si>
    <t>Зайцев</t>
  </si>
  <si>
    <t>несерийное производство ИТР (Гутин, Гайбарян, Сулейманова, Пелих, Кармаза)</t>
  </si>
  <si>
    <t>Ермаков</t>
  </si>
  <si>
    <t>Нохаева/сектор сопровождения продаж</t>
  </si>
  <si>
    <t>Тимофеев/сектор сопровождения производства и продаж</t>
  </si>
  <si>
    <t>Емельяненко/сектор доработки и улучшения серийной продукции</t>
  </si>
  <si>
    <t>Асланян/сектор постановки на производство и несерийной продукции</t>
  </si>
  <si>
    <t>Макеев</t>
  </si>
  <si>
    <t>ЦФО Производство №2 Рабочие</t>
  </si>
  <si>
    <r>
      <t>ЦФО Производство №2</t>
    </r>
    <r>
      <rPr>
        <b/>
        <sz val="11"/>
        <color indexed="8"/>
        <rFont val="Calibri"/>
        <family val="2"/>
        <charset val="204"/>
      </rPr>
      <t xml:space="preserve"> </t>
    </r>
    <r>
      <rPr>
        <sz val="11"/>
        <color indexed="8"/>
        <rFont val="Calibri"/>
        <family val="2"/>
        <charset val="204"/>
      </rPr>
      <t>ИТР/бухгалтер</t>
    </r>
  </si>
  <si>
    <t>ЦФО Производство №1/ИТР</t>
  </si>
  <si>
    <t>ЦФО Производство №1/рабочие МЦ</t>
  </si>
  <si>
    <t>ЦФО  Производство №1/рабочие ПЦ</t>
  </si>
  <si>
    <t>Арсуноев</t>
  </si>
  <si>
    <t>руководство (Целищев, Ермаков, Макеев)</t>
  </si>
  <si>
    <r>
      <t>Щербина/</t>
    </r>
    <r>
      <rPr>
        <sz val="11"/>
        <color indexed="8"/>
        <rFont val="Calibri"/>
        <family val="2"/>
        <charset val="204"/>
      </rPr>
      <t>Сектор разработки тех.решений</t>
    </r>
  </si>
  <si>
    <r>
      <t>Мещерюк/</t>
    </r>
    <r>
      <rPr>
        <sz val="11"/>
        <color indexed="8"/>
        <rFont val="Calibri"/>
        <family val="2"/>
        <charset val="204"/>
      </rPr>
      <t>Сектор по пром.безопасности</t>
    </r>
  </si>
  <si>
    <t>Елеева Анна</t>
  </si>
  <si>
    <t>ЦФО Производство№1 (2 ур)</t>
  </si>
  <si>
    <t>ГСПП</t>
  </si>
  <si>
    <t>Левашова Марина</t>
  </si>
  <si>
    <t>В</t>
  </si>
  <si>
    <t>Начальник службы логистики</t>
  </si>
  <si>
    <t>Волкова Екатерина</t>
  </si>
  <si>
    <t>Ульшин Иван</t>
  </si>
  <si>
    <t>Комарькова Анастасия</t>
  </si>
  <si>
    <t>Снята заказчиком 11.02.2026</t>
  </si>
  <si>
    <t>Гуреев Александр</t>
  </si>
  <si>
    <t>Лахно Ярослав</t>
  </si>
  <si>
    <t>%</t>
  </si>
  <si>
    <t>Ворончихина Елена</t>
  </si>
  <si>
    <t>Участок сборки</t>
  </si>
  <si>
    <t>Слесарь-сборщик</t>
  </si>
  <si>
    <t>Шевченко Виктория</t>
  </si>
  <si>
    <t>Водитель автомобиля С</t>
  </si>
  <si>
    <t>Кривенко Грациан</t>
  </si>
  <si>
    <t>Попов Павел</t>
  </si>
  <si>
    <t>Селимонка Татьяна</t>
  </si>
  <si>
    <t>Наладчик линии автопая</t>
  </si>
  <si>
    <t>Савченко Иван</t>
  </si>
  <si>
    <t>Минаков Владимир</t>
  </si>
  <si>
    <t>Великородный Андрей</t>
  </si>
  <si>
    <t>Анохин Сергей</t>
  </si>
  <si>
    <t>ЦФО Операционный директор (2 ур)</t>
  </si>
  <si>
    <t>Липкина Анна</t>
  </si>
  <si>
    <t>Андреева Татьяна</t>
  </si>
  <si>
    <t>Романова Елизавета</t>
  </si>
  <si>
    <t>Пономарева Ольга</t>
  </si>
  <si>
    <t>Атаманов Евгений</t>
  </si>
  <si>
    <t>приостановлен подбор до конца апреля</t>
  </si>
  <si>
    <t>Офис Метрогазсервис</t>
  </si>
  <si>
    <t>Сафарян Валерий</t>
  </si>
  <si>
    <t>СЦ Азов</t>
  </si>
  <si>
    <t>ЦФО Технический директор</t>
  </si>
  <si>
    <t>Служба качества разработок</t>
  </si>
  <si>
    <t>Тестировщик QA</t>
  </si>
  <si>
    <t>ЦФО Директор НПО</t>
  </si>
  <si>
    <t>вакансия снята заказчиком</t>
  </si>
  <si>
    <t>Тендерный офис</t>
  </si>
  <si>
    <t>Начальник тендерного офиса</t>
  </si>
  <si>
    <t>Журба Елена</t>
  </si>
  <si>
    <t>Руководитель проектного офиса</t>
  </si>
  <si>
    <t>Фесенко Александр</t>
  </si>
  <si>
    <t>Оператор станков ЧПУ</t>
  </si>
  <si>
    <t>Вагин Данил</t>
  </si>
  <si>
    <t>Вишницкий Руслан</t>
  </si>
  <si>
    <t>Брагидир участка сборки</t>
  </si>
  <si>
    <t>Манченко Александр</t>
  </si>
  <si>
    <t>Акинина Татьяна</t>
  </si>
  <si>
    <t>Рамазанов Роман</t>
  </si>
  <si>
    <t>Регулировщик РЭА</t>
  </si>
  <si>
    <t>Корнеев Илья</t>
  </si>
  <si>
    <t>Шацков Алексей???</t>
  </si>
  <si>
    <t>Самсоненко  Александр</t>
  </si>
  <si>
    <t>Ван-Сен-Дю Мария</t>
  </si>
  <si>
    <t>Фисенко Полина</t>
  </si>
  <si>
    <t>Бабалыхян Арсен</t>
  </si>
  <si>
    <t>Колганова Александр</t>
  </si>
  <si>
    <t xml:space="preserve">Заявка снята заказчиком </t>
  </si>
  <si>
    <t>Свистов Максим</t>
  </si>
  <si>
    <t>Шевченко Дмитрий</t>
  </si>
  <si>
    <t>Шишкалова</t>
  </si>
  <si>
    <t>Бечина Елена</t>
  </si>
  <si>
    <t xml:space="preserve">Кусраева </t>
  </si>
  <si>
    <t>Григорьева Яна</t>
  </si>
  <si>
    <t>Текучесть в адаптацию в разрезе ЦФО План на год 18%</t>
  </si>
  <si>
    <t>Итого по группе компаний</t>
  </si>
  <si>
    <t>Обучение в разрезе компаний (общая)</t>
  </si>
  <si>
    <t xml:space="preserve">План </t>
  </si>
  <si>
    <t>% обученных</t>
  </si>
  <si>
    <t>Гостиница Итог</t>
  </si>
  <si>
    <t>НПО Турбулентность-Дон Итог</t>
  </si>
  <si>
    <t>Количество по полю Месяц открытия</t>
  </si>
  <si>
    <t>Количество по полю Месяц закрытия план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</si>
</sst>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84" formatCode="_-* #,##0.00_р_._-;\-* #,##0.00_р_._-;_-* \-??_р_._-;_-@_-"/>
    <numFmt numFmtId="185" formatCode="_-* #,##0_р_._-;\-* #,##0_р_._-;_-* \-??_р_._-;_-@_-"/>
    <numFmt numFmtId="186" formatCode="0.0%"/>
    <numFmt numFmtId="211" formatCode="_-* #,##0\ _₽_-;\-* #,##0\ _₽_-;_-* &quot;-&quot;??\ _₽_-;_-@_-"/>
  </numFmts>
  <fonts count="68" x14ac:knownFonts="1">
    <font>
      <sz val="11"/>
      <color indexed="8"/>
      <name val="Calibri"/>
      <family val="2"/>
      <charset val="204"/>
    </font>
    <font>
      <sz val="8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Calibri"/>
      <family val="2"/>
      <charset val="204"/>
    </font>
    <font>
      <sz val="20"/>
      <color indexed="8"/>
      <name val="Calibri"/>
      <family val="2"/>
      <charset val="204"/>
    </font>
    <font>
      <sz val="14"/>
      <color indexed="8"/>
      <name val="Calibri"/>
      <family val="2"/>
      <charset val="204"/>
    </font>
    <font>
      <b/>
      <sz val="14"/>
      <color indexed="10"/>
      <name val="Calibri"/>
      <family val="2"/>
      <charset val="204"/>
    </font>
    <font>
      <b/>
      <i/>
      <sz val="12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1"/>
      <name val="Calibri"/>
      <family val="2"/>
      <charset val="204"/>
    </font>
    <font>
      <sz val="7"/>
      <color indexed="8"/>
      <name val="Times New Roman"/>
      <family val="1"/>
      <charset val="204"/>
    </font>
    <font>
      <sz val="10"/>
      <color indexed="8"/>
      <name val="Arial"/>
      <family val="2"/>
      <charset val="204"/>
    </font>
    <font>
      <b/>
      <sz val="12"/>
      <color indexed="8"/>
      <name val="Calibri"/>
      <family val="2"/>
      <charset val="204"/>
    </font>
    <font>
      <sz val="9"/>
      <color indexed="8"/>
      <name val="Calibri"/>
      <family val="2"/>
      <charset val="204"/>
    </font>
    <font>
      <sz val="8"/>
      <color indexed="8"/>
      <name val="Arial"/>
      <family val="2"/>
      <charset val="204"/>
    </font>
    <font>
      <u/>
      <sz val="11"/>
      <color indexed="12"/>
      <name val="Calibri"/>
      <family val="2"/>
    </font>
    <font>
      <u/>
      <sz val="11"/>
      <color indexed="12"/>
      <name val="Calibri"/>
      <family val="2"/>
      <charset val="204"/>
    </font>
    <font>
      <sz val="10"/>
      <color indexed="10"/>
      <name val="Calibri"/>
      <family val="2"/>
      <charset val="204"/>
    </font>
    <font>
      <b/>
      <u/>
      <sz val="10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b/>
      <sz val="9"/>
      <color indexed="8"/>
      <name val="Tahoma"/>
      <family val="2"/>
      <charset val="204"/>
    </font>
    <font>
      <sz val="9"/>
      <color indexed="8"/>
      <name val="Tahoma"/>
      <family val="2"/>
      <charset val="204"/>
    </font>
    <font>
      <b/>
      <sz val="8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b/>
      <sz val="8"/>
      <color indexed="10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name val="Calibri"/>
      <family val="2"/>
      <charset val="204"/>
    </font>
    <font>
      <b/>
      <sz val="8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8"/>
      <color indexed="8"/>
      <name val="Calibri"/>
      <family val="2"/>
      <charset val="204"/>
    </font>
    <font>
      <b/>
      <sz val="8"/>
      <name val="Tahoma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  <charset val="204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b/>
      <sz val="10"/>
      <name val="Calibri"/>
      <family val="2"/>
      <charset val="204"/>
    </font>
    <font>
      <sz val="12"/>
      <color indexed="8"/>
      <name val="Times New Roman"/>
      <family val="1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indexed="8"/>
      <name val="Tahoma"/>
      <family val="2"/>
      <charset val="204"/>
    </font>
    <font>
      <sz val="11"/>
      <color indexed="8"/>
      <name val="Calibri"/>
      <family val="2"/>
      <charset val="204"/>
    </font>
    <font>
      <sz val="11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name val="Calibri"/>
      <family val="2"/>
      <charset val="204"/>
    </font>
    <font>
      <sz val="12"/>
      <name val="Arial"/>
      <family val="2"/>
      <charset val="204"/>
    </font>
    <font>
      <sz val="12"/>
      <color indexed="8"/>
      <name val="Arial"/>
      <family val="2"/>
      <charset val="204"/>
    </font>
    <font>
      <sz val="12"/>
      <color indexed="63"/>
      <name val="Arial"/>
      <family val="2"/>
    </font>
    <font>
      <sz val="8"/>
      <name val="Calibri"/>
      <family val="2"/>
      <charset val="204"/>
    </font>
    <font>
      <sz val="8"/>
      <name val="Arial"/>
      <family val="2"/>
      <charset val="204"/>
    </font>
    <font>
      <sz val="12"/>
      <color indexed="63"/>
      <name val="Arial"/>
      <family val="2"/>
      <charset val="204"/>
    </font>
    <font>
      <sz val="8"/>
      <name val="Arial"/>
      <family val="2"/>
      <charset val="204"/>
    </font>
    <font>
      <strike/>
      <sz val="11"/>
      <color indexed="8"/>
      <name val="Calibri"/>
      <family val="2"/>
      <charset val="204"/>
    </font>
    <font>
      <b/>
      <sz val="10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  <charset val="204"/>
    </font>
    <font>
      <b/>
      <sz val="11"/>
      <name val="Tahoma"/>
      <family val="2"/>
      <charset val="204"/>
    </font>
    <font>
      <b/>
      <sz val="11"/>
      <color indexed="8"/>
      <name val="Tahoma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sz val="12"/>
      <color rgb="FF333333"/>
      <name val="Arial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30"/>
        <bgColor indexed="21"/>
      </patternFill>
    </fill>
    <fill>
      <patternFill patternType="solid">
        <fgColor indexed="26"/>
        <bgColor indexed="9"/>
      </patternFill>
    </fill>
    <fill>
      <patternFill patternType="solid">
        <fgColor indexed="13"/>
        <bgColor indexed="34"/>
      </patternFill>
    </fill>
    <fill>
      <patternFill patternType="solid">
        <fgColor indexed="10"/>
        <bgColor indexed="60"/>
      </patternFill>
    </fill>
    <fill>
      <patternFill patternType="solid">
        <fgColor indexed="29"/>
        <b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50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2"/>
        <bgColor indexed="51"/>
      </patternFill>
    </fill>
    <fill>
      <patternFill patternType="solid">
        <fgColor indexed="44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FFF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0C0C0"/>
        <bgColor indexed="23"/>
      </patternFill>
    </fill>
    <fill>
      <patternFill patternType="solid">
        <fgColor theme="0"/>
        <bgColor indexed="64"/>
      </patternFill>
    </fill>
    <fill>
      <patternFill patternType="solid">
        <fgColor rgb="FFF4ECC5"/>
        <bgColor rgb="FFFFFF99"/>
      </patternFill>
    </fill>
    <fill>
      <patternFill patternType="solid">
        <fgColor rgb="FFFFFFFF"/>
        <bgColor rgb="FFF4ECC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4ECC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/>
      <right style="thin">
        <color rgb="FFCCC085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9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</borders>
  <cellStyleXfs count="41">
    <xf numFmtId="0" fontId="0" fillId="0" borderId="0"/>
    <xf numFmtId="0" fontId="33" fillId="0" borderId="0"/>
    <xf numFmtId="0" fontId="1" fillId="0" borderId="0"/>
    <xf numFmtId="0" fontId="1" fillId="0" borderId="0">
      <alignment horizontal="left"/>
    </xf>
    <xf numFmtId="0" fontId="17" fillId="0" borderId="0" applyNumberFormat="0" applyFill="0" applyBorder="0" applyAlignment="0" applyProtection="0"/>
    <xf numFmtId="0" fontId="1" fillId="0" borderId="0"/>
    <xf numFmtId="0" fontId="33" fillId="0" borderId="0"/>
    <xf numFmtId="0" fontId="33" fillId="0" borderId="0"/>
    <xf numFmtId="0" fontId="33" fillId="0" borderId="0"/>
    <xf numFmtId="0" fontId="60" fillId="0" borderId="0"/>
    <xf numFmtId="0" fontId="61" fillId="0" borderId="0"/>
    <xf numFmtId="0" fontId="33" fillId="0" borderId="0"/>
    <xf numFmtId="0" fontId="65" fillId="0" borderId="0"/>
    <xf numFmtId="0" fontId="66" fillId="0" borderId="0"/>
    <xf numFmtId="0" fontId="33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2" fillId="0" borderId="0"/>
    <xf numFmtId="0" fontId="2" fillId="0" borderId="0"/>
    <xf numFmtId="0" fontId="33" fillId="0" borderId="0"/>
    <xf numFmtId="0" fontId="1" fillId="0" borderId="0"/>
    <xf numFmtId="0" fontId="1" fillId="0" borderId="0"/>
    <xf numFmtId="0" fontId="6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" fillId="0" borderId="0">
      <alignment horizontal="left"/>
    </xf>
    <xf numFmtId="9" fontId="33" fillId="0" borderId="0" applyFill="0" applyBorder="0" applyAlignment="0" applyProtection="0"/>
    <xf numFmtId="9" fontId="46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3" fillId="0" borderId="0" applyFill="0" applyBorder="0" applyAlignment="0" applyProtection="0"/>
    <xf numFmtId="9" fontId="33" fillId="0" borderId="0" applyFill="0" applyBorder="0" applyAlignment="0" applyProtection="0"/>
    <xf numFmtId="9" fontId="64" fillId="0" borderId="0" applyFont="0" applyFill="0" applyBorder="0" applyAlignment="0" applyProtection="0"/>
    <xf numFmtId="184" fontId="33" fillId="0" borderId="0" applyFill="0" applyBorder="0" applyAlignment="0" applyProtection="0"/>
    <xf numFmtId="184" fontId="33" fillId="0" borderId="0" applyFill="0" applyBorder="0" applyAlignment="0" applyProtection="0"/>
    <xf numFmtId="184" fontId="33" fillId="0" borderId="0" applyFill="0" applyBorder="0" applyAlignment="0" applyProtection="0"/>
  </cellStyleXfs>
  <cellXfs count="632">
    <xf numFmtId="0" fontId="0" fillId="0" borderId="0" xfId="0"/>
    <xf numFmtId="0" fontId="3" fillId="0" borderId="0" xfId="21" applyFont="1" applyAlignment="1">
      <alignment vertical="top" wrapText="1"/>
    </xf>
    <xf numFmtId="0" fontId="3" fillId="0" borderId="1" xfId="21" applyFont="1" applyBorder="1" applyAlignment="1">
      <alignment vertical="top" wrapText="1"/>
    </xf>
    <xf numFmtId="0" fontId="3" fillId="0" borderId="0" xfId="21" applyFont="1"/>
    <xf numFmtId="0" fontId="4" fillId="0" borderId="0" xfId="21" applyFont="1" applyAlignment="1">
      <alignment horizontal="center" vertical="top" wrapText="1"/>
    </xf>
    <xf numFmtId="0" fontId="3" fillId="0" borderId="0" xfId="21" applyFont="1" applyBorder="1" applyAlignment="1">
      <alignment vertical="top" wrapText="1"/>
    </xf>
    <xf numFmtId="0" fontId="7" fillId="2" borderId="1" xfId="21" applyFont="1" applyFill="1" applyBorder="1" applyAlignment="1">
      <alignment horizontal="center" vertical="center" wrapText="1"/>
    </xf>
    <xf numFmtId="0" fontId="8" fillId="0" borderId="0" xfId="21" applyFont="1" applyBorder="1" applyAlignment="1">
      <alignment horizontal="center" vertical="center" wrapText="1"/>
    </xf>
    <xf numFmtId="0" fontId="9" fillId="0" borderId="0" xfId="0" applyFont="1"/>
    <xf numFmtId="0" fontId="3" fillId="0" borderId="0" xfId="0" applyFont="1" applyAlignment="1">
      <alignment horizontal="left" indent="5"/>
    </xf>
    <xf numFmtId="0" fontId="3" fillId="0" borderId="0" xfId="0" applyFont="1" applyAlignment="1">
      <alignment horizontal="left"/>
    </xf>
    <xf numFmtId="0" fontId="13" fillId="0" borderId="1" xfId="21" applyFont="1" applyBorder="1" applyAlignment="1">
      <alignment horizontal="center" vertical="center" wrapText="1"/>
    </xf>
    <xf numFmtId="0" fontId="13" fillId="0" borderId="0" xfId="21" applyFont="1"/>
    <xf numFmtId="0" fontId="14" fillId="3" borderId="2" xfId="0" applyFont="1" applyFill="1" applyBorder="1" applyAlignment="1">
      <alignment horizontal="left" vertical="center" wrapText="1"/>
    </xf>
    <xf numFmtId="0" fontId="3" fillId="0" borderId="1" xfId="21" applyFont="1" applyBorder="1" applyAlignment="1">
      <alignment horizontal="left" vertical="top" wrapText="1"/>
    </xf>
    <xf numFmtId="14" fontId="14" fillId="3" borderId="2" xfId="0" applyNumberFormat="1" applyFont="1" applyFill="1" applyBorder="1" applyAlignment="1">
      <alignment horizontal="left" vertical="center" wrapText="1"/>
    </xf>
    <xf numFmtId="0" fontId="16" fillId="0" borderId="1" xfId="4" applyNumberFormat="1" applyFont="1" applyFill="1" applyBorder="1" applyAlignment="1" applyProtection="1">
      <alignment horizontal="left" vertical="top" wrapText="1"/>
    </xf>
    <xf numFmtId="0" fontId="1" fillId="3" borderId="2" xfId="0" applyFont="1" applyFill="1" applyBorder="1" applyAlignment="1">
      <alignment horizontal="left" vertical="center" wrapText="1"/>
    </xf>
    <xf numFmtId="0" fontId="18" fillId="0" borderId="1" xfId="21" applyFont="1" applyBorder="1" applyAlignment="1">
      <alignment horizontal="left" vertical="top" wrapText="1"/>
    </xf>
    <xf numFmtId="0" fontId="14" fillId="3" borderId="1" xfId="0" applyFont="1" applyFill="1" applyBorder="1" applyAlignment="1">
      <alignment horizontal="left" vertical="center" wrapText="1"/>
    </xf>
    <xf numFmtId="0" fontId="3" fillId="0" borderId="0" xfId="21" applyFont="1" applyBorder="1"/>
    <xf numFmtId="0" fontId="16" fillId="0" borderId="1" xfId="4" applyNumberFormat="1" applyFont="1" applyFill="1" applyBorder="1" applyAlignment="1" applyProtection="1">
      <alignment vertical="top" wrapText="1"/>
    </xf>
    <xf numFmtId="0" fontId="19" fillId="4" borderId="0" xfId="0" applyFont="1" applyFill="1"/>
    <xf numFmtId="0" fontId="3" fillId="5" borderId="0" xfId="0" applyFont="1" applyFill="1" applyAlignment="1">
      <alignment horizontal="center" vertical="center"/>
    </xf>
    <xf numFmtId="0" fontId="20" fillId="0" borderId="0" xfId="0" applyFont="1"/>
    <xf numFmtId="0" fontId="18" fillId="6" borderId="0" xfId="0" applyFont="1" applyFill="1"/>
    <xf numFmtId="0" fontId="3" fillId="0" borderId="0" xfId="0" applyFont="1" applyAlignment="1"/>
    <xf numFmtId="0" fontId="20" fillId="0" borderId="0" xfId="0" applyFont="1" applyFill="1"/>
    <xf numFmtId="0" fontId="3" fillId="0" borderId="0" xfId="21" applyFont="1" applyFill="1" applyBorder="1"/>
    <xf numFmtId="0" fontId="0" fillId="0" borderId="0" xfId="0" applyFont="1" applyFill="1"/>
    <xf numFmtId="0" fontId="3" fillId="0" borderId="0" xfId="21" applyFont="1" applyFill="1" applyBorder="1" applyAlignment="1">
      <alignment vertical="top" wrapText="1"/>
    </xf>
    <xf numFmtId="0" fontId="7" fillId="7" borderId="1" xfId="21" applyFont="1" applyFill="1" applyBorder="1" applyAlignment="1">
      <alignment horizontal="center" vertical="center" wrapText="1"/>
    </xf>
    <xf numFmtId="0" fontId="0" fillId="8" borderId="1" xfId="0" applyFont="1" applyFill="1" applyBorder="1" applyAlignment="1">
      <alignment vertical="center" wrapText="1"/>
    </xf>
    <xf numFmtId="0" fontId="0" fillId="0" borderId="0" xfId="0" applyAlignment="1"/>
    <xf numFmtId="0" fontId="14" fillId="0" borderId="0" xfId="0" applyFont="1" applyFill="1" applyAlignment="1">
      <alignment horizontal="center" vertical="center" wrapText="1"/>
    </xf>
    <xf numFmtId="0" fontId="0" fillId="0" borderId="0" xfId="0" applyBorder="1" applyAlignment="1"/>
    <xf numFmtId="0" fontId="15" fillId="0" borderId="0" xfId="0" applyFont="1" applyBorder="1" applyAlignment="1"/>
    <xf numFmtId="0" fontId="0" fillId="9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3" fillId="0" borderId="0" xfId="0" applyFont="1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0" fillId="9" borderId="0" xfId="0" applyFont="1" applyFill="1"/>
    <xf numFmtId="0" fontId="0" fillId="0" borderId="0" xfId="0" applyFont="1" applyAlignment="1">
      <alignment vertical="center"/>
    </xf>
    <xf numFmtId="0" fontId="0" fillId="10" borderId="3" xfId="0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4" fillId="0" borderId="0" xfId="0" applyFont="1" applyAlignment="1">
      <alignment vertical="center"/>
    </xf>
    <xf numFmtId="0" fontId="29" fillId="0" borderId="1" xfId="0" applyFont="1" applyBorder="1"/>
    <xf numFmtId="10" fontId="23" fillId="11" borderId="1" xfId="30" applyNumberFormat="1" applyFont="1" applyFill="1" applyBorder="1" applyAlignment="1" applyProtection="1"/>
    <xf numFmtId="185" fontId="23" fillId="0" borderId="0" xfId="38" applyNumberFormat="1" applyFont="1" applyFill="1" applyBorder="1" applyAlignment="1" applyProtection="1"/>
    <xf numFmtId="186" fontId="20" fillId="0" borderId="0" xfId="30" applyNumberFormat="1" applyFont="1" applyFill="1" applyBorder="1" applyAlignment="1" applyProtection="1"/>
    <xf numFmtId="185" fontId="31" fillId="0" borderId="0" xfId="38" applyNumberFormat="1" applyFont="1" applyFill="1" applyBorder="1" applyAlignment="1" applyProtection="1"/>
    <xf numFmtId="9" fontId="23" fillId="0" borderId="0" xfId="30" applyFont="1" applyFill="1" applyBorder="1" applyAlignment="1" applyProtection="1"/>
    <xf numFmtId="10" fontId="23" fillId="0" borderId="1" xfId="30" applyNumberFormat="1" applyFont="1" applyFill="1" applyBorder="1" applyAlignment="1" applyProtection="1"/>
    <xf numFmtId="0" fontId="0" fillId="0" borderId="0" xfId="0" applyAlignment="1">
      <alignment horizontal="center" vertical="center"/>
    </xf>
    <xf numFmtId="0" fontId="0" fillId="0" borderId="4" xfId="0" applyFill="1" applyBorder="1"/>
    <xf numFmtId="0" fontId="0" fillId="0" borderId="4" xfId="0" applyBorder="1"/>
    <xf numFmtId="186" fontId="0" fillId="0" borderId="4" xfId="30" applyNumberFormat="1" applyFont="1" applyBorder="1" applyAlignment="1">
      <alignment horizontal="center" vertical="center"/>
    </xf>
    <xf numFmtId="0" fontId="26" fillId="0" borderId="0" xfId="0" applyFont="1" applyFill="1"/>
    <xf numFmtId="0" fontId="48" fillId="0" borderId="0" xfId="0" applyFont="1" applyFill="1" applyBorder="1" applyAlignment="1"/>
    <xf numFmtId="0" fontId="48" fillId="0" borderId="0" xfId="0" applyFont="1" applyBorder="1" applyAlignment="1"/>
    <xf numFmtId="0" fontId="34" fillId="0" borderId="4" xfId="28" applyNumberFormat="1" applyFont="1" applyBorder="1" applyAlignment="1">
      <alignment horizontal="left" vertical="top" wrapText="1"/>
    </xf>
    <xf numFmtId="0" fontId="1" fillId="0" borderId="4" xfId="0" applyNumberFormat="1" applyFont="1" applyBorder="1" applyAlignment="1">
      <alignment vertical="top" wrapText="1"/>
    </xf>
    <xf numFmtId="0" fontId="15" fillId="0" borderId="4" xfId="0" applyFont="1" applyFill="1" applyBorder="1" applyAlignment="1"/>
    <xf numFmtId="0" fontId="0" fillId="0" borderId="0" xfId="0" applyFill="1"/>
    <xf numFmtId="0" fontId="0" fillId="0" borderId="0" xfId="0" applyFill="1" applyAlignment="1">
      <alignment wrapText="1"/>
    </xf>
    <xf numFmtId="0" fontId="39" fillId="0" borderId="4" xfId="0" applyFont="1" applyBorder="1" applyAlignment="1">
      <alignment horizontal="left" vertical="top" wrapText="1"/>
    </xf>
    <xf numFmtId="0" fontId="50" fillId="12" borderId="4" xfId="0" applyFont="1" applyFill="1" applyBorder="1" applyAlignment="1">
      <alignment horizontal="center" vertical="center" wrapText="1"/>
    </xf>
    <xf numFmtId="0" fontId="48" fillId="0" borderId="0" xfId="0" applyFont="1" applyFill="1" applyBorder="1" applyAlignment="1">
      <alignment horizontal="center" vertical="center" wrapText="1"/>
    </xf>
    <xf numFmtId="0" fontId="48" fillId="0" borderId="0" xfId="0" applyFont="1" applyFill="1" applyBorder="1" applyAlignment="1">
      <alignment wrapText="1"/>
    </xf>
    <xf numFmtId="0" fontId="29" fillId="0" borderId="5" xfId="0" applyFont="1" applyBorder="1"/>
    <xf numFmtId="0" fontId="29" fillId="9" borderId="4" xfId="0" applyFont="1" applyFill="1" applyBorder="1"/>
    <xf numFmtId="0" fontId="27" fillId="7" borderId="0" xfId="0" applyFont="1" applyFill="1"/>
    <xf numFmtId="0" fontId="1" fillId="0" borderId="4" xfId="25" applyNumberFormat="1" applyFont="1" applyBorder="1" applyAlignment="1">
      <alignment vertical="top" wrapText="1"/>
    </xf>
    <xf numFmtId="0" fontId="15" fillId="0" borderId="4" xfId="0" applyFont="1" applyFill="1" applyBorder="1" applyAlignment="1">
      <alignment horizontal="left"/>
    </xf>
    <xf numFmtId="0" fontId="42" fillId="0" borderId="6" xfId="28" applyNumberFormat="1" applyFont="1" applyBorder="1" applyAlignment="1">
      <alignment vertical="top" wrapText="1"/>
    </xf>
    <xf numFmtId="0" fontId="43" fillId="0" borderId="4" xfId="0" applyNumberFormat="1" applyFont="1" applyBorder="1" applyAlignment="1">
      <alignment vertical="top" wrapText="1"/>
    </xf>
    <xf numFmtId="0" fontId="48" fillId="0" borderId="4" xfId="0" applyFont="1" applyFill="1" applyBorder="1" applyAlignment="1"/>
    <xf numFmtId="0" fontId="0" fillId="0" borderId="4" xfId="0" applyBorder="1" applyAlignment="1"/>
    <xf numFmtId="0" fontId="0" fillId="0" borderId="4" xfId="0" applyFill="1" applyBorder="1" applyAlignment="1"/>
    <xf numFmtId="0" fontId="14" fillId="13" borderId="2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center" vertical="center" wrapText="1"/>
    </xf>
    <xf numFmtId="0" fontId="15" fillId="0" borderId="4" xfId="0" applyNumberFormat="1" applyFont="1" applyFill="1" applyBorder="1" applyAlignment="1">
      <alignment horizontal="left" vertical="top"/>
    </xf>
    <xf numFmtId="0" fontId="34" fillId="0" borderId="4" xfId="28" applyNumberFormat="1" applyFont="1" applyBorder="1" applyAlignment="1">
      <alignment horizontal="left" vertical="top"/>
    </xf>
    <xf numFmtId="0" fontId="1" fillId="0" borderId="4" xfId="28" applyNumberFormat="1" applyFont="1" applyFill="1" applyBorder="1" applyAlignment="1">
      <alignment horizontal="left" vertical="top" wrapText="1"/>
    </xf>
    <xf numFmtId="0" fontId="1" fillId="0" borderId="4" xfId="28" applyNumberFormat="1" applyFont="1" applyBorder="1" applyAlignment="1">
      <alignment horizontal="left" vertical="top" wrapText="1"/>
    </xf>
    <xf numFmtId="0" fontId="35" fillId="0" borderId="4" xfId="0" applyNumberFormat="1" applyFont="1" applyBorder="1" applyAlignment="1">
      <alignment horizontal="left" vertical="top" wrapText="1"/>
    </xf>
    <xf numFmtId="0" fontId="36" fillId="0" borderId="4" xfId="0" applyNumberFormat="1" applyFont="1" applyBorder="1" applyAlignment="1">
      <alignment horizontal="left" vertical="top" wrapText="1"/>
    </xf>
    <xf numFmtId="0" fontId="37" fillId="0" borderId="4" xfId="25" applyNumberFormat="1" applyFont="1" applyBorder="1" applyAlignment="1">
      <alignment horizontal="left" vertical="top" wrapText="1"/>
    </xf>
    <xf numFmtId="0" fontId="38" fillId="0" borderId="4" xfId="25" applyNumberFormat="1" applyFont="1" applyBorder="1" applyAlignment="1">
      <alignment horizontal="left" vertical="top" wrapText="1"/>
    </xf>
    <xf numFmtId="0" fontId="42" fillId="0" borderId="4" xfId="28" applyNumberFormat="1" applyFont="1" applyBorder="1" applyAlignment="1">
      <alignment vertical="top" wrapText="1"/>
    </xf>
    <xf numFmtId="0" fontId="1" fillId="0" borderId="4" xfId="28" applyNumberFormat="1" applyFont="1" applyBorder="1" applyAlignment="1">
      <alignment vertical="top" wrapText="1"/>
    </xf>
    <xf numFmtId="0" fontId="0" fillId="0" borderId="4" xfId="0" applyBorder="1" applyAlignment="1">
      <alignment horizontal="center"/>
    </xf>
    <xf numFmtId="0" fontId="34" fillId="0" borderId="4" xfId="28" applyNumberFormat="1" applyFont="1" applyFill="1" applyBorder="1" applyAlignment="1">
      <alignment horizontal="left" vertical="top" wrapText="1"/>
    </xf>
    <xf numFmtId="0" fontId="1" fillId="0" borderId="4" xfId="25" applyNumberFormat="1" applyFont="1" applyFill="1" applyBorder="1" applyAlignment="1">
      <alignment horizontal="left" vertical="top" wrapText="1"/>
    </xf>
    <xf numFmtId="0" fontId="44" fillId="0" borderId="6" xfId="28" applyNumberFormat="1" applyFont="1" applyBorder="1" applyAlignment="1">
      <alignment vertical="top" wrapText="1"/>
    </xf>
    <xf numFmtId="0" fontId="1" fillId="0" borderId="4" xfId="0" applyNumberFormat="1" applyFont="1" applyBorder="1" applyAlignment="1">
      <alignment horizontal="left" vertical="top" wrapText="1"/>
    </xf>
    <xf numFmtId="0" fontId="1" fillId="0" borderId="6" xfId="28" applyNumberFormat="1" applyFont="1" applyBorder="1" applyAlignment="1">
      <alignment vertical="top" wrapText="1"/>
    </xf>
    <xf numFmtId="1" fontId="45" fillId="0" borderId="5" xfId="0" applyNumberFormat="1" applyFont="1" applyBorder="1"/>
    <xf numFmtId="3" fontId="45" fillId="0" borderId="1" xfId="0" applyNumberFormat="1" applyFont="1" applyBorder="1"/>
    <xf numFmtId="1" fontId="45" fillId="0" borderId="5" xfId="0" applyNumberFormat="1" applyFont="1" applyFill="1" applyBorder="1"/>
    <xf numFmtId="3" fontId="45" fillId="0" borderId="1" xfId="0" applyNumberFormat="1" applyFont="1" applyFill="1" applyBorder="1"/>
    <xf numFmtId="3" fontId="45" fillId="0" borderId="5" xfId="0" applyNumberFormat="1" applyFont="1" applyBorder="1"/>
    <xf numFmtId="1" fontId="45" fillId="0" borderId="7" xfId="0" applyNumberFormat="1" applyFont="1" applyBorder="1"/>
    <xf numFmtId="1" fontId="45" fillId="0" borderId="8" xfId="0" applyNumberFormat="1" applyFont="1" applyFill="1" applyBorder="1"/>
    <xf numFmtId="0" fontId="0" fillId="0" borderId="4" xfId="0" applyNumberFormat="1" applyFont="1" applyBorder="1"/>
    <xf numFmtId="0" fontId="48" fillId="0" borderId="0" xfId="0" applyFont="1" applyFill="1" applyBorder="1" applyAlignment="1">
      <alignment horizontal="center" vertical="center"/>
    </xf>
    <xf numFmtId="0" fontId="26" fillId="0" borderId="0" xfId="0" applyFont="1"/>
    <xf numFmtId="0" fontId="0" fillId="0" borderId="9" xfId="0" applyFont="1" applyFill="1" applyBorder="1" applyAlignment="1"/>
    <xf numFmtId="0" fontId="41" fillId="0" borderId="4" xfId="0" applyFont="1" applyBorder="1" applyAlignment="1">
      <alignment horizontal="center" vertical="center"/>
    </xf>
    <xf numFmtId="0" fontId="67" fillId="16" borderId="4" xfId="0" applyFont="1" applyFill="1" applyBorder="1" applyAlignment="1">
      <alignment horizontal="left" vertical="top"/>
    </xf>
    <xf numFmtId="0" fontId="52" fillId="14" borderId="4" xfId="27" applyNumberFormat="1" applyFont="1" applyFill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0" fillId="0" borderId="0" xfId="0" applyFill="1" applyBorder="1"/>
    <xf numFmtId="0" fontId="51" fillId="0" borderId="4" xfId="0" applyNumberFormat="1" applyFont="1" applyBorder="1" applyAlignment="1">
      <alignment vertical="top"/>
    </xf>
    <xf numFmtId="0" fontId="0" fillId="0" borderId="9" xfId="0" applyFill="1" applyBorder="1" applyAlignment="1"/>
    <xf numFmtId="0" fontId="67" fillId="16" borderId="4" xfId="0" applyFont="1" applyFill="1" applyBorder="1" applyAlignment="1">
      <alignment horizontal="left" vertical="top" wrapText="1"/>
    </xf>
    <xf numFmtId="0" fontId="53" fillId="14" borderId="4" xfId="0" applyNumberFormat="1" applyFont="1" applyFill="1" applyBorder="1" applyAlignment="1">
      <alignment horizontal="left" vertical="top"/>
    </xf>
    <xf numFmtId="0" fontId="27" fillId="0" borderId="0" xfId="0" applyFont="1" applyFill="1" applyBorder="1" applyAlignment="1">
      <alignment horizontal="center" vertical="center"/>
    </xf>
    <xf numFmtId="0" fontId="0" fillId="0" borderId="0" xfId="0" applyFill="1" applyBorder="1" applyAlignment="1"/>
    <xf numFmtId="0" fontId="27" fillId="17" borderId="0" xfId="0" applyFont="1" applyFill="1"/>
    <xf numFmtId="0" fontId="27" fillId="18" borderId="0" xfId="0" applyFont="1" applyFill="1"/>
    <xf numFmtId="0" fontId="27" fillId="19" borderId="0" xfId="0" applyFont="1" applyFill="1"/>
    <xf numFmtId="0" fontId="27" fillId="20" borderId="0" xfId="0" applyFont="1" applyFill="1"/>
    <xf numFmtId="0" fontId="49" fillId="0" borderId="0" xfId="0" applyFont="1" applyFill="1" applyBorder="1" applyAlignment="1">
      <alignment horizontal="center" vertical="center" wrapText="1"/>
    </xf>
    <xf numFmtId="0" fontId="48" fillId="0" borderId="0" xfId="0" applyFont="1" applyFill="1" applyBorder="1" applyAlignment="1">
      <alignment horizontal="center" wrapText="1"/>
    </xf>
    <xf numFmtId="0" fontId="48" fillId="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wrapText="1"/>
    </xf>
    <xf numFmtId="0" fontId="48" fillId="0" borderId="0" xfId="0" applyFont="1" applyBorder="1" applyAlignment="1">
      <alignment horizontal="center" wrapText="1"/>
    </xf>
    <xf numFmtId="0" fontId="47" fillId="0" borderId="0" xfId="0" applyFont="1" applyFill="1" applyBorder="1" applyAlignment="1">
      <alignment horizontal="center" vertical="center"/>
    </xf>
    <xf numFmtId="1" fontId="48" fillId="0" borderId="0" xfId="0" applyNumberFormat="1" applyFont="1" applyFill="1" applyBorder="1" applyAlignment="1">
      <alignment horizontal="center" vertical="center"/>
    </xf>
    <xf numFmtId="0" fontId="48" fillId="0" borderId="0" xfId="0" applyFont="1" applyBorder="1" applyAlignment="1">
      <alignment horizontal="center"/>
    </xf>
    <xf numFmtId="0" fontId="48" fillId="0" borderId="0" xfId="0" applyFont="1" applyBorder="1" applyAlignment="1">
      <alignment horizontal="right"/>
    </xf>
    <xf numFmtId="0" fontId="30" fillId="0" borderId="0" xfId="0" applyFont="1" applyBorder="1" applyAlignment="1">
      <alignment horizontal="center" vertical="center" wrapText="1"/>
    </xf>
    <xf numFmtId="0" fontId="67" fillId="16" borderId="0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 wrapText="1"/>
    </xf>
    <xf numFmtId="0" fontId="30" fillId="0" borderId="0" xfId="0" applyFont="1" applyBorder="1" applyAlignment="1">
      <alignment horizontal="center" wrapText="1"/>
    </xf>
    <xf numFmtId="0" fontId="54" fillId="21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wrapText="1"/>
    </xf>
    <xf numFmtId="0" fontId="10" fillId="12" borderId="4" xfId="0" applyFont="1" applyFill="1" applyBorder="1" applyAlignment="1">
      <alignment horizontal="center" vertical="center" wrapText="1"/>
    </xf>
    <xf numFmtId="0" fontId="54" fillId="22" borderId="10" xfId="0" applyFont="1" applyFill="1" applyBorder="1" applyAlignment="1">
      <alignment horizontal="center" vertical="center" wrapText="1"/>
    </xf>
    <xf numFmtId="0" fontId="55" fillId="0" borderId="6" xfId="28" applyNumberFormat="1" applyFont="1" applyBorder="1" applyAlignment="1">
      <alignment vertical="top" wrapText="1"/>
    </xf>
    <xf numFmtId="0" fontId="52" fillId="0" borderId="0" xfId="0" applyFont="1" applyBorder="1" applyAlignment="1">
      <alignment vertical="center"/>
    </xf>
    <xf numFmtId="0" fontId="56" fillId="14" borderId="4" xfId="26" applyNumberFormat="1" applyFont="1" applyFill="1" applyBorder="1" applyAlignment="1">
      <alignment horizontal="left" vertical="top"/>
    </xf>
    <xf numFmtId="0" fontId="51" fillId="0" borderId="4" xfId="28" applyNumberFormat="1" applyFont="1" applyBorder="1" applyAlignment="1">
      <alignment vertical="top" wrapText="1"/>
    </xf>
    <xf numFmtId="0" fontId="29" fillId="0" borderId="2" xfId="0" applyFont="1" applyBorder="1"/>
    <xf numFmtId="0" fontId="0" fillId="0" borderId="4" xfId="0" applyFont="1" applyFill="1" applyBorder="1"/>
    <xf numFmtId="0" fontId="0" fillId="0" borderId="4" xfId="0" applyFont="1" applyFill="1" applyBorder="1" applyAlignment="1"/>
    <xf numFmtId="10" fontId="23" fillId="0" borderId="0" xfId="30" applyNumberFormat="1" applyFont="1" applyFill="1" applyBorder="1" applyAlignment="1" applyProtection="1"/>
    <xf numFmtId="10" fontId="45" fillId="0" borderId="1" xfId="0" applyNumberFormat="1" applyFont="1" applyBorder="1" applyAlignment="1">
      <alignment horizontal="center"/>
    </xf>
    <xf numFmtId="0" fontId="0" fillId="0" borderId="0" xfId="0" applyFill="1" applyAlignment="1">
      <alignment horizontal="center" vertical="center" wrapText="1"/>
    </xf>
    <xf numFmtId="0" fontId="57" fillId="0" borderId="27" xfId="0" applyFont="1" applyBorder="1" applyAlignment="1">
      <alignment horizontal="left" vertical="top" wrapText="1"/>
    </xf>
    <xf numFmtId="0" fontId="57" fillId="23" borderId="27" xfId="0" applyFont="1" applyFill="1" applyBorder="1" applyAlignment="1">
      <alignment horizontal="left" vertical="top" wrapText="1"/>
    </xf>
    <xf numFmtId="186" fontId="0" fillId="0" borderId="4" xfId="3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vertical="center"/>
    </xf>
    <xf numFmtId="0" fontId="48" fillId="0" borderId="0" xfId="0" applyFont="1" applyFill="1" applyBorder="1" applyAlignment="1">
      <alignment horizontal="left" vertical="center"/>
    </xf>
    <xf numFmtId="14" fontId="48" fillId="0" borderId="0" xfId="0" applyNumberFormat="1" applyFont="1" applyFill="1" applyBorder="1" applyAlignment="1">
      <alignment horizontal="center" vertical="center"/>
    </xf>
    <xf numFmtId="14" fontId="56" fillId="14" borderId="4" xfId="26" applyNumberFormat="1" applyFont="1" applyFill="1" applyBorder="1" applyAlignment="1">
      <alignment horizontal="left" vertical="top"/>
    </xf>
    <xf numFmtId="0" fontId="0" fillId="0" borderId="4" xfId="0" applyBorder="1" applyAlignment="1">
      <alignment horizontal="left"/>
    </xf>
    <xf numFmtId="0" fontId="3" fillId="15" borderId="4" xfId="0" applyFont="1" applyFill="1" applyBorder="1" applyAlignment="1">
      <alignment horizontal="left"/>
    </xf>
    <xf numFmtId="0" fontId="0" fillId="0" borderId="4" xfId="0" applyFill="1" applyBorder="1" applyAlignment="1">
      <alignment horizontal="left"/>
    </xf>
    <xf numFmtId="10" fontId="23" fillId="11" borderId="0" xfId="30" applyNumberFormat="1" applyFont="1" applyFill="1" applyBorder="1" applyAlignment="1" applyProtection="1"/>
    <xf numFmtId="185" fontId="31" fillId="0" borderId="0" xfId="38" applyNumberFormat="1" applyFont="1" applyFill="1" applyBorder="1" applyAlignment="1" applyProtection="1">
      <alignment horizontal="right"/>
    </xf>
    <xf numFmtId="0" fontId="0" fillId="0" borderId="9" xfId="0" applyFill="1" applyBorder="1"/>
    <xf numFmtId="0" fontId="0" fillId="0" borderId="0" xfId="0" applyNumberFormat="1" applyFill="1"/>
    <xf numFmtId="0" fontId="58" fillId="0" borderId="4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/>
    <xf numFmtId="0" fontId="0" fillId="0" borderId="9" xfId="0" applyFill="1" applyBorder="1" applyAlignment="1">
      <alignment horizontal="left"/>
    </xf>
    <xf numFmtId="0" fontId="59" fillId="24" borderId="27" xfId="0" applyFont="1" applyFill="1" applyBorder="1" applyAlignment="1">
      <alignment horizontal="center" vertical="center" wrapText="1"/>
    </xf>
    <xf numFmtId="0" fontId="59" fillId="24" borderId="28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0" fillId="0" borderId="27" xfId="0" applyBorder="1" applyAlignment="1">
      <alignment horizontal="left" vertical="top"/>
    </xf>
    <xf numFmtId="0" fontId="0" fillId="25" borderId="27" xfId="0" applyFill="1" applyBorder="1" applyAlignment="1">
      <alignment horizontal="left" vertical="top"/>
    </xf>
    <xf numFmtId="0" fontId="0" fillId="0" borderId="27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6" borderId="0" xfId="0" applyFill="1" applyAlignment="1"/>
    <xf numFmtId="0" fontId="0" fillId="27" borderId="27" xfId="0" applyFill="1" applyBorder="1" applyAlignment="1">
      <alignment horizontal="left" vertical="top"/>
    </xf>
    <xf numFmtId="0" fontId="0" fillId="26" borderId="0" xfId="0" applyFill="1" applyBorder="1" applyAlignment="1">
      <alignment horizontal="center" vertical="center"/>
    </xf>
    <xf numFmtId="0" fontId="0" fillId="26" borderId="0" xfId="0" applyFill="1" applyAlignment="1">
      <alignment horizontal="center" vertical="center"/>
    </xf>
    <xf numFmtId="14" fontId="0" fillId="26" borderId="0" xfId="0" applyNumberFormat="1" applyFill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26" borderId="27" xfId="0" applyNumberFormat="1" applyFill="1" applyBorder="1" applyAlignment="1">
      <alignment horizontal="center" vertical="center"/>
    </xf>
    <xf numFmtId="14" fontId="0" fillId="27" borderId="27" xfId="0" applyNumberFormat="1" applyFill="1" applyBorder="1" applyAlignment="1">
      <alignment horizontal="center" vertical="center"/>
    </xf>
    <xf numFmtId="14" fontId="0" fillId="25" borderId="27" xfId="0" applyNumberFormat="1" applyFill="1" applyBorder="1" applyAlignment="1">
      <alignment horizontal="center" vertical="center"/>
    </xf>
    <xf numFmtId="0" fontId="27" fillId="28" borderId="0" xfId="0" applyFont="1" applyFill="1" applyAlignment="1">
      <alignment horizontal="left" vertical="center"/>
    </xf>
    <xf numFmtId="0" fontId="0" fillId="0" borderId="29" xfId="0" applyFill="1" applyBorder="1"/>
    <xf numFmtId="0" fontId="0" fillId="0" borderId="30" xfId="0" applyFill="1" applyBorder="1"/>
    <xf numFmtId="0" fontId="0" fillId="0" borderId="31" xfId="0" applyFill="1" applyBorder="1"/>
    <xf numFmtId="0" fontId="0" fillId="0" borderId="32" xfId="0" applyFill="1" applyBorder="1"/>
    <xf numFmtId="0" fontId="26" fillId="0" borderId="33" xfId="0" applyFont="1" applyFill="1" applyBorder="1" applyAlignment="1">
      <alignment horizontal="right"/>
    </xf>
    <xf numFmtId="0" fontId="26" fillId="0" borderId="33" xfId="0" applyNumberFormat="1" applyFont="1" applyFill="1" applyBorder="1"/>
    <xf numFmtId="0" fontId="0" fillId="0" borderId="34" xfId="0" applyNumberFormat="1" applyFill="1" applyBorder="1"/>
    <xf numFmtId="0" fontId="0" fillId="0" borderId="35" xfId="0" applyNumberFormat="1" applyFill="1" applyBorder="1"/>
    <xf numFmtId="0" fontId="0" fillId="0" borderId="30" xfId="0" applyFill="1" applyBorder="1" applyAlignment="1">
      <alignment horizontal="center" vertical="center" wrapText="1"/>
    </xf>
    <xf numFmtId="0" fontId="0" fillId="0" borderId="36" xfId="0" applyFill="1" applyBorder="1" applyAlignment="1">
      <alignment horizontal="center" vertical="center" wrapText="1"/>
    </xf>
    <xf numFmtId="0" fontId="0" fillId="0" borderId="37" xfId="0" applyFill="1" applyBorder="1" applyAlignment="1">
      <alignment horizontal="center" vertical="center" wrapText="1"/>
    </xf>
    <xf numFmtId="0" fontId="0" fillId="0" borderId="30" xfId="0" pivotButton="1" applyBorder="1"/>
    <xf numFmtId="0" fontId="0" fillId="0" borderId="30" xfId="0" applyBorder="1"/>
    <xf numFmtId="0" fontId="0" fillId="0" borderId="38" xfId="0" applyBorder="1"/>
    <xf numFmtId="0" fontId="0" fillId="0" borderId="29" xfId="0" pivotButton="1" applyBorder="1"/>
    <xf numFmtId="0" fontId="0" fillId="0" borderId="29" xfId="0" applyBorder="1"/>
    <xf numFmtId="0" fontId="27" fillId="23" borderId="4" xfId="0" applyFont="1" applyFill="1" applyBorder="1" applyAlignment="1">
      <alignment horizontal="left" vertical="center"/>
    </xf>
    <xf numFmtId="0" fontId="0" fillId="0" borderId="30" xfId="0" applyNumberFormat="1" applyFill="1" applyBorder="1"/>
    <xf numFmtId="0" fontId="0" fillId="0" borderId="36" xfId="0" applyNumberFormat="1" applyFill="1" applyBorder="1"/>
    <xf numFmtId="0" fontId="0" fillId="0" borderId="37" xfId="0" applyNumberFormat="1" applyFill="1" applyBorder="1"/>
    <xf numFmtId="0" fontId="0" fillId="0" borderId="38" xfId="0" applyFill="1" applyBorder="1"/>
    <xf numFmtId="0" fontId="0" fillId="0" borderId="38" xfId="0" applyNumberFormat="1" applyFill="1" applyBorder="1"/>
    <xf numFmtId="0" fontId="0" fillId="0" borderId="39" xfId="0" applyNumberFormat="1" applyFill="1" applyBorder="1"/>
    <xf numFmtId="0" fontId="27" fillId="0" borderId="4" xfId="0" applyFont="1" applyBorder="1"/>
    <xf numFmtId="186" fontId="33" fillId="0" borderId="0" xfId="30" applyNumberFormat="1" applyFill="1" applyBorder="1" applyAlignment="1" applyProtection="1"/>
    <xf numFmtId="0" fontId="27" fillId="0" borderId="4" xfId="0" applyFont="1" applyBorder="1" applyAlignment="1">
      <alignment horizontal="left"/>
    </xf>
    <xf numFmtId="14" fontId="27" fillId="0" borderId="4" xfId="0" applyNumberFormat="1" applyFont="1" applyBorder="1" applyAlignment="1">
      <alignment horizontal="left" vertical="center"/>
    </xf>
    <xf numFmtId="14" fontId="27" fillId="0" borderId="4" xfId="0" applyNumberFormat="1" applyFont="1" applyBorder="1" applyAlignment="1">
      <alignment horizontal="center"/>
    </xf>
    <xf numFmtId="14" fontId="27" fillId="0" borderId="4" xfId="0" applyNumberFormat="1" applyFont="1" applyBorder="1" applyAlignment="1">
      <alignment horizontal="center" vertical="center"/>
    </xf>
    <xf numFmtId="1" fontId="27" fillId="0" borderId="4" xfId="0" applyNumberFormat="1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27" fillId="0" borderId="4" xfId="0" applyFont="1" applyBorder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14" fontId="27" fillId="0" borderId="12" xfId="0" applyNumberFormat="1" applyFont="1" applyBorder="1" applyAlignment="1">
      <alignment horizontal="left" vertical="center"/>
    </xf>
    <xf numFmtId="0" fontId="26" fillId="0" borderId="40" xfId="0" applyFont="1" applyFill="1" applyBorder="1" applyAlignment="1">
      <alignment horizontal="right"/>
    </xf>
    <xf numFmtId="0" fontId="0" fillId="0" borderId="41" xfId="0" applyFill="1" applyBorder="1"/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0" fillId="12" borderId="4" xfId="0" applyFont="1" applyFill="1" applyBorder="1" applyAlignment="1">
      <alignment horizontal="left" vertical="center" wrapText="1"/>
    </xf>
    <xf numFmtId="0" fontId="40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0" fontId="10" fillId="0" borderId="0" xfId="0" applyFont="1"/>
    <xf numFmtId="14" fontId="27" fillId="0" borderId="0" xfId="0" applyNumberFormat="1" applyFont="1" applyAlignment="1">
      <alignment horizontal="center" vertical="center"/>
    </xf>
    <xf numFmtId="14" fontId="27" fillId="0" borderId="4" xfId="0" applyNumberFormat="1" applyFont="1" applyBorder="1" applyAlignment="1">
      <alignment horizontal="left"/>
    </xf>
    <xf numFmtId="0" fontId="54" fillId="22" borderId="10" xfId="0" applyFont="1" applyFill="1" applyBorder="1" applyAlignment="1">
      <alignment horizontal="center" vertical="center" wrapText="1"/>
    </xf>
    <xf numFmtId="2" fontId="27" fillId="0" borderId="0" xfId="0" applyNumberFormat="1" applyFont="1" applyAlignment="1">
      <alignment horizontal="left" vertical="center"/>
    </xf>
    <xf numFmtId="2" fontId="27" fillId="0" borderId="4" xfId="0" applyNumberFormat="1" applyFont="1" applyBorder="1" applyAlignment="1">
      <alignment horizontal="left" vertical="center"/>
    </xf>
    <xf numFmtId="0" fontId="27" fillId="23" borderId="4" xfId="0" applyFont="1" applyFill="1" applyBorder="1"/>
    <xf numFmtId="0" fontId="27" fillId="0" borderId="4" xfId="0" applyFont="1" applyFill="1" applyBorder="1" applyAlignment="1">
      <alignment horizontal="left" vertical="center"/>
    </xf>
    <xf numFmtId="2" fontId="27" fillId="0" borderId="4" xfId="0" applyNumberFormat="1" applyFont="1" applyFill="1" applyBorder="1" applyAlignment="1">
      <alignment horizontal="left" vertical="center"/>
    </xf>
    <xf numFmtId="1" fontId="27" fillId="23" borderId="4" xfId="0" applyNumberFormat="1" applyFont="1" applyFill="1" applyBorder="1" applyAlignment="1">
      <alignment horizontal="center" vertical="center"/>
    </xf>
    <xf numFmtId="0" fontId="27" fillId="23" borderId="4" xfId="0" applyFont="1" applyFill="1" applyBorder="1" applyAlignment="1">
      <alignment horizontal="center" vertical="center"/>
    </xf>
    <xf numFmtId="0" fontId="29" fillId="0" borderId="7" xfId="0" applyFont="1" applyBorder="1"/>
    <xf numFmtId="1" fontId="45" fillId="0" borderId="4" xfId="0" applyNumberFormat="1" applyFont="1" applyBorder="1"/>
    <xf numFmtId="10" fontId="29" fillId="0" borderId="4" xfId="0" applyNumberFormat="1" applyFont="1" applyBorder="1"/>
    <xf numFmtId="3" fontId="32" fillId="0" borderId="4" xfId="0" applyNumberFormat="1" applyFont="1" applyBorder="1"/>
    <xf numFmtId="0" fontId="29" fillId="0" borderId="4" xfId="0" applyFont="1" applyBorder="1"/>
    <xf numFmtId="10" fontId="29" fillId="0" borderId="4" xfId="30" applyNumberFormat="1" applyFont="1" applyFill="1" applyBorder="1" applyAlignment="1" applyProtection="1"/>
    <xf numFmtId="185" fontId="29" fillId="0" borderId="4" xfId="38" applyNumberFormat="1" applyFont="1" applyFill="1" applyBorder="1" applyAlignment="1" applyProtection="1"/>
    <xf numFmtId="10" fontId="3" fillId="0" borderId="4" xfId="30" applyNumberFormat="1" applyFont="1" applyFill="1" applyBorder="1" applyAlignment="1" applyProtection="1"/>
    <xf numFmtId="3" fontId="32" fillId="0" borderId="4" xfId="0" applyNumberFormat="1" applyFont="1" applyFill="1" applyBorder="1"/>
    <xf numFmtId="1" fontId="45" fillId="0" borderId="4" xfId="0" applyNumberFormat="1" applyFont="1" applyFill="1" applyBorder="1"/>
    <xf numFmtId="10" fontId="29" fillId="0" borderId="4" xfId="0" applyNumberFormat="1" applyFont="1" applyFill="1" applyBorder="1"/>
    <xf numFmtId="0" fontId="29" fillId="0" borderId="4" xfId="0" applyFont="1" applyFill="1" applyBorder="1"/>
    <xf numFmtId="3" fontId="0" fillId="0" borderId="4" xfId="0" applyNumberFormat="1" applyBorder="1"/>
    <xf numFmtId="0" fontId="29" fillId="0" borderId="13" xfId="0" applyFont="1" applyFill="1" applyBorder="1"/>
    <xf numFmtId="0" fontId="29" fillId="0" borderId="0" xfId="0" applyFont="1" applyFill="1" applyBorder="1"/>
    <xf numFmtId="1" fontId="0" fillId="0" borderId="0" xfId="0" applyNumberFormat="1"/>
    <xf numFmtId="1" fontId="0" fillId="0" borderId="0" xfId="0" applyNumberFormat="1" applyFill="1"/>
    <xf numFmtId="10" fontId="45" fillId="26" borderId="1" xfId="0" applyNumberFormat="1" applyFont="1" applyFill="1" applyBorder="1" applyAlignment="1">
      <alignment horizontal="center"/>
    </xf>
    <xf numFmtId="0" fontId="0" fillId="26" borderId="4" xfId="0" applyFont="1" applyFill="1" applyBorder="1"/>
    <xf numFmtId="186" fontId="33" fillId="26" borderId="4" xfId="30" applyNumberFormat="1" applyFont="1" applyFill="1" applyBorder="1" applyAlignment="1">
      <alignment horizontal="center" vertical="center"/>
    </xf>
    <xf numFmtId="9" fontId="33" fillId="26" borderId="1" xfId="30" applyFont="1" applyFill="1" applyBorder="1" applyAlignment="1">
      <alignment horizontal="center"/>
    </xf>
    <xf numFmtId="10" fontId="45" fillId="0" borderId="1" xfId="0" applyNumberFormat="1" applyFont="1" applyBorder="1"/>
    <xf numFmtId="1" fontId="45" fillId="0" borderId="1" xfId="0" applyNumberFormat="1" applyFont="1" applyBorder="1"/>
    <xf numFmtId="0" fontId="45" fillId="0" borderId="1" xfId="0" applyFont="1" applyBorder="1"/>
    <xf numFmtId="1" fontId="45" fillId="0" borderId="1" xfId="0" applyNumberFormat="1" applyFont="1" applyFill="1" applyBorder="1"/>
    <xf numFmtId="10" fontId="45" fillId="0" borderId="1" xfId="30" applyNumberFormat="1" applyFont="1" applyFill="1" applyBorder="1" applyAlignment="1" applyProtection="1"/>
    <xf numFmtId="185" fontId="45" fillId="0" borderId="1" xfId="38" applyNumberFormat="1" applyFont="1" applyFill="1" applyBorder="1" applyAlignment="1" applyProtection="1"/>
    <xf numFmtId="10" fontId="0" fillId="0" borderId="1" xfId="30" applyNumberFormat="1" applyFont="1" applyFill="1" applyBorder="1" applyAlignment="1" applyProtection="1"/>
    <xf numFmtId="0" fontId="0" fillId="0" borderId="0" xfId="0" applyFont="1"/>
    <xf numFmtId="0" fontId="0" fillId="0" borderId="4" xfId="0" applyFont="1" applyBorder="1"/>
    <xf numFmtId="9" fontId="0" fillId="0" borderId="1" xfId="30" applyFont="1" applyBorder="1" applyAlignment="1">
      <alignment horizontal="center"/>
    </xf>
    <xf numFmtId="1" fontId="0" fillId="0" borderId="2" xfId="0" applyNumberFormat="1" applyFont="1" applyBorder="1"/>
    <xf numFmtId="10" fontId="45" fillId="0" borderId="1" xfId="0" applyNumberFormat="1" applyFont="1" applyFill="1" applyBorder="1"/>
    <xf numFmtId="1" fontId="0" fillId="0" borderId="2" xfId="0" applyNumberFormat="1" applyFont="1" applyFill="1" applyBorder="1"/>
    <xf numFmtId="0" fontId="45" fillId="0" borderId="1" xfId="0" applyFont="1" applyFill="1" applyBorder="1"/>
    <xf numFmtId="0" fontId="0" fillId="26" borderId="9" xfId="0" applyFont="1" applyFill="1" applyBorder="1"/>
    <xf numFmtId="185" fontId="62" fillId="11" borderId="14" xfId="38" applyNumberFormat="1" applyFont="1" applyFill="1" applyBorder="1" applyAlignment="1" applyProtection="1"/>
    <xf numFmtId="10" fontId="26" fillId="11" borderId="1" xfId="30" applyNumberFormat="1" applyFont="1" applyFill="1" applyBorder="1" applyAlignment="1" applyProtection="1"/>
    <xf numFmtId="185" fontId="26" fillId="11" borderId="1" xfId="38" applyNumberFormat="1" applyFont="1" applyFill="1" applyBorder="1" applyAlignment="1" applyProtection="1"/>
    <xf numFmtId="185" fontId="63" fillId="11" borderId="1" xfId="38" applyNumberFormat="1" applyFont="1" applyFill="1" applyBorder="1" applyAlignment="1" applyProtection="1"/>
    <xf numFmtId="185" fontId="62" fillId="0" borderId="15" xfId="38" applyNumberFormat="1" applyFont="1" applyFill="1" applyBorder="1" applyAlignment="1" applyProtection="1"/>
    <xf numFmtId="10" fontId="0" fillId="0" borderId="0" xfId="30" applyNumberFormat="1" applyFont="1" applyFill="1" applyBorder="1" applyAlignment="1" applyProtection="1"/>
    <xf numFmtId="185" fontId="26" fillId="0" borderId="0" xfId="38" applyNumberFormat="1" applyFont="1" applyFill="1" applyBorder="1" applyAlignment="1" applyProtection="1"/>
    <xf numFmtId="184" fontId="26" fillId="0" borderId="0" xfId="38" applyNumberFormat="1" applyFont="1" applyFill="1" applyBorder="1" applyAlignment="1" applyProtection="1"/>
    <xf numFmtId="185" fontId="62" fillId="0" borderId="0" xfId="38" applyNumberFormat="1" applyFont="1" applyFill="1" applyBorder="1" applyAlignment="1" applyProtection="1"/>
    <xf numFmtId="10" fontId="26" fillId="11" borderId="1" xfId="30" applyNumberFormat="1" applyFont="1" applyFill="1" applyBorder="1" applyAlignment="1" applyProtection="1">
      <alignment horizontal="center"/>
    </xf>
    <xf numFmtId="9" fontId="0" fillId="0" borderId="0" xfId="30" applyFont="1" applyFill="1" applyBorder="1" applyAlignment="1" applyProtection="1"/>
    <xf numFmtId="211" fontId="0" fillId="0" borderId="0" xfId="0" applyNumberFormat="1" applyFont="1"/>
    <xf numFmtId="1" fontId="0" fillId="0" borderId="0" xfId="30" applyNumberFormat="1" applyFont="1"/>
    <xf numFmtId="186" fontId="0" fillId="0" borderId="0" xfId="30" applyNumberFormat="1" applyFont="1"/>
    <xf numFmtId="0" fontId="26" fillId="29" borderId="4" xfId="0" applyFont="1" applyFill="1" applyBorder="1"/>
    <xf numFmtId="186" fontId="26" fillId="29" borderId="16" xfId="30" applyNumberFormat="1" applyFont="1" applyFill="1" applyBorder="1" applyAlignment="1">
      <alignment horizontal="center" vertical="center"/>
    </xf>
    <xf numFmtId="186" fontId="26" fillId="29" borderId="4" xfId="30" applyNumberFormat="1" applyFont="1" applyFill="1" applyBorder="1" applyAlignment="1">
      <alignment horizontal="center" vertical="center"/>
    </xf>
    <xf numFmtId="186" fontId="26" fillId="11" borderId="14" xfId="30" applyNumberFormat="1" applyFont="1" applyFill="1" applyBorder="1" applyAlignment="1" applyProtection="1">
      <alignment horizontal="center" vertical="center"/>
    </xf>
    <xf numFmtId="186" fontId="33" fillId="0" borderId="16" xfId="30" applyNumberFormat="1" applyFont="1" applyFill="1" applyBorder="1" applyAlignment="1">
      <alignment horizontal="center" vertical="center"/>
    </xf>
    <xf numFmtId="186" fontId="33" fillId="0" borderId="4" xfId="30" applyNumberFormat="1" applyFont="1" applyFill="1" applyBorder="1" applyAlignment="1">
      <alignment horizontal="center" vertical="center"/>
    </xf>
    <xf numFmtId="10" fontId="45" fillId="0" borderId="2" xfId="0" applyNumberFormat="1" applyFont="1" applyBorder="1"/>
    <xf numFmtId="185" fontId="0" fillId="0" borderId="4" xfId="0" applyNumberFormat="1" applyFont="1" applyBorder="1" applyAlignment="1">
      <alignment horizontal="center"/>
    </xf>
    <xf numFmtId="10" fontId="45" fillId="0" borderId="4" xfId="0" applyNumberFormat="1" applyFont="1" applyBorder="1"/>
    <xf numFmtId="3" fontId="45" fillId="0" borderId="4" xfId="0" applyNumberFormat="1" applyFont="1" applyBorder="1"/>
    <xf numFmtId="9" fontId="26" fillId="29" borderId="17" xfId="30" applyFont="1" applyFill="1" applyBorder="1" applyAlignment="1">
      <alignment horizontal="center"/>
    </xf>
    <xf numFmtId="3" fontId="45" fillId="0" borderId="2" xfId="0" applyNumberFormat="1" applyFont="1" applyBorder="1"/>
    <xf numFmtId="10" fontId="45" fillId="0" borderId="2" xfId="30" applyNumberFormat="1" applyFont="1" applyFill="1" applyBorder="1" applyAlignment="1" applyProtection="1"/>
    <xf numFmtId="185" fontId="45" fillId="0" borderId="2" xfId="38" applyNumberFormat="1" applyFont="1" applyFill="1" applyBorder="1" applyAlignment="1" applyProtection="1"/>
    <xf numFmtId="10" fontId="0" fillId="0" borderId="2" xfId="30" applyNumberFormat="1" applyFont="1" applyFill="1" applyBorder="1" applyAlignment="1" applyProtection="1"/>
    <xf numFmtId="10" fontId="45" fillId="0" borderId="4" xfId="30" applyNumberFormat="1" applyFont="1" applyFill="1" applyBorder="1" applyAlignment="1" applyProtection="1"/>
    <xf numFmtId="185" fontId="45" fillId="0" borderId="4" xfId="38" applyNumberFormat="1" applyFont="1" applyFill="1" applyBorder="1" applyAlignment="1" applyProtection="1"/>
    <xf numFmtId="10" fontId="0" fillId="0" borderId="4" xfId="30" applyNumberFormat="1" applyFont="1" applyFill="1" applyBorder="1" applyAlignment="1" applyProtection="1"/>
    <xf numFmtId="0" fontId="0" fillId="0" borderId="4" xfId="0" applyFont="1" applyFill="1" applyBorder="1" applyAlignment="1">
      <alignment horizontal="right"/>
    </xf>
    <xf numFmtId="0" fontId="0" fillId="0" borderId="33" xfId="0" applyBorder="1"/>
    <xf numFmtId="186" fontId="0" fillId="0" borderId="0" xfId="30" applyNumberFormat="1" applyFont="1" applyFill="1" applyBorder="1" applyAlignment="1">
      <alignment horizontal="center" vertical="center"/>
    </xf>
    <xf numFmtId="186" fontId="33" fillId="0" borderId="0" xfId="30" applyNumberFormat="1" applyFont="1" applyFill="1" applyBorder="1" applyAlignment="1">
      <alignment horizontal="center" vertical="center"/>
    </xf>
    <xf numFmtId="9" fontId="0" fillId="0" borderId="0" xfId="30" applyFont="1" applyFill="1" applyBorder="1" applyAlignment="1">
      <alignment horizontal="center"/>
    </xf>
    <xf numFmtId="10" fontId="45" fillId="0" borderId="18" xfId="0" applyNumberFormat="1" applyFont="1" applyBorder="1"/>
    <xf numFmtId="10" fontId="45" fillId="0" borderId="7" xfId="0" applyNumberFormat="1" applyFont="1" applyBorder="1"/>
    <xf numFmtId="186" fontId="33" fillId="26" borderId="4" xfId="30" applyNumberFormat="1" applyFont="1" applyFill="1" applyBorder="1" applyAlignment="1">
      <alignment horizontal="center" vertical="center"/>
    </xf>
    <xf numFmtId="1" fontId="27" fillId="23" borderId="11" xfId="0" applyNumberFormat="1" applyFont="1" applyFill="1" applyBorder="1" applyAlignment="1">
      <alignment horizontal="center" vertical="center"/>
    </xf>
    <xf numFmtId="0" fontId="27" fillId="0" borderId="4" xfId="0" applyFont="1" applyFill="1" applyBorder="1"/>
    <xf numFmtId="1" fontId="23" fillId="0" borderId="0" xfId="30" applyNumberFormat="1" applyFont="1" applyFill="1" applyBorder="1" applyAlignment="1" applyProtection="1"/>
    <xf numFmtId="1" fontId="45" fillId="0" borderId="16" xfId="0" applyNumberFormat="1" applyFont="1" applyBorder="1"/>
    <xf numFmtId="10" fontId="45" fillId="0" borderId="16" xfId="0" applyNumberFormat="1" applyFont="1" applyBorder="1"/>
    <xf numFmtId="3" fontId="45" fillId="0" borderId="16" xfId="0" applyNumberFormat="1" applyFont="1" applyBorder="1"/>
    <xf numFmtId="9" fontId="33" fillId="29" borderId="4" xfId="30" applyFont="1" applyFill="1" applyBorder="1" applyAlignment="1">
      <alignment horizontal="center"/>
    </xf>
    <xf numFmtId="186" fontId="33" fillId="29" borderId="4" xfId="30" applyNumberFormat="1" applyFont="1" applyFill="1" applyBorder="1" applyAlignment="1">
      <alignment horizontal="center" vertical="center"/>
    </xf>
    <xf numFmtId="186" fontId="33" fillId="23" borderId="4" xfId="30" applyNumberFormat="1" applyFont="1" applyFill="1" applyBorder="1" applyAlignment="1">
      <alignment horizontal="center" vertical="center"/>
    </xf>
    <xf numFmtId="0" fontId="0" fillId="23" borderId="4" xfId="0" applyFont="1" applyFill="1" applyBorder="1" applyAlignment="1">
      <alignment horizontal="right"/>
    </xf>
    <xf numFmtId="9" fontId="33" fillId="23" borderId="4" xfId="30" applyFont="1" applyFill="1" applyBorder="1" applyAlignment="1">
      <alignment horizontal="center"/>
    </xf>
    <xf numFmtId="186" fontId="26" fillId="23" borderId="4" xfId="30" applyNumberFormat="1" applyFont="1" applyFill="1" applyBorder="1" applyAlignment="1">
      <alignment horizontal="center" vertical="center"/>
    </xf>
    <xf numFmtId="9" fontId="33" fillId="23" borderId="17" xfId="30" applyFont="1" applyFill="1" applyBorder="1" applyAlignment="1">
      <alignment horizontal="center"/>
    </xf>
    <xf numFmtId="0" fontId="0" fillId="23" borderId="4" xfId="0" applyFont="1" applyFill="1" applyBorder="1" applyAlignment="1">
      <alignment horizontal="right" wrapText="1"/>
    </xf>
    <xf numFmtId="9" fontId="26" fillId="23" borderId="17" xfId="30" applyFont="1" applyFill="1" applyBorder="1" applyAlignment="1">
      <alignment horizontal="center"/>
    </xf>
    <xf numFmtId="186" fontId="26" fillId="23" borderId="16" xfId="30" applyNumberFormat="1" applyFont="1" applyFill="1" applyBorder="1" applyAlignment="1">
      <alignment horizontal="center" vertical="center"/>
    </xf>
    <xf numFmtId="0" fontId="0" fillId="30" borderId="4" xfId="0" applyFont="1" applyFill="1" applyBorder="1"/>
    <xf numFmtId="186" fontId="33" fillId="30" borderId="16" xfId="30" applyNumberFormat="1" applyFont="1" applyFill="1" applyBorder="1" applyAlignment="1">
      <alignment horizontal="center" vertical="center"/>
    </xf>
    <xf numFmtId="186" fontId="33" fillId="30" borderId="4" xfId="30" applyNumberFormat="1" applyFont="1" applyFill="1" applyBorder="1" applyAlignment="1">
      <alignment horizontal="center" vertical="center"/>
    </xf>
    <xf numFmtId="186" fontId="33" fillId="23" borderId="16" xfId="30" applyNumberFormat="1" applyFont="1" applyFill="1" applyBorder="1" applyAlignment="1">
      <alignment horizontal="center" vertical="center"/>
    </xf>
    <xf numFmtId="9" fontId="33" fillId="23" borderId="18" xfId="30" applyFont="1" applyFill="1" applyBorder="1" applyAlignment="1">
      <alignment horizontal="center"/>
    </xf>
    <xf numFmtId="0" fontId="57" fillId="0" borderId="42" xfId="0" applyFont="1" applyBorder="1" applyAlignment="1">
      <alignment horizontal="left" vertical="top" wrapText="1"/>
    </xf>
    <xf numFmtId="0" fontId="0" fillId="0" borderId="16" xfId="0" applyFill="1" applyBorder="1"/>
    <xf numFmtId="0" fontId="57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9" fontId="33" fillId="30" borderId="17" xfId="30" applyFont="1" applyFill="1" applyBorder="1" applyAlignment="1">
      <alignment horizontal="center"/>
    </xf>
    <xf numFmtId="9" fontId="33" fillId="23" borderId="11" xfId="30" applyFont="1" applyFill="1" applyBorder="1" applyAlignment="1">
      <alignment horizontal="center"/>
    </xf>
    <xf numFmtId="9" fontId="33" fillId="23" borderId="19" xfId="30" applyFont="1" applyFill="1" applyBorder="1" applyAlignment="1">
      <alignment horizontal="center"/>
    </xf>
    <xf numFmtId="10" fontId="45" fillId="0" borderId="20" xfId="0" applyNumberFormat="1" applyFont="1" applyBorder="1"/>
    <xf numFmtId="10" fontId="45" fillId="0" borderId="21" xfId="0" applyNumberFormat="1" applyFont="1" applyBorder="1"/>
    <xf numFmtId="9" fontId="26" fillId="29" borderId="17" xfId="30" applyFont="1" applyFill="1" applyBorder="1" applyAlignment="1">
      <alignment horizontal="center" vertical="center"/>
    </xf>
    <xf numFmtId="0" fontId="26" fillId="31" borderId="4" xfId="0" applyFont="1" applyFill="1" applyBorder="1"/>
    <xf numFmtId="186" fontId="26" fillId="31" borderId="4" xfId="30" applyNumberFormat="1" applyFont="1" applyFill="1" applyBorder="1" applyAlignment="1">
      <alignment horizontal="center" vertical="center"/>
    </xf>
    <xf numFmtId="0" fontId="26" fillId="23" borderId="4" xfId="0" applyNumberFormat="1" applyFont="1" applyFill="1" applyBorder="1"/>
    <xf numFmtId="0" fontId="0" fillId="23" borderId="4" xfId="0" applyNumberFormat="1" applyFont="1" applyFill="1" applyBorder="1"/>
    <xf numFmtId="0" fontId="26" fillId="32" borderId="4" xfId="0" applyFont="1" applyFill="1" applyBorder="1"/>
    <xf numFmtId="186" fontId="26" fillId="32" borderId="4" xfId="30" applyNumberFormat="1" applyFont="1" applyFill="1" applyBorder="1" applyAlignment="1">
      <alignment horizontal="center" vertical="center"/>
    </xf>
    <xf numFmtId="9" fontId="26" fillId="32" borderId="17" xfId="30" applyFont="1" applyFill="1" applyBorder="1" applyAlignment="1">
      <alignment horizontal="center"/>
    </xf>
    <xf numFmtId="186" fontId="33" fillId="32" borderId="4" xfId="30" applyNumberFormat="1" applyFont="1" applyFill="1" applyBorder="1" applyAlignment="1">
      <alignment horizontal="center" vertical="center"/>
    </xf>
    <xf numFmtId="0" fontId="0" fillId="23" borderId="4" xfId="0" applyNumberFormat="1" applyFont="1" applyFill="1" applyBorder="1" applyAlignment="1">
      <alignment vertical="center"/>
    </xf>
    <xf numFmtId="186" fontId="33" fillId="31" borderId="4" xfId="30" applyNumberFormat="1" applyFont="1" applyFill="1" applyBorder="1" applyAlignment="1">
      <alignment horizontal="center" vertical="center"/>
    </xf>
    <xf numFmtId="0" fontId="0" fillId="0" borderId="16" xfId="0" applyNumberFormat="1" applyFont="1" applyBorder="1"/>
    <xf numFmtId="185" fontId="45" fillId="0" borderId="16" xfId="38" applyNumberFormat="1" applyFont="1" applyFill="1" applyBorder="1" applyAlignment="1" applyProtection="1"/>
    <xf numFmtId="10" fontId="0" fillId="0" borderId="16" xfId="30" applyNumberFormat="1" applyFont="1" applyFill="1" applyBorder="1" applyAlignment="1" applyProtection="1"/>
    <xf numFmtId="9" fontId="26" fillId="31" borderId="4" xfId="30" applyFont="1" applyFill="1" applyBorder="1" applyAlignment="1">
      <alignment horizontal="center"/>
    </xf>
    <xf numFmtId="9" fontId="26" fillId="23" borderId="4" xfId="30" applyFont="1" applyFill="1" applyBorder="1" applyAlignment="1">
      <alignment horizontal="center"/>
    </xf>
    <xf numFmtId="0" fontId="26" fillId="32" borderId="4" xfId="0" applyFont="1" applyFill="1" applyBorder="1" applyAlignment="1">
      <alignment horizontal="left"/>
    </xf>
    <xf numFmtId="0" fontId="26" fillId="23" borderId="4" xfId="0" applyFont="1" applyFill="1" applyBorder="1" applyAlignment="1">
      <alignment horizontal="left"/>
    </xf>
    <xf numFmtId="0" fontId="26" fillId="29" borderId="4" xfId="0" applyFont="1" applyFill="1" applyBorder="1" applyAlignment="1">
      <alignment horizontal="left"/>
    </xf>
    <xf numFmtId="0" fontId="0" fillId="23" borderId="4" xfId="0" applyFont="1" applyFill="1" applyBorder="1" applyAlignment="1">
      <alignment horizontal="left"/>
    </xf>
    <xf numFmtId="0" fontId="0" fillId="23" borderId="4" xfId="0" applyFont="1" applyFill="1" applyBorder="1" applyAlignment="1">
      <alignment horizontal="left" wrapText="1"/>
    </xf>
    <xf numFmtId="0" fontId="26" fillId="29" borderId="4" xfId="0" applyFont="1" applyFill="1" applyBorder="1" applyAlignment="1">
      <alignment horizontal="left" wrapText="1"/>
    </xf>
    <xf numFmtId="186" fontId="33" fillId="28" borderId="4" xfId="30" applyNumberFormat="1" applyFont="1" applyFill="1" applyBorder="1" applyAlignment="1">
      <alignment horizontal="center" vertical="center"/>
    </xf>
    <xf numFmtId="9" fontId="33" fillId="30" borderId="4" xfId="30" applyFont="1" applyFill="1" applyBorder="1" applyAlignment="1">
      <alignment horizontal="center"/>
    </xf>
    <xf numFmtId="9" fontId="26" fillId="29" borderId="4" xfId="30" applyFont="1" applyFill="1" applyBorder="1" applyAlignment="1">
      <alignment horizontal="center"/>
    </xf>
    <xf numFmtId="9" fontId="26" fillId="29" borderId="4" xfId="30" applyFont="1" applyFill="1" applyBorder="1" applyAlignment="1">
      <alignment horizontal="center" vertical="center"/>
    </xf>
    <xf numFmtId="9" fontId="33" fillId="0" borderId="4" xfId="30" applyFont="1" applyFill="1" applyBorder="1" applyAlignment="1">
      <alignment horizontal="center"/>
    </xf>
    <xf numFmtId="9" fontId="26" fillId="32" borderId="4" xfId="30" applyFont="1" applyFill="1" applyBorder="1" applyAlignment="1">
      <alignment horizontal="center"/>
    </xf>
    <xf numFmtId="1" fontId="45" fillId="28" borderId="4" xfId="0" applyNumberFormat="1" applyFont="1" applyFill="1" applyBorder="1"/>
    <xf numFmtId="9" fontId="33" fillId="26" borderId="4" xfId="30" applyFont="1" applyFill="1" applyBorder="1" applyAlignment="1">
      <alignment horizontal="center"/>
    </xf>
    <xf numFmtId="9" fontId="26" fillId="23" borderId="11" xfId="30" applyFont="1" applyFill="1" applyBorder="1" applyAlignment="1">
      <alignment horizontal="center"/>
    </xf>
    <xf numFmtId="1" fontId="0" fillId="0" borderId="4" xfId="0" applyNumberFormat="1" applyBorder="1"/>
    <xf numFmtId="1" fontId="45" fillId="0" borderId="16" xfId="0" applyNumberFormat="1" applyFont="1" applyFill="1" applyBorder="1"/>
    <xf numFmtId="0" fontId="26" fillId="29" borderId="4" xfId="0" applyNumberFormat="1" applyFont="1" applyFill="1" applyBorder="1"/>
    <xf numFmtId="0" fontId="26" fillId="26" borderId="4" xfId="0" applyFont="1" applyFill="1" applyBorder="1"/>
    <xf numFmtId="186" fontId="26" fillId="26" borderId="4" xfId="30" applyNumberFormat="1" applyFont="1" applyFill="1" applyBorder="1" applyAlignment="1">
      <alignment horizontal="center" vertical="center"/>
    </xf>
    <xf numFmtId="9" fontId="26" fillId="26" borderId="17" xfId="30" applyFont="1" applyFill="1" applyBorder="1" applyAlignment="1">
      <alignment horizontal="center"/>
    </xf>
    <xf numFmtId="3" fontId="45" fillId="30" borderId="4" xfId="0" applyNumberFormat="1" applyFont="1" applyFill="1" applyBorder="1"/>
    <xf numFmtId="1" fontId="45" fillId="30" borderId="7" xfId="0" applyNumberFormat="1" applyFont="1" applyFill="1" applyBorder="1"/>
    <xf numFmtId="211" fontId="0" fillId="30" borderId="0" xfId="0" applyNumberFormat="1" applyFont="1" applyFill="1"/>
    <xf numFmtId="1" fontId="33" fillId="30" borderId="0" xfId="30" applyNumberFormat="1" applyFont="1" applyFill="1"/>
    <xf numFmtId="186" fontId="33" fillId="30" borderId="0" xfId="30" applyNumberFormat="1" applyFont="1" applyFill="1"/>
    <xf numFmtId="0" fontId="0" fillId="30" borderId="0" xfId="0" applyFont="1" applyFill="1"/>
    <xf numFmtId="0" fontId="26" fillId="33" borderId="4" xfId="0" applyFont="1" applyFill="1" applyBorder="1"/>
    <xf numFmtId="186" fontId="26" fillId="33" borderId="4" xfId="30" applyNumberFormat="1" applyFont="1" applyFill="1" applyBorder="1" applyAlignment="1">
      <alignment horizontal="center" vertical="center"/>
    </xf>
    <xf numFmtId="9" fontId="26" fillId="33" borderId="4" xfId="30" applyFont="1" applyFill="1" applyBorder="1" applyAlignment="1">
      <alignment horizontal="center"/>
    </xf>
    <xf numFmtId="10" fontId="45" fillId="30" borderId="1" xfId="0" applyNumberFormat="1" applyFont="1" applyFill="1" applyBorder="1"/>
    <xf numFmtId="185" fontId="45" fillId="30" borderId="1" xfId="38" applyNumberFormat="1" applyFont="1" applyFill="1" applyBorder="1" applyAlignment="1" applyProtection="1"/>
    <xf numFmtId="10" fontId="33" fillId="30" borderId="1" xfId="30" applyNumberFormat="1" applyFont="1" applyFill="1" applyBorder="1" applyAlignment="1" applyProtection="1"/>
    <xf numFmtId="0" fontId="26" fillId="34" borderId="4" xfId="0" applyFont="1" applyFill="1" applyBorder="1"/>
    <xf numFmtId="186" fontId="26" fillId="34" borderId="4" xfId="30" applyNumberFormat="1" applyFont="1" applyFill="1" applyBorder="1" applyAlignment="1">
      <alignment horizontal="center" vertical="center"/>
    </xf>
    <xf numFmtId="9" fontId="26" fillId="34" borderId="11" xfId="30" applyFont="1" applyFill="1" applyBorder="1" applyAlignment="1">
      <alignment horizontal="center"/>
    </xf>
    <xf numFmtId="0" fontId="26" fillId="19" borderId="4" xfId="0" applyFont="1" applyFill="1" applyBorder="1"/>
    <xf numFmtId="186" fontId="26" fillId="19" borderId="4" xfId="30" applyNumberFormat="1" applyFont="1" applyFill="1" applyBorder="1" applyAlignment="1">
      <alignment horizontal="center" vertical="center"/>
    </xf>
    <xf numFmtId="9" fontId="26" fillId="19" borderId="11" xfId="30" applyFont="1" applyFill="1" applyBorder="1" applyAlignment="1">
      <alignment horizontal="center"/>
    </xf>
    <xf numFmtId="0" fontId="26" fillId="35" borderId="4" xfId="0" applyFont="1" applyFill="1" applyBorder="1"/>
    <xf numFmtId="186" fontId="26" fillId="35" borderId="4" xfId="30" applyNumberFormat="1" applyFont="1" applyFill="1" applyBorder="1" applyAlignment="1">
      <alignment horizontal="center" vertical="center"/>
    </xf>
    <xf numFmtId="9" fontId="26" fillId="35" borderId="17" xfId="30" applyFont="1" applyFill="1" applyBorder="1" applyAlignment="1">
      <alignment horizontal="center"/>
    </xf>
    <xf numFmtId="1" fontId="45" fillId="35" borderId="4" xfId="0" applyNumberFormat="1" applyFont="1" applyFill="1" applyBorder="1"/>
    <xf numFmtId="1" fontId="45" fillId="35" borderId="7" xfId="0" applyNumberFormat="1" applyFont="1" applyFill="1" applyBorder="1"/>
    <xf numFmtId="10" fontId="45" fillId="35" borderId="2" xfId="0" applyNumberFormat="1" applyFont="1" applyFill="1" applyBorder="1"/>
    <xf numFmtId="10" fontId="45" fillId="35" borderId="1" xfId="0" applyNumberFormat="1" applyFont="1" applyFill="1" applyBorder="1"/>
    <xf numFmtId="3" fontId="45" fillId="35" borderId="2" xfId="0" applyNumberFormat="1" applyFont="1" applyFill="1" applyBorder="1"/>
    <xf numFmtId="10" fontId="45" fillId="35" borderId="2" xfId="30" applyNumberFormat="1" applyFont="1" applyFill="1" applyBorder="1" applyAlignment="1" applyProtection="1"/>
    <xf numFmtId="185" fontId="45" fillId="35" borderId="2" xfId="38" applyNumberFormat="1" applyFont="1" applyFill="1" applyBorder="1" applyAlignment="1" applyProtection="1"/>
    <xf numFmtId="10" fontId="33" fillId="35" borderId="2" xfId="30" applyNumberFormat="1" applyFont="1" applyFill="1" applyBorder="1" applyAlignment="1" applyProtection="1"/>
    <xf numFmtId="211" fontId="0" fillId="35" borderId="0" xfId="0" applyNumberFormat="1" applyFont="1" applyFill="1"/>
    <xf numFmtId="1" fontId="33" fillId="35" borderId="0" xfId="30" applyNumberFormat="1" applyFont="1" applyFill="1"/>
    <xf numFmtId="186" fontId="33" fillId="35" borderId="0" xfId="30" applyNumberFormat="1" applyFont="1" applyFill="1"/>
    <xf numFmtId="0" fontId="0" fillId="35" borderId="0" xfId="0" applyFont="1" applyFill="1"/>
    <xf numFmtId="1" fontId="45" fillId="30" borderId="4" xfId="0" applyNumberFormat="1" applyFont="1" applyFill="1" applyBorder="1"/>
    <xf numFmtId="3" fontId="45" fillId="30" borderId="1" xfId="0" applyNumberFormat="1" applyFont="1" applyFill="1" applyBorder="1"/>
    <xf numFmtId="10" fontId="45" fillId="30" borderId="1" xfId="30" applyNumberFormat="1" applyFont="1" applyFill="1" applyBorder="1" applyAlignment="1" applyProtection="1"/>
    <xf numFmtId="0" fontId="26" fillId="19" borderId="4" xfId="0" applyNumberFormat="1" applyFont="1" applyFill="1" applyBorder="1"/>
    <xf numFmtId="3" fontId="63" fillId="19" borderId="4" xfId="0" applyNumberFormat="1" applyFont="1" applyFill="1" applyBorder="1"/>
    <xf numFmtId="10" fontId="63" fillId="19" borderId="21" xfId="0" applyNumberFormat="1" applyFont="1" applyFill="1" applyBorder="1"/>
    <xf numFmtId="1" fontId="63" fillId="19" borderId="16" xfId="0" applyNumberFormat="1" applyFont="1" applyFill="1" applyBorder="1"/>
    <xf numFmtId="10" fontId="63" fillId="19" borderId="16" xfId="0" applyNumberFormat="1" applyFont="1" applyFill="1" applyBorder="1"/>
    <xf numFmtId="10" fontId="63" fillId="19" borderId="2" xfId="0" applyNumberFormat="1" applyFont="1" applyFill="1" applyBorder="1"/>
    <xf numFmtId="10" fontId="63" fillId="19" borderId="1" xfId="0" applyNumberFormat="1" applyFont="1" applyFill="1" applyBorder="1"/>
    <xf numFmtId="3" fontId="63" fillId="19" borderId="16" xfId="0" applyNumberFormat="1" applyFont="1" applyFill="1" applyBorder="1"/>
    <xf numFmtId="10" fontId="63" fillId="19" borderId="7" xfId="0" applyNumberFormat="1" applyFont="1" applyFill="1" applyBorder="1"/>
    <xf numFmtId="1" fontId="63" fillId="19" borderId="7" xfId="0" applyNumberFormat="1" applyFont="1" applyFill="1" applyBorder="1"/>
    <xf numFmtId="3" fontId="63" fillId="19" borderId="2" xfId="0" applyNumberFormat="1" applyFont="1" applyFill="1" applyBorder="1"/>
    <xf numFmtId="10" fontId="63" fillId="19" borderId="2" xfId="30" applyNumberFormat="1" applyFont="1" applyFill="1" applyBorder="1" applyAlignment="1" applyProtection="1"/>
    <xf numFmtId="185" fontId="63" fillId="19" borderId="14" xfId="38" applyNumberFormat="1" applyFont="1" applyFill="1" applyBorder="1" applyAlignment="1" applyProtection="1"/>
    <xf numFmtId="10" fontId="26" fillId="19" borderId="14" xfId="30" applyNumberFormat="1" applyFont="1" applyFill="1" applyBorder="1" applyAlignment="1" applyProtection="1"/>
    <xf numFmtId="211" fontId="26" fillId="19" borderId="0" xfId="0" applyNumberFormat="1" applyFont="1" applyFill="1"/>
    <xf numFmtId="1" fontId="26" fillId="19" borderId="0" xfId="30" applyNumberFormat="1" applyFont="1" applyFill="1"/>
    <xf numFmtId="186" fontId="26" fillId="19" borderId="0" xfId="30" applyNumberFormat="1" applyFont="1" applyFill="1"/>
    <xf numFmtId="0" fontId="26" fillId="19" borderId="0" xfId="0" applyFont="1" applyFill="1"/>
    <xf numFmtId="0" fontId="26" fillId="34" borderId="4" xfId="0" applyNumberFormat="1" applyFont="1" applyFill="1" applyBorder="1"/>
    <xf numFmtId="3" fontId="63" fillId="34" borderId="4" xfId="0" applyNumberFormat="1" applyFont="1" applyFill="1" applyBorder="1"/>
    <xf numFmtId="10" fontId="63" fillId="34" borderId="21" xfId="0" applyNumberFormat="1" applyFont="1" applyFill="1" applyBorder="1"/>
    <xf numFmtId="1" fontId="63" fillId="34" borderId="16" xfId="0" applyNumberFormat="1" applyFont="1" applyFill="1" applyBorder="1"/>
    <xf numFmtId="10" fontId="63" fillId="34" borderId="16" xfId="0" applyNumberFormat="1" applyFont="1" applyFill="1" applyBorder="1"/>
    <xf numFmtId="10" fontId="63" fillId="34" borderId="2" xfId="0" applyNumberFormat="1" applyFont="1" applyFill="1" applyBorder="1"/>
    <xf numFmtId="10" fontId="63" fillId="34" borderId="1" xfId="0" applyNumberFormat="1" applyFont="1" applyFill="1" applyBorder="1"/>
    <xf numFmtId="3" fontId="63" fillId="34" borderId="16" xfId="0" applyNumberFormat="1" applyFont="1" applyFill="1" applyBorder="1"/>
    <xf numFmtId="10" fontId="63" fillId="34" borderId="7" xfId="0" applyNumberFormat="1" applyFont="1" applyFill="1" applyBorder="1"/>
    <xf numFmtId="1" fontId="63" fillId="34" borderId="7" xfId="0" applyNumberFormat="1" applyFont="1" applyFill="1" applyBorder="1"/>
    <xf numFmtId="3" fontId="63" fillId="34" borderId="2" xfId="0" applyNumberFormat="1" applyFont="1" applyFill="1" applyBorder="1"/>
    <xf numFmtId="10" fontId="63" fillId="34" borderId="2" xfId="30" applyNumberFormat="1" applyFont="1" applyFill="1" applyBorder="1" applyAlignment="1" applyProtection="1"/>
    <xf numFmtId="185" fontId="63" fillId="34" borderId="1" xfId="38" applyNumberFormat="1" applyFont="1" applyFill="1" applyBorder="1" applyAlignment="1" applyProtection="1"/>
    <xf numFmtId="10" fontId="26" fillId="34" borderId="1" xfId="30" applyNumberFormat="1" applyFont="1" applyFill="1" applyBorder="1" applyAlignment="1" applyProtection="1"/>
    <xf numFmtId="211" fontId="26" fillId="34" borderId="0" xfId="0" applyNumberFormat="1" applyFont="1" applyFill="1"/>
    <xf numFmtId="1" fontId="26" fillId="34" borderId="0" xfId="30" applyNumberFormat="1" applyFont="1" applyFill="1"/>
    <xf numFmtId="186" fontId="26" fillId="34" borderId="0" xfId="30" applyNumberFormat="1" applyFont="1" applyFill="1"/>
    <xf numFmtId="0" fontId="26" fillId="34" borderId="0" xfId="0" applyFont="1" applyFill="1"/>
    <xf numFmtId="0" fontId="26" fillId="30" borderId="4" xfId="0" applyFont="1" applyFill="1" applyBorder="1"/>
    <xf numFmtId="186" fontId="26" fillId="30" borderId="4" xfId="30" applyNumberFormat="1" applyFont="1" applyFill="1" applyBorder="1" applyAlignment="1">
      <alignment horizontal="center" vertical="center"/>
    </xf>
    <xf numFmtId="9" fontId="26" fillId="30" borderId="11" xfId="30" applyFont="1" applyFill="1" applyBorder="1" applyAlignment="1">
      <alignment horizontal="center"/>
    </xf>
    <xf numFmtId="0" fontId="26" fillId="30" borderId="4" xfId="0" applyNumberFormat="1" applyFont="1" applyFill="1" applyBorder="1"/>
    <xf numFmtId="3" fontId="63" fillId="30" borderId="4" xfId="0" applyNumberFormat="1" applyFont="1" applyFill="1" applyBorder="1"/>
    <xf numFmtId="10" fontId="63" fillId="30" borderId="21" xfId="0" applyNumberFormat="1" applyFont="1" applyFill="1" applyBorder="1"/>
    <xf numFmtId="1" fontId="63" fillId="30" borderId="16" xfId="0" applyNumberFormat="1" applyFont="1" applyFill="1" applyBorder="1"/>
    <xf numFmtId="10" fontId="63" fillId="30" borderId="16" xfId="0" applyNumberFormat="1" applyFont="1" applyFill="1" applyBorder="1"/>
    <xf numFmtId="10" fontId="63" fillId="30" borderId="2" xfId="0" applyNumberFormat="1" applyFont="1" applyFill="1" applyBorder="1"/>
    <xf numFmtId="10" fontId="63" fillId="30" borderId="1" xfId="0" applyNumberFormat="1" applyFont="1" applyFill="1" applyBorder="1"/>
    <xf numFmtId="3" fontId="63" fillId="30" borderId="16" xfId="0" applyNumberFormat="1" applyFont="1" applyFill="1" applyBorder="1"/>
    <xf numFmtId="10" fontId="63" fillId="30" borderId="7" xfId="0" applyNumberFormat="1" applyFont="1" applyFill="1" applyBorder="1"/>
    <xf numFmtId="1" fontId="63" fillId="30" borderId="7" xfId="0" applyNumberFormat="1" applyFont="1" applyFill="1" applyBorder="1"/>
    <xf numFmtId="3" fontId="63" fillId="30" borderId="2" xfId="0" applyNumberFormat="1" applyFont="1" applyFill="1" applyBorder="1"/>
    <xf numFmtId="10" fontId="63" fillId="30" borderId="2" xfId="30" applyNumberFormat="1" applyFont="1" applyFill="1" applyBorder="1" applyAlignment="1" applyProtection="1"/>
    <xf numFmtId="185" fontId="63" fillId="30" borderId="1" xfId="38" applyNumberFormat="1" applyFont="1" applyFill="1" applyBorder="1" applyAlignment="1" applyProtection="1"/>
    <xf numFmtId="10" fontId="26" fillId="30" borderId="1" xfId="30" applyNumberFormat="1" applyFont="1" applyFill="1" applyBorder="1" applyAlignment="1" applyProtection="1"/>
    <xf numFmtId="211" fontId="26" fillId="30" borderId="0" xfId="0" applyNumberFormat="1" applyFont="1" applyFill="1"/>
    <xf numFmtId="1" fontId="26" fillId="30" borderId="0" xfId="30" applyNumberFormat="1" applyFont="1" applyFill="1"/>
    <xf numFmtId="186" fontId="26" fillId="30" borderId="0" xfId="30" applyNumberFormat="1" applyFont="1" applyFill="1"/>
    <xf numFmtId="0" fontId="26" fillId="30" borderId="0" xfId="0" applyFont="1" applyFill="1"/>
    <xf numFmtId="186" fontId="26" fillId="30" borderId="12" xfId="30" applyNumberFormat="1" applyFont="1" applyFill="1" applyBorder="1" applyAlignment="1">
      <alignment horizontal="center" vertical="center"/>
    </xf>
    <xf numFmtId="9" fontId="26" fillId="30" borderId="19" xfId="30" applyFont="1" applyFill="1" applyBorder="1" applyAlignment="1">
      <alignment horizontal="center"/>
    </xf>
    <xf numFmtId="3" fontId="63" fillId="29" borderId="4" xfId="0" applyNumberFormat="1" applyFont="1" applyFill="1" applyBorder="1"/>
    <xf numFmtId="10" fontId="63" fillId="29" borderId="21" xfId="0" applyNumberFormat="1" applyFont="1" applyFill="1" applyBorder="1"/>
    <xf numFmtId="1" fontId="63" fillId="29" borderId="16" xfId="0" applyNumberFormat="1" applyFont="1" applyFill="1" applyBorder="1"/>
    <xf numFmtId="10" fontId="63" fillId="29" borderId="16" xfId="0" applyNumberFormat="1" applyFont="1" applyFill="1" applyBorder="1"/>
    <xf numFmtId="10" fontId="63" fillId="29" borderId="2" xfId="0" applyNumberFormat="1" applyFont="1" applyFill="1" applyBorder="1"/>
    <xf numFmtId="10" fontId="63" fillId="29" borderId="1" xfId="0" applyNumberFormat="1" applyFont="1" applyFill="1" applyBorder="1"/>
    <xf numFmtId="3" fontId="63" fillId="29" borderId="16" xfId="0" applyNumberFormat="1" applyFont="1" applyFill="1" applyBorder="1"/>
    <xf numFmtId="10" fontId="63" fillId="29" borderId="7" xfId="0" applyNumberFormat="1" applyFont="1" applyFill="1" applyBorder="1"/>
    <xf numFmtId="1" fontId="63" fillId="29" borderId="7" xfId="0" applyNumberFormat="1" applyFont="1" applyFill="1" applyBorder="1"/>
    <xf numFmtId="3" fontId="63" fillId="29" borderId="2" xfId="0" applyNumberFormat="1" applyFont="1" applyFill="1" applyBorder="1"/>
    <xf numFmtId="10" fontId="63" fillId="29" borderId="2" xfId="30" applyNumberFormat="1" applyFont="1" applyFill="1" applyBorder="1" applyAlignment="1" applyProtection="1"/>
    <xf numFmtId="185" fontId="63" fillId="29" borderId="4" xfId="38" applyNumberFormat="1" applyFont="1" applyFill="1" applyBorder="1" applyAlignment="1" applyProtection="1"/>
    <xf numFmtId="10" fontId="26" fillId="29" borderId="4" xfId="30" applyNumberFormat="1" applyFont="1" applyFill="1" applyBorder="1" applyAlignment="1" applyProtection="1"/>
    <xf numFmtId="211" fontId="26" fillId="29" borderId="0" xfId="0" applyNumberFormat="1" applyFont="1" applyFill="1"/>
    <xf numFmtId="1" fontId="26" fillId="29" borderId="0" xfId="30" applyNumberFormat="1" applyFont="1" applyFill="1"/>
    <xf numFmtId="186" fontId="26" fillId="29" borderId="0" xfId="30" applyNumberFormat="1" applyFont="1" applyFill="1"/>
    <xf numFmtId="0" fontId="26" fillId="29" borderId="0" xfId="0" applyFont="1" applyFill="1"/>
    <xf numFmtId="0" fontId="26" fillId="29" borderId="4" xfId="0" applyNumberFormat="1" applyFont="1" applyFill="1" applyBorder="1" applyAlignment="1">
      <alignment vertical="center"/>
    </xf>
    <xf numFmtId="1" fontId="63" fillId="29" borderId="4" xfId="0" applyNumberFormat="1" applyFont="1" applyFill="1" applyBorder="1"/>
    <xf numFmtId="3" fontId="63" fillId="29" borderId="1" xfId="0" applyNumberFormat="1" applyFont="1" applyFill="1" applyBorder="1"/>
    <xf numFmtId="10" fontId="63" fillId="29" borderId="1" xfId="30" applyNumberFormat="1" applyFont="1" applyFill="1" applyBorder="1" applyAlignment="1" applyProtection="1"/>
    <xf numFmtId="185" fontId="63" fillId="29" borderId="1" xfId="38" applyNumberFormat="1" applyFont="1" applyFill="1" applyBorder="1" applyAlignment="1" applyProtection="1"/>
    <xf numFmtId="10" fontId="26" fillId="29" borderId="1" xfId="30" applyNumberFormat="1" applyFont="1" applyFill="1" applyBorder="1" applyAlignment="1" applyProtection="1"/>
    <xf numFmtId="10" fontId="63" fillId="29" borderId="4" xfId="0" applyNumberFormat="1" applyFont="1" applyFill="1" applyBorder="1"/>
    <xf numFmtId="10" fontId="63" fillId="29" borderId="4" xfId="30" applyNumberFormat="1" applyFont="1" applyFill="1" applyBorder="1" applyAlignment="1" applyProtection="1"/>
    <xf numFmtId="185" fontId="26" fillId="29" borderId="4" xfId="0" applyNumberFormat="1" applyFont="1" applyFill="1" applyBorder="1" applyAlignment="1">
      <alignment horizontal="center"/>
    </xf>
    <xf numFmtId="10" fontId="63" fillId="29" borderId="18" xfId="0" applyNumberFormat="1" applyFont="1" applyFill="1" applyBorder="1"/>
    <xf numFmtId="0" fontId="26" fillId="32" borderId="4" xfId="0" applyNumberFormat="1" applyFont="1" applyFill="1" applyBorder="1"/>
    <xf numFmtId="3" fontId="63" fillId="32" borderId="4" xfId="0" applyNumberFormat="1" applyFont="1" applyFill="1" applyBorder="1"/>
    <xf numFmtId="10" fontId="63" fillId="32" borderId="21" xfId="0" applyNumberFormat="1" applyFont="1" applyFill="1" applyBorder="1"/>
    <xf numFmtId="1" fontId="63" fillId="32" borderId="16" xfId="0" applyNumberFormat="1" applyFont="1" applyFill="1" applyBorder="1"/>
    <xf numFmtId="10" fontId="63" fillId="32" borderId="16" xfId="0" applyNumberFormat="1" applyFont="1" applyFill="1" applyBorder="1"/>
    <xf numFmtId="10" fontId="63" fillId="32" borderId="2" xfId="0" applyNumberFormat="1" applyFont="1" applyFill="1" applyBorder="1"/>
    <xf numFmtId="10" fontId="63" fillId="32" borderId="18" xfId="0" applyNumberFormat="1" applyFont="1" applyFill="1" applyBorder="1"/>
    <xf numFmtId="3" fontId="63" fillId="32" borderId="16" xfId="0" applyNumberFormat="1" applyFont="1" applyFill="1" applyBorder="1"/>
    <xf numFmtId="10" fontId="63" fillId="32" borderId="7" xfId="0" applyNumberFormat="1" applyFont="1" applyFill="1" applyBorder="1"/>
    <xf numFmtId="1" fontId="63" fillId="32" borderId="7" xfId="0" applyNumberFormat="1" applyFont="1" applyFill="1" applyBorder="1"/>
    <xf numFmtId="3" fontId="63" fillId="32" borderId="2" xfId="0" applyNumberFormat="1" applyFont="1" applyFill="1" applyBorder="1"/>
    <xf numFmtId="10" fontId="63" fillId="32" borderId="2" xfId="30" applyNumberFormat="1" applyFont="1" applyFill="1" applyBorder="1" applyAlignment="1" applyProtection="1"/>
    <xf numFmtId="185" fontId="63" fillId="32" borderId="4" xfId="38" applyNumberFormat="1" applyFont="1" applyFill="1" applyBorder="1" applyAlignment="1" applyProtection="1"/>
    <xf numFmtId="10" fontId="26" fillId="32" borderId="4" xfId="30" applyNumberFormat="1" applyFont="1" applyFill="1" applyBorder="1" applyAlignment="1" applyProtection="1"/>
    <xf numFmtId="211" fontId="26" fillId="32" borderId="0" xfId="0" applyNumberFormat="1" applyFont="1" applyFill="1"/>
    <xf numFmtId="1" fontId="26" fillId="32" borderId="0" xfId="30" applyNumberFormat="1" applyFont="1" applyFill="1"/>
    <xf numFmtId="186" fontId="26" fillId="32" borderId="0" xfId="30" applyNumberFormat="1" applyFont="1" applyFill="1"/>
    <xf numFmtId="0" fontId="26" fillId="32" borderId="0" xfId="0" applyFont="1" applyFill="1"/>
    <xf numFmtId="3" fontId="63" fillId="26" borderId="4" xfId="0" applyNumberFormat="1" applyFont="1" applyFill="1" applyBorder="1"/>
    <xf numFmtId="10" fontId="63" fillId="26" borderId="21" xfId="0" applyNumberFormat="1" applyFont="1" applyFill="1" applyBorder="1"/>
    <xf numFmtId="1" fontId="63" fillId="26" borderId="16" xfId="0" applyNumberFormat="1" applyFont="1" applyFill="1" applyBorder="1"/>
    <xf numFmtId="10" fontId="63" fillId="26" borderId="16" xfId="0" applyNumberFormat="1" applyFont="1" applyFill="1" applyBorder="1"/>
    <xf numFmtId="10" fontId="63" fillId="26" borderId="2" xfId="0" applyNumberFormat="1" applyFont="1" applyFill="1" applyBorder="1"/>
    <xf numFmtId="10" fontId="63" fillId="26" borderId="18" xfId="0" applyNumberFormat="1" applyFont="1" applyFill="1" applyBorder="1"/>
    <xf numFmtId="3" fontId="63" fillId="26" borderId="16" xfId="0" applyNumberFormat="1" applyFont="1" applyFill="1" applyBorder="1"/>
    <xf numFmtId="10" fontId="63" fillId="26" borderId="7" xfId="0" applyNumberFormat="1" applyFont="1" applyFill="1" applyBorder="1"/>
    <xf numFmtId="1" fontId="63" fillId="26" borderId="7" xfId="0" applyNumberFormat="1" applyFont="1" applyFill="1" applyBorder="1"/>
    <xf numFmtId="3" fontId="63" fillId="26" borderId="2" xfId="0" applyNumberFormat="1" applyFont="1" applyFill="1" applyBorder="1"/>
    <xf numFmtId="10" fontId="63" fillId="26" borderId="2" xfId="30" applyNumberFormat="1" applyFont="1" applyFill="1" applyBorder="1" applyAlignment="1" applyProtection="1"/>
    <xf numFmtId="185" fontId="63" fillId="26" borderId="4" xfId="38" applyNumberFormat="1" applyFont="1" applyFill="1" applyBorder="1" applyAlignment="1" applyProtection="1"/>
    <xf numFmtId="10" fontId="26" fillId="26" borderId="4" xfId="30" applyNumberFormat="1" applyFont="1" applyFill="1" applyBorder="1" applyAlignment="1" applyProtection="1"/>
    <xf numFmtId="211" fontId="26" fillId="26" borderId="0" xfId="0" applyNumberFormat="1" applyFont="1" applyFill="1"/>
    <xf numFmtId="1" fontId="26" fillId="26" borderId="0" xfId="30" applyNumberFormat="1" applyFont="1" applyFill="1"/>
    <xf numFmtId="186" fontId="26" fillId="26" borderId="0" xfId="30" applyNumberFormat="1" applyFont="1" applyFill="1"/>
    <xf numFmtId="0" fontId="26" fillId="26" borderId="0" xfId="0" applyFont="1" applyFill="1"/>
    <xf numFmtId="0" fontId="26" fillId="33" borderId="4" xfId="0" applyNumberFormat="1" applyFont="1" applyFill="1" applyBorder="1"/>
    <xf numFmtId="3" fontId="63" fillId="33" borderId="4" xfId="0" applyNumberFormat="1" applyFont="1" applyFill="1" applyBorder="1"/>
    <xf numFmtId="10" fontId="63" fillId="33" borderId="4" xfId="0" applyNumberFormat="1" applyFont="1" applyFill="1" applyBorder="1"/>
    <xf numFmtId="1" fontId="63" fillId="33" borderId="4" xfId="0" applyNumberFormat="1" applyFont="1" applyFill="1" applyBorder="1"/>
    <xf numFmtId="10" fontId="63" fillId="33" borderId="4" xfId="30" applyNumberFormat="1" applyFont="1" applyFill="1" applyBorder="1" applyAlignment="1" applyProtection="1"/>
    <xf numFmtId="185" fontId="63" fillId="33" borderId="4" xfId="38" applyNumberFormat="1" applyFont="1" applyFill="1" applyBorder="1" applyAlignment="1" applyProtection="1"/>
    <xf numFmtId="10" fontId="26" fillId="33" borderId="4" xfId="30" applyNumberFormat="1" applyFont="1" applyFill="1" applyBorder="1" applyAlignment="1" applyProtection="1"/>
    <xf numFmtId="211" fontId="26" fillId="33" borderId="0" xfId="0" applyNumberFormat="1" applyFont="1" applyFill="1"/>
    <xf numFmtId="1" fontId="26" fillId="33" borderId="0" xfId="30" applyNumberFormat="1" applyFont="1" applyFill="1"/>
    <xf numFmtId="186" fontId="26" fillId="33" borderId="0" xfId="30" applyNumberFormat="1" applyFont="1" applyFill="1"/>
    <xf numFmtId="0" fontId="26" fillId="33" borderId="0" xfId="0" applyFont="1" applyFill="1"/>
    <xf numFmtId="1" fontId="26" fillId="26" borderId="4" xfId="0" applyNumberFormat="1" applyFont="1" applyFill="1" applyBorder="1"/>
    <xf numFmtId="0" fontId="26" fillId="0" borderId="4" xfId="0" applyFont="1" applyFill="1" applyBorder="1" applyAlignment="1">
      <alignment horizontal="right"/>
    </xf>
    <xf numFmtId="1" fontId="63" fillId="0" borderId="4" xfId="0" applyNumberFormat="1" applyFont="1" applyFill="1" applyBorder="1"/>
    <xf numFmtId="10" fontId="63" fillId="0" borderId="4" xfId="0" applyNumberFormat="1" applyFont="1" applyBorder="1"/>
    <xf numFmtId="10" fontId="63" fillId="0" borderId="4" xfId="0" applyNumberFormat="1" applyFont="1" applyFill="1" applyBorder="1"/>
    <xf numFmtId="1" fontId="63" fillId="0" borderId="4" xfId="0" applyNumberFormat="1" applyFont="1" applyBorder="1"/>
    <xf numFmtId="3" fontId="63" fillId="0" borderId="4" xfId="0" applyNumberFormat="1" applyFont="1" applyBorder="1"/>
    <xf numFmtId="10" fontId="63" fillId="0" borderId="4" xfId="30" applyNumberFormat="1" applyFont="1" applyFill="1" applyBorder="1" applyAlignment="1" applyProtection="1"/>
    <xf numFmtId="185" fontId="63" fillId="0" borderId="4" xfId="38" applyNumberFormat="1" applyFont="1" applyFill="1" applyBorder="1" applyAlignment="1" applyProtection="1"/>
    <xf numFmtId="10" fontId="45" fillId="30" borderId="22" xfId="0" applyNumberFormat="1" applyFont="1" applyFill="1" applyBorder="1"/>
    <xf numFmtId="3" fontId="45" fillId="30" borderId="5" xfId="0" applyNumberFormat="1" applyFont="1" applyFill="1" applyBorder="1"/>
    <xf numFmtId="3" fontId="63" fillId="29" borderId="5" xfId="0" applyNumberFormat="1" applyFont="1" applyFill="1" applyBorder="1"/>
    <xf numFmtId="10" fontId="45" fillId="35" borderId="23" xfId="0" applyNumberFormat="1" applyFont="1" applyFill="1" applyBorder="1"/>
    <xf numFmtId="1" fontId="45" fillId="0" borderId="21" xfId="0" applyNumberFormat="1" applyFont="1" applyBorder="1"/>
    <xf numFmtId="1" fontId="63" fillId="29" borderId="21" xfId="0" applyNumberFormat="1" applyFont="1" applyFill="1" applyBorder="1"/>
    <xf numFmtId="9" fontId="26" fillId="23" borderId="18" xfId="30" applyFont="1" applyFill="1" applyBorder="1" applyAlignment="1">
      <alignment horizontal="center"/>
    </xf>
    <xf numFmtId="0" fontId="0" fillId="23" borderId="16" xfId="0" applyNumberFormat="1" applyFont="1" applyFill="1" applyBorder="1"/>
    <xf numFmtId="0" fontId="26" fillId="23" borderId="4" xfId="0" applyFont="1" applyFill="1" applyBorder="1" applyAlignment="1">
      <alignment horizontal="right"/>
    </xf>
    <xf numFmtId="185" fontId="13" fillId="32" borderId="4" xfId="0" applyNumberFormat="1" applyFont="1" applyFill="1" applyBorder="1"/>
    <xf numFmtId="10" fontId="13" fillId="32" borderId="4" xfId="0" applyNumberFormat="1" applyFont="1" applyFill="1" applyBorder="1"/>
    <xf numFmtId="10" fontId="63" fillId="19" borderId="18" xfId="0" applyNumberFormat="1" applyFont="1" applyFill="1" applyBorder="1"/>
    <xf numFmtId="10" fontId="63" fillId="34" borderId="18" xfId="0" applyNumberFormat="1" applyFont="1" applyFill="1" applyBorder="1"/>
    <xf numFmtId="10" fontId="63" fillId="30" borderId="18" xfId="0" applyNumberFormat="1" applyFont="1" applyFill="1" applyBorder="1"/>
    <xf numFmtId="10" fontId="63" fillId="29" borderId="17" xfId="0" applyNumberFormat="1" applyFont="1" applyFill="1" applyBorder="1"/>
    <xf numFmtId="10" fontId="45" fillId="0" borderId="17" xfId="0" applyNumberFormat="1" applyFont="1" applyBorder="1"/>
    <xf numFmtId="10" fontId="63" fillId="29" borderId="11" xfId="0" applyNumberFormat="1" applyFont="1" applyFill="1" applyBorder="1"/>
    <xf numFmtId="10" fontId="45" fillId="0" borderId="11" xfId="0" applyNumberFormat="1" applyFont="1" applyBorder="1"/>
    <xf numFmtId="10" fontId="63" fillId="33" borderId="11" xfId="0" applyNumberFormat="1" applyFont="1" applyFill="1" applyBorder="1"/>
    <xf numFmtId="3" fontId="63" fillId="19" borderId="7" xfId="0" applyNumberFormat="1" applyFont="1" applyFill="1" applyBorder="1"/>
    <xf numFmtId="3" fontId="45" fillId="0" borderId="7" xfId="0" applyNumberFormat="1" applyFont="1" applyBorder="1"/>
    <xf numFmtId="3" fontId="63" fillId="34" borderId="7" xfId="0" applyNumberFormat="1" applyFont="1" applyFill="1" applyBorder="1"/>
    <xf numFmtId="3" fontId="63" fillId="30" borderId="7" xfId="0" applyNumberFormat="1" applyFont="1" applyFill="1" applyBorder="1"/>
    <xf numFmtId="3" fontId="63" fillId="29" borderId="7" xfId="0" applyNumberFormat="1" applyFont="1" applyFill="1" applyBorder="1"/>
    <xf numFmtId="3" fontId="63" fillId="29" borderId="20" xfId="0" applyNumberFormat="1" applyFont="1" applyFill="1" applyBorder="1"/>
    <xf numFmtId="3" fontId="45" fillId="0" borderId="20" xfId="0" applyNumberFormat="1" applyFont="1" applyBorder="1"/>
    <xf numFmtId="3" fontId="63" fillId="32" borderId="7" xfId="0" applyNumberFormat="1" applyFont="1" applyFill="1" applyBorder="1"/>
    <xf numFmtId="3" fontId="63" fillId="26" borderId="7" xfId="0" applyNumberFormat="1" applyFont="1" applyFill="1" applyBorder="1"/>
    <xf numFmtId="3" fontId="63" fillId="33" borderId="20" xfId="0" applyNumberFormat="1" applyFont="1" applyFill="1" applyBorder="1"/>
    <xf numFmtId="1" fontId="63" fillId="19" borderId="4" xfId="0" applyNumberFormat="1" applyFont="1" applyFill="1" applyBorder="1"/>
    <xf numFmtId="1" fontId="63" fillId="34" borderId="4" xfId="0" applyNumberFormat="1" applyFont="1" applyFill="1" applyBorder="1"/>
    <xf numFmtId="1" fontId="63" fillId="30" borderId="4" xfId="0" applyNumberFormat="1" applyFont="1" applyFill="1" applyBorder="1"/>
    <xf numFmtId="1" fontId="63" fillId="32" borderId="4" xfId="0" applyNumberFormat="1" applyFont="1" applyFill="1" applyBorder="1"/>
    <xf numFmtId="1" fontId="63" fillId="26" borderId="4" xfId="0" applyNumberFormat="1" applyFont="1" applyFill="1" applyBorder="1"/>
    <xf numFmtId="0" fontId="0" fillId="0" borderId="31" xfId="0" applyBorder="1"/>
    <xf numFmtId="0" fontId="0" fillId="0" borderId="32" xfId="0" applyBorder="1"/>
    <xf numFmtId="0" fontId="0" fillId="0" borderId="41" xfId="0" applyBorder="1"/>
    <xf numFmtId="0" fontId="0" fillId="0" borderId="40" xfId="0" applyBorder="1"/>
    <xf numFmtId="0" fontId="0" fillId="0" borderId="37" xfId="0" applyBorder="1"/>
    <xf numFmtId="0" fontId="0" fillId="0" borderId="30" xfId="0" applyNumberFormat="1" applyBorder="1"/>
    <xf numFmtId="0" fontId="0" fillId="0" borderId="37" xfId="0" applyNumberFormat="1" applyBorder="1"/>
    <xf numFmtId="0" fontId="0" fillId="0" borderId="38" xfId="0" applyNumberFormat="1" applyBorder="1"/>
    <xf numFmtId="0" fontId="0" fillId="0" borderId="39" xfId="0" applyNumberFormat="1" applyBorder="1"/>
    <xf numFmtId="0" fontId="0" fillId="0" borderId="33" xfId="0" applyNumberFormat="1" applyBorder="1"/>
    <xf numFmtId="0" fontId="0" fillId="0" borderId="35" xfId="0" applyNumberFormat="1" applyBorder="1"/>
    <xf numFmtId="0" fontId="0" fillId="0" borderId="36" xfId="0" applyBorder="1"/>
    <xf numFmtId="0" fontId="0" fillId="0" borderId="36" xfId="0" applyNumberFormat="1" applyBorder="1"/>
    <xf numFmtId="0" fontId="0" fillId="0" borderId="0" xfId="0" applyNumberFormat="1"/>
    <xf numFmtId="0" fontId="0" fillId="0" borderId="34" xfId="0" applyNumberFormat="1" applyBorder="1"/>
    <xf numFmtId="10" fontId="26" fillId="23" borderId="4" xfId="30" applyNumberFormat="1" applyFont="1" applyFill="1" applyBorder="1" applyAlignment="1" applyProtection="1"/>
    <xf numFmtId="0" fontId="13" fillId="32" borderId="4" xfId="0" applyFont="1" applyFill="1" applyBorder="1" applyAlignment="1">
      <alignment horizontal="right"/>
    </xf>
    <xf numFmtId="0" fontId="4" fillId="0" borderId="0" xfId="21" applyFont="1" applyBorder="1" applyAlignment="1">
      <alignment horizontal="center" vertical="top" wrapText="1"/>
    </xf>
    <xf numFmtId="0" fontId="5" fillId="0" borderId="0" xfId="21" applyFont="1" applyBorder="1" applyAlignment="1">
      <alignment horizontal="center" vertical="top" wrapText="1"/>
    </xf>
    <xf numFmtId="0" fontId="6" fillId="0" borderId="0" xfId="21" applyFont="1" applyBorder="1" applyAlignment="1">
      <alignment horizontal="center" vertical="top" wrapText="1"/>
    </xf>
    <xf numFmtId="0" fontId="28" fillId="0" borderId="1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28" fillId="0" borderId="5" xfId="0" applyFont="1" applyFill="1" applyBorder="1" applyAlignment="1">
      <alignment horizontal="center" vertical="center"/>
    </xf>
    <xf numFmtId="0" fontId="28" fillId="0" borderId="4" xfId="0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8" fillId="5" borderId="16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horizontal="center" vertical="center" wrapText="1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8" fillId="5" borderId="2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</cellXfs>
  <cellStyles count="41">
    <cellStyle name="Normal 2" xfId="1"/>
    <cellStyle name="Normal 3" xfId="2"/>
    <cellStyle name="Normal_Sheet1" xfId="3"/>
    <cellStyle name="Гиперссылка" xfId="4" builtinId="8"/>
    <cellStyle name="Обычный" xfId="0" builtinId="0"/>
    <cellStyle name="Обычный 10" xfId="5"/>
    <cellStyle name="Обычный 11" xfId="6"/>
    <cellStyle name="Обычный 12" xfId="7"/>
    <cellStyle name="Обычный 13" xfId="8"/>
    <cellStyle name="Обычный 14" xfId="9"/>
    <cellStyle name="Обычный 15" xfId="10"/>
    <cellStyle name="Обычный 2" xfId="11"/>
    <cellStyle name="Обычный 2 2" xfId="12"/>
    <cellStyle name="Обычный 2 3" xfId="13"/>
    <cellStyle name="Обычный 2 4" xfId="14"/>
    <cellStyle name="Обычный 3" xfId="15"/>
    <cellStyle name="Обычный 3 2" xfId="16"/>
    <cellStyle name="Обычный 3 3" xfId="17"/>
    <cellStyle name="Обычный 4" xfId="18"/>
    <cellStyle name="Обычный 5" xfId="19"/>
    <cellStyle name="Обычный 5 2" xfId="20"/>
    <cellStyle name="Обычный 6" xfId="21"/>
    <cellStyle name="Обычный 7" xfId="22"/>
    <cellStyle name="Обычный 8" xfId="23"/>
    <cellStyle name="Обычный 9" xfId="24"/>
    <cellStyle name="Обычный_Лист1" xfId="25"/>
    <cellStyle name="Обычный_Нетрудоспособность" xfId="26"/>
    <cellStyle name="Обычный_Нетрудоспособность_1" xfId="27"/>
    <cellStyle name="Обычный_Список сотрудников_1" xfId="28"/>
    <cellStyle name="Пояснение 2" xfId="29"/>
    <cellStyle name="Процентный" xfId="30" builtinId="5"/>
    <cellStyle name="Процентный 2" xfId="31"/>
    <cellStyle name="Процентный 2 2" xfId="32"/>
    <cellStyle name="Процентный 2 3" xfId="33"/>
    <cellStyle name="Процентный 2 4" xfId="34"/>
    <cellStyle name="Процентный 3" xfId="35"/>
    <cellStyle name="Процентный 4" xfId="36"/>
    <cellStyle name="Процентный 5" xfId="37"/>
    <cellStyle name="Финансовый" xfId="38" builtinId="3"/>
    <cellStyle name="Финансовый 2" xfId="39"/>
    <cellStyle name="Финансовый 3" xfId="40"/>
  </cellStyles>
  <dxfs count="39">
    <dxf>
      <alignment wrapText="1" readingOrder="0"/>
    </dxf>
    <dxf>
      <alignment wrapText="1" readingOrder="0"/>
    </dxf>
    <dxf>
      <alignment wrapText="1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ont>
        <b/>
      </font>
    </dxf>
    <dxf>
      <font>
        <b/>
      </font>
    </dxf>
    <dxf>
      <alignment horizontal="right" readingOrder="0"/>
    </dxf>
    <dxf>
      <alignment wrapText="1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wrapText="1" readingOrder="0"/>
    </dxf>
    <dxf>
      <alignment wrapText="1" readingOrder="0"/>
    </dxf>
    <dxf>
      <alignment wrapText="1" readingOrder="0"/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ont>
        <b/>
      </font>
    </dxf>
    <dxf>
      <font>
        <b/>
      </font>
    </dxf>
    <dxf>
      <alignment horizontal="right" readingOrder="0"/>
    </dxf>
    <dxf>
      <alignment wrapText="1" readingOrder="0"/>
    </dxf>
    <dxf>
      <fill>
        <patternFill patternType="solid">
          <fgColor rgb="FFF2DCDB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F81BD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C0504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&#1085;&#1072;%20&#1074;&#1099;&#1093;&#1086;&#1076;&#1085;&#1099;&#1077;%2031.05/HC_&#1089;&#1074;&#1086;&#1076;&#1085;&#1099;&#1081;_2025_&#1060;&#1077;&#1074;&#1088;&#1072;&#1083;&#1100;%20-&#1076;&#1077;&#1083;&#1072;&#1102;%20&#1086;&#1090;&#1095;&#1077;&#1090;.xls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&#1085;&#1072;%20&#1074;&#1099;&#1093;&#1086;&#1076;&#1085;&#1099;&#1077;%2031.05/HC_&#1089;&#1074;&#1086;&#1076;&#1085;&#1099;&#1081;_2025_&#1060;&#1077;&#1074;&#1088;&#1072;&#1083;&#1100;%20-&#1076;&#1077;&#1083;&#1072;&#1102;%20&#1086;&#1090;&#1095;&#1077;&#1090;.xls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Лаврикова Лариса Александровна" refreshedDate="45719.556379166665" createdVersion="1" refreshedVersion="4" recordCount="145" upgradeOnRefresh="1">
  <cacheSource type="worksheet">
    <worksheetSource ref="C7:T152" sheet="Вакансии" r:id="rId2"/>
  </cacheSource>
  <cacheFields count="18">
    <cacheField name="Город" numFmtId="0">
      <sharedItems containsBlank="1"/>
    </cacheField>
    <cacheField name="ЦФО" numFmtId="0">
      <sharedItems containsBlank="1" count="47">
        <s v="ЦФО Заготовительный"/>
        <s v="ЦФО КБ (2 ур)"/>
        <s v="ЦФО Милака (1 ур)"/>
        <s v="Менеджер по управлению проектами"/>
        <s v="Программист 1С"/>
        <s v="Инженер-проектировщик АСУТП"/>
        <s v="ЦФО Ком.служба (2 ур)"/>
        <s v="Разработчик электронных курсов"/>
        <s v="Офис-менеджер (Москва)"/>
        <s v="Помощник ГКИ"/>
        <s v="Заместитель ГК по проектной деятельности"/>
        <s v="Кладовщик"/>
        <s v="ЦФО Производство №1 (1 ур)"/>
        <s v="ЦФО Производство БМИ (1 ур)"/>
        <s v="ЦФО Служба безопасности (2 ур)"/>
        <s v="ЦФО Служба качества (2 ур)"/>
        <s v="ЦФО Служба логистики (2 ур)"/>
        <s v="ЦФО Служба развития (2 ур)"/>
        <s v="ЦФО Амурская легенда (1 ур)"/>
        <s v="ЦФО Исполнительный директор (2 ур)"/>
        <s v="ЦФО Служба персонала (2 ур)"/>
        <s v="ЦФО Сервисная служба (1+2 ур)"/>
        <s v="ЦФО Производство №2 (1 ур)  "/>
        <s v="ЦФО Финслужба (2 ур)"/>
        <m/>
        <s v="ЦФО Биденко (2ур)" u="1"/>
        <s v="ЦФО Проект УРМЦ" u="1"/>
        <s v="ЦФО Слонько (2 ур)" u="1"/>
        <s v="ЦФО Щитов (1 уровень)" u="1"/>
        <s v="ЦФО Боровикова (1 ур)" u="1"/>
        <s v="ЦФО Хаишбашян (1 ур)" u="1"/>
        <s v="ЦФО Служба по РП (2 ур)" u="1"/>
        <s v="ЦФО МГС (1 ур)" u="1"/>
        <s v="ЦФО Филиппов (2 ур)" u="1"/>
        <s v="ЦФО Бобров (2 ур)" u="1"/>
        <s v="ЦФО Ком.служба" u="1"/>
        <s v="ЦФО Свистун (2 ур)" u="1"/>
        <s v="ЦФО Улановский (2 ур)" u="1"/>
        <s v="ЦФО Амурская легенда" u="1"/>
        <s v="ЦФО Хозуян (1 ур)" u="1"/>
        <s v="ЦФО Руководство (2 ур)" u="1"/>
        <s v="ЦФО Орлов (1 ур)" u="1"/>
        <s v="ЦФО Щитов (1 ур)" u="1"/>
        <s v="ЦФО Гапонова (2 ур)" u="1"/>
        <s v="ЦФО Махлин (1 ур)" u="1"/>
        <s v="ЦФО Главный метролог (1 ур)" u="1"/>
        <s v="ЦФО Дом Амураль ИБ" u="1"/>
      </sharedItems>
    </cacheField>
    <cacheField name="Компания" numFmtId="0">
      <sharedItems containsBlank="1"/>
    </cacheField>
    <cacheField name="Подразделение" numFmtId="0">
      <sharedItems containsBlank="1"/>
    </cacheField>
    <cacheField name="Вакансия" numFmtId="0">
      <sharedItems containsBlank="1" count="272">
        <s v="Инженер по МО"/>
        <s v="Инженер-разработчик (ПЛИС)"/>
        <s v="Архивариус"/>
        <s v="Инженер-конструктор"/>
        <s v="Заместитель ГК по метрологии"/>
        <s v="Инженер-разработчик РЭА"/>
        <s v="Инженер-программист"/>
        <s v="Руководитель проектов по сертификации"/>
        <s v="Менеджер по сопровождению"/>
        <s v="Ведущий менеджер"/>
        <s v="Менеджер по тендерам"/>
        <s v="Кассир-приемщик"/>
        <s v="Начальник СЦ"/>
        <s v="Контролер"/>
        <s v="Сварщик СО2"/>
        <s v="Главный сварщик"/>
        <s v="Начальник склада"/>
        <s v="Юрист"/>
        <s v="Инженер по качеству"/>
        <s v="Кладовщик"/>
        <s v="Инженер по ОПЭ"/>
        <s v="Специалист по развитию новых продуктов"/>
        <s v="Специалист по качеству разработок"/>
        <s v="Менеджер по управлению проектами"/>
        <s v="Инженер-технолог"/>
        <s v="Мастер чистоты"/>
        <s v="Программист 1С"/>
        <s v="Менеджер по закупкам"/>
        <s v="Директор по качеству"/>
        <s v="Контроль поста контроля"/>
        <s v="Специалист по охране труда"/>
        <s v="Разработчик электронных курсов"/>
        <s v="Инженер-метролог"/>
        <s v="Начальник отдела"/>
        <s v="Инженер-проектировщик АСУТП"/>
        <s v="Специалист по работе рекламациями"/>
        <s v="Офис-менеджер"/>
        <s v="Заместитель ГК по изделию"/>
        <s v="Помощник ГКИ"/>
        <s v="Сборщик"/>
        <s v="Слесарь-калибровщик"/>
        <s v="Менеджер по развитию"/>
        <s v="Слесарь МСР (дробеструйщик)"/>
        <s v="Бухгалтер"/>
        <s v="Заместитель ГК по проектной деятельности"/>
        <s v="Инженер-верификатор"/>
        <s v="Разработчик микроконтроллеров"/>
        <s v="Специалист по компьютерному зрению"/>
        <s v="Диспетчер производства"/>
        <m/>
        <s v="Диспетчер 1С" u="1"/>
        <s v="Программист 1С " u="1"/>
        <s v="Начальник отдела снабжения" u="1"/>
        <s v="Электрогазосварщик 5-6 разряд" u="1"/>
        <s v="Сборщик-монтажник" u="1"/>
        <s v="Инженер-прораммист SCADA" u="1"/>
        <s v="Технолог по монтажу плат" u="1"/>
        <s v="Специалист по организации мероприятий" u="1"/>
        <s v="Помощник ПСД" u="1"/>
        <s v="Ведущий инженер по качеству" u="1"/>
        <s v="Специалист по товарным запасам" u="1"/>
        <s v="Специалист по процессному управлению" u="1"/>
        <s v="Инженер входного контроля" u="1"/>
        <s v="Технолог по сборке и монтажу" u="1"/>
        <s v="Фрезеровщик" u="1"/>
        <s v="Оператор 1С " u="1"/>
        <s v="Менеджер по проектам" u="1"/>
        <s v="Инженер-наладчик АСУТП " u="1"/>
        <s v="Ведущий менеджер по маркетингу" u="1"/>
        <s v="Начальник контрольной службы и режима" u="1"/>
        <s v="Начальник ОТК2" u="1"/>
        <s v="Вежущий менеджер" u="1"/>
        <s v="Менеджер по продажам" u="1"/>
        <s v="Слесарь МСР 4 разряд" u="1"/>
        <s v="Менеджер по сопровождению " u="1"/>
        <s v="Специалист по техподдержке" u="1"/>
        <s v="Ведущий инженер-программист" u="1"/>
        <s v="Начальник отдела сертификации" u="1"/>
        <s v="Слесарь-ремонтник станочного оборудования" u="1"/>
        <s v="Оператор СПУ-5" u="1"/>
        <s v="Ведущий инженер ОТК " u="1"/>
        <s v="Коммерческий директор" u="1"/>
        <s v="Электрик" u="1"/>
        <s v="Токарь на ДИП 300" u="1"/>
        <s v="Продавец (Красноармейская)" u="1"/>
        <s v="Монтажник КИПиА" u="1"/>
        <s v="Инженер-разработчик РЭА (1категории)" u="1"/>
        <s v="Инженер-электроник РЭА (1 категории)" u="1"/>
        <s v="Конструктор по подготовке производства" u="1"/>
        <s v="Начальник ОМТО" u="1"/>
        <s v="Разработчик микроконтролерров" u="1"/>
        <s v="Продавец (Суворовский)" u="1"/>
        <s v="Специалист по рекламациям" u="1"/>
        <s v="Электрик " u="1"/>
        <s v="Лакировщик радиодеталей" u="1"/>
        <s v="Инженер-проектировщик БМИ" u="1"/>
        <s v="Начальник службы качества" u="1"/>
        <s v="Оператор 1С ERP" u="1"/>
        <s v="Помощник руководителя" u="1"/>
        <s v="Ведущий менеджер по персоналу" u="1"/>
        <s v="Портье" u="1"/>
        <s v="Логист " u="1"/>
        <s v="Бухгалтер " u="1"/>
        <s v="Старший портье" u="1"/>
        <s v="Инженер по ремонту" u="1"/>
        <s v="Специалист по сопровождению 1С:ERP" u="1"/>
        <s v="Технолог по механике" u="1"/>
        <s v="Менеджер по персоналу" u="1"/>
        <s v="Мастер участка" u="1"/>
        <s v="Диспетчер " u="1"/>
        <s v="Разнорабочий" u="1"/>
        <s v="Контролер поста охраны" u="1"/>
        <s v="Инженер-разработчик SCADA" u="1"/>
        <s v="Инженер выходного контроля" u="1"/>
        <s v="Инженер-наладчик АСУТП (SCADA)" u="1"/>
        <s v="Монтажник РЭА" u="1"/>
        <s v="Начальник ОТК-1" u="1"/>
        <s v="Специалист по промбез" u="1"/>
        <s v="Станочник широкого профиля 5 разряд" u="1"/>
        <s v="Руководитель сектора по качеству разработок" u="1"/>
        <s v="Повар" u="1"/>
        <s v="Продавец" u="1"/>
        <s v="Водитель-экспедитор" u="1"/>
        <s v="Менеджер по работе с клиентами" u="1"/>
        <s v="Ведущий инженер-разработчик АСУТП" u="1"/>
        <s v="Специалист по неразрушающему контролю" u="1"/>
        <s v="Слесарь-сборщик РЭА " u="1"/>
        <s v="Технолог по двигателям" u="1"/>
        <s v="Инженер-разработчик АСУТП" u="1"/>
        <s v="Заместитель главного бухгалтера КБ" u="1"/>
        <s v="Монтажник " u="1"/>
        <s v="Водитель автомобиля ВСД" u="1"/>
        <s v="Начальник службы контроля" u="1"/>
        <s v="Заместитель главного бухгалтера" u="1"/>
        <s v="Специалист по технической поддержке отделов продаж" u="1"/>
        <s v="Мойщик посуды" u="1"/>
        <s v="Начальник службы" u="1"/>
        <s v="Слесарь МСР" u="1"/>
        <s v="Инженер-электроник" u="1"/>
        <s v="Инженер по метрологии" u="1"/>
        <s v="Опратор ЧПУ" u="1"/>
        <s v="Инженер-электрик" u="1"/>
        <s v="Бухгалтер по з/плате" u="1"/>
        <s v="Оператор линии розлива" u="1"/>
        <s v="Программист С++" u="1"/>
        <s v="Специалист по тендерам" u="1"/>
        <s v="Инженер по сертификации" u="1"/>
        <s v="Логист" u="1"/>
        <s v="Юрисконсульт" u="1"/>
        <s v="Менеджер по обучению" u="1"/>
        <s v="Специалист по работе с рекламациями" u="1"/>
        <s v="Сварщик-аргонщик" u="1"/>
        <s v="Технолог по металлобработке" u="1"/>
        <s v="Инженер по обслуживанию зданий и сооружений" u="1"/>
        <s v="Грузчик" u="1"/>
        <s v="Наладчик оборудования" u="1"/>
        <s v="Руководитель сектора по подбору и адаптации" u="1"/>
        <s v="Руководитель проектов по развитию производства" u="1"/>
        <s v="Специалист по ИБ" u="1"/>
        <s v="Ведущий менедежр по продажам" u="1"/>
        <s v="Ведущий менеджер по продажам" u="1"/>
        <s v="Зам.ГК по метрологии" u="1"/>
        <s v="Сварщик на просветку" u="1"/>
        <s v="Кладовщик-комплектовщик" u="1"/>
        <s v="Менеджер по подбору персонала" u="1"/>
        <s v="Разработчик источников питания" u="1"/>
        <s v="Специалист по НК" u="1"/>
        <s v="Механик по выпуску а/м" u="1"/>
        <s v="Оператор ЧПУ" u="1"/>
        <s v="Уборщик помещений" u="1"/>
        <s v="Помощник сисадмина" u="1"/>
        <s v="Менеджер по снабжению" u="1"/>
        <s v="Экономист " u="1"/>
        <s v="Регулировщик РЭА" u="1"/>
        <s v="Мастер сборочного участка" u="1"/>
        <s v="Электрогазосварщик (аргонщик) 5 разряд" u="1"/>
        <s v="Слесарь- сборщик РЭА " u="1"/>
        <s v="Разработчик полетных микроконтроллеров" u="1"/>
        <s v="Диспетчер" u="1"/>
        <s v="Слесарь-сборщик РЭА" u="1"/>
        <s v="Заместитель РП по КТЧ" u="1"/>
        <s v="Бухгалтер-кассир" u="1"/>
        <s v="Оператор ЧПУ и плазмы" u="1"/>
        <s v="Специалист по технического поддержке продаж" u="1"/>
        <s v="Ведущий менеджер по тендерам" u="1"/>
        <s v="Начальник ремонтного участка" u="1"/>
        <s v="Старший инженер" u="1"/>
        <s v="Специалист по КДП" u="1"/>
        <s v="ученик опреатора ЧПУ" u="1"/>
        <s v="Начальник ОТК" u="1"/>
        <s v="Менеджер по продажам на маркетплейсах" u="1"/>
        <s v="Монтажник" u="1"/>
        <s v="HR-менеджер" u="1"/>
        <s v="Оператор ОТК" u="1"/>
        <s v="Начальник производства " u="1"/>
        <s v="Слесарь КИПиА (Инженер-электронщик )" u="1"/>
        <s v="Инженер СВЧ" u="1"/>
        <s v="Инженер КИПиА" u="1"/>
        <s v="Оператор печати" u="1"/>
        <s v="Разработчик канал связи" u="1"/>
        <s v="Руководитель проекта по АСУТП" u="1"/>
        <s v="Оператор 1С" u="1"/>
        <s v="Менеджер по логистике" u="1"/>
        <s v="Начальник сервисного центра" u="1"/>
        <s v="Горничная " u="1"/>
        <s v="Специалист по ТП" u="1"/>
        <s v="Начальник отдела МК" u="1"/>
        <s v="Руководитель проекта по изготовлению" u="1"/>
        <s v="Водитель " u="1"/>
        <s v="Ведущий менеджер " u="1"/>
        <s v="Заместитель директора по развитию производства" u="1"/>
        <s v="Директор по производству" u="1"/>
        <s v="Менеджер по развитию (1 категории)" u="1"/>
        <s v="Менеджер по развитию (2 категории)" u="1"/>
        <s v="Инженер АСУТП" u="1"/>
        <s v="Инженер-электронщик" u="1"/>
        <s v="Управляющий гостиницей" u="1"/>
        <s v="Станочник широкого профиля" u="1"/>
        <s v="Сварщик аргоно-дуговой сварки" u="1"/>
        <s v="Технолог по электромонтажу и сборки" u="1"/>
        <s v="Продавец Суворовский)" u="1"/>
        <s v="Посудомойщик" u="1"/>
        <s v="Техник" u="1"/>
        <s v="Токарь " u="1"/>
        <s v="Старшая горничная" u="1"/>
        <s v="Менеджер по рекламе" u="1"/>
        <s v="Менеджер по сертификации" u="1"/>
        <s v="Ведущий менеджер по закупкам" u="1"/>
        <s v="Помощник юриста" u="1"/>
        <s v="Инженер-тестировщик" u="1"/>
        <s v="Экономист" u="1"/>
        <s v="Техник по качеству" u="1"/>
        <s v="Руководитель проекта" u="1"/>
        <s v="Кладовщик (склад металла)" u="1"/>
        <s v="Технолог по электромонтажу" u="1"/>
        <s v="Менеджер СМК" u="1"/>
        <s v="Главный бухгалтер" u="1"/>
        <s v="Специалист по технической поддержке продаж" u="1"/>
        <s v="Слесарь по ремонту и обслуживанию оборудования" u="1"/>
        <s v="Ведущий экономист" u="1"/>
        <s v="Бухгалтер  " u="1"/>
        <s v="Разработчик РЭА" u="1"/>
        <s v="Руководитель сектора" u="1"/>
        <s v="Инженер по подготовке производства" u="1"/>
        <s v="Менеджер по рекламе/event-менеджер" u="1"/>
        <s v="Упаковщик" u="1"/>
        <s v="Ведущий инеженер " u="1"/>
        <s v="Контролер поста контроля" u="1"/>
        <s v="Специалист по технической поддержке " u="1"/>
        <s v="Опреатор ЧПУ" u="1"/>
        <s v="Начальник производства" u="1"/>
        <s v="Начальник отдела продаж" u="1"/>
        <s v="Менеджер по подбору и адаптации" u="1"/>
        <s v="Менеджер по сопровождению продаж" u="1"/>
        <s v="Сборщик " u="1"/>
        <s v="Кладовщик  " u="1"/>
        <s v="Охранник" u="1"/>
        <s v="Директор по логистике" u="1"/>
        <s v="Руководитель проектов" u="1"/>
        <s v="Водитель категория ВСД" u="1"/>
        <s v="Специалист по технического поддержке" u="1"/>
        <s v="Токарь" u="1"/>
        <s v="Дизайнер" u="1"/>
        <s v="Официант" u="1"/>
        <s v="Оператор склада" u="1"/>
        <s v="Начальник отдела " u="1"/>
        <s v="Бригадир сборщиков" u="1"/>
        <s v="Слесарь механосборочных работ" u="1"/>
        <s v="Горничная" u="1"/>
        <s v="Заместитель главного конструктора" u="1"/>
        <s v="Техник КИПиА" u="1"/>
        <s v="Инженер-проектировщик" u="1"/>
      </sharedItems>
    </cacheField>
    <cacheField name="Месяц открытия" numFmtId="0">
      <sharedItems containsBlank="1" count="13">
        <s v="Январь"/>
        <s v="Февраль"/>
        <m/>
        <s v="Май" u="1"/>
        <s v="Апрель" u="1"/>
        <s v="Ноябрь" u="1"/>
        <s v="Декабрь" u="1"/>
        <s v="Октябрь" u="1"/>
        <s v="Август" u="1"/>
        <s v="Сентябрь" u="1"/>
        <s v="Июль" u="1"/>
        <s v="Июнь" u="1"/>
        <s v="Март" u="1"/>
      </sharedItems>
    </cacheField>
    <cacheField name="Месяц закрытия план" numFmtId="0">
      <sharedItems containsBlank="1" count="12">
        <s v="Февраль"/>
        <s v="Апрель"/>
        <s v="Июль"/>
        <s v="Март"/>
        <s v="Май"/>
        <m/>
        <s v="Ноябрь" u="1"/>
        <s v="Декабрь" u="1"/>
        <s v="Октябрь" u="1"/>
        <s v="Август" u="1"/>
        <s v="Сентябрь" u="1"/>
        <s v="Июнь" u="1"/>
      </sharedItems>
    </cacheField>
    <cacheField name="Месяц закрытия факт" numFmtId="0">
      <sharedItems containsDate="1" containsBlank="1" containsMixedTypes="1" minDate="2020-01-28T00:00:00" maxDate="2020-01-29T00:00:00" count="14">
        <s v="Февраль"/>
        <m/>
        <s v="Январь"/>
        <s v="Март"/>
        <s v="Май" u="1"/>
        <d v="2020-01-28T00:00:00" u="1"/>
        <s v="Апрель" u="1"/>
        <s v="Ноябрь" u="1"/>
        <s v="Декабрь" u="1"/>
        <s v="Октябрь" u="1"/>
        <s v="Август" u="1"/>
        <s v="Сентябрь" u="1"/>
        <s v="Июль" u="1"/>
        <s v="Июнь" u="1"/>
      </sharedItems>
    </cacheField>
    <cacheField name="Дата открытия" numFmtId="0">
      <sharedItems containsNonDate="0" containsDate="1" containsString="0" containsBlank="1" minDate="2025-01-09T00:00:00" maxDate="2025-02-26T00:00:00"/>
    </cacheField>
    <cacheField name="Дата закрытия плановая" numFmtId="0">
      <sharedItems containsSemiMixedTypes="0" containsNonDate="0" containsDate="1" containsString="0" minDate="1899-12-30T00:00:00" maxDate="2025-07-02T00:00:00"/>
    </cacheField>
    <cacheField name="Дата закрытия факт" numFmtId="0">
      <sharedItems containsNonDate="0" containsDate="1" containsString="0" containsBlank="1" minDate="2025-01-15T00:00:00" maxDate="2025-03-11T00:00:00"/>
    </cacheField>
    <cacheField name="Количество дней в работе" numFmtId="0">
      <sharedItems containsSemiMixedTypes="0" containsString="0" containsNumber="1" containsInteger="1" minValue="-45712" maxValue="55"/>
    </cacheField>
    <cacheField name="Срок закрытия плановый" numFmtId="0">
      <sharedItems containsString="0" containsBlank="1" containsNumber="1" containsInteger="1" minValue="35" maxValue="168"/>
    </cacheField>
    <cacheField name="Отклонения от срока" numFmtId="0">
      <sharedItems containsSemiMixedTypes="0" containsString="0" containsNumber="1" containsInteger="1" minValue="-13" maxValue="45839"/>
    </cacheField>
    <cacheField name="Кандидат (ФИО)" numFmtId="0">
      <sharedItems containsBlank="1"/>
    </cacheField>
    <cacheField name="Дата увольнения" numFmtId="0">
      <sharedItems containsNonDate="0" containsString="0" containsBlank="1"/>
    </cacheField>
    <cacheField name="Кол-во рабочих дней" numFmtId="0">
      <sharedItems containsNonDate="0" containsString="0" containsBlank="1"/>
    </cacheField>
    <cacheField name="Рекрутер" numFmtId="0">
      <sharedItems containsBlank="1" count="27">
        <s v="Ворончихина Елена"/>
        <s v="Зуйкина Анна"/>
        <s v="Лаврикова Лариса"/>
        <s v="Александрова Влада"/>
        <s v="Камышанова Мария"/>
        <s v="Камышанова Мария "/>
        <m/>
        <s v="Межуева О.А." u="1"/>
        <s v="Окольничникова А.П." u="1"/>
        <s v="Фриланс" u="1"/>
        <s v="Белых Лилия" u="1"/>
        <s v="Хухлаева Ольга" u="1"/>
        <s v="Шулика А.С." u="1"/>
        <s v="Александрова В.В." u="1"/>
        <s v="Биденко Е.Г." u="1"/>
        <s v="Ворончихина Е.Н." u="1"/>
        <s v="Лавркова Л.А." u="1"/>
        <s v="Лаврикова Л.А." u="1"/>
        <s v="Деревянко Мила" u="1"/>
        <s v="Чепижко М." u="1"/>
        <s v="Агашкова Е." u="1"/>
        <s v="Биденко Елена" u="1"/>
        <s v="Чепижко М.В." u="1"/>
        <s v="Хухлаева О.Н." u="1"/>
        <s v="Леонтьева А.В." u="1"/>
        <s v="Зуйкина А.Г." u="1"/>
        <s v="Заказчик закрыл самостоятельно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Лаврикова Лариса Александровна" refreshedDate="45719.556379166665" createdVersion="1" refreshedVersion="4" recordCount="169" upgradeOnRefresh="1">
  <cacheSource type="worksheet">
    <worksheetSource ref="C7:T176" sheet="Вакансии" r:id="rId2"/>
  </cacheSource>
  <cacheFields count="18">
    <cacheField name="Город" numFmtId="0">
      <sharedItems containsBlank="1"/>
    </cacheField>
    <cacheField name="ЦФО" numFmtId="0">
      <sharedItems containsBlank="1" count="30">
        <s v="ЦФО Заготовительный"/>
        <s v="ЦФО КБ (2 ур)"/>
        <s v="ЦФО Милака (1 ур)"/>
        <s v="Менеджер по управлению проектами"/>
        <s v="Программист 1С"/>
        <s v="Инженер-проектировщик АСУТП"/>
        <s v="ЦФО Ком.служба (2 ур)"/>
        <s v="Разработчик электронных курсов"/>
        <s v="Офис-менеджер (Москва)"/>
        <s v="Помощник ГКИ"/>
        <s v="Заместитель ГК по проектной деятельности"/>
        <s v="Кладовщик"/>
        <s v="ЦФО Производство №1 (1 ур)"/>
        <s v="ЦФО Производство БМИ (1 ур)"/>
        <s v="ЦФО Служба безопасности (2 ур)"/>
        <s v="ЦФО Служба качества (2 ур)"/>
        <s v="ЦФО Служба логистики (2 ур)"/>
        <s v="ЦФО Служба развития (2 ур)"/>
        <s v="ЦФО Амурская легенда (1 ур)"/>
        <s v="ЦФО Исполнительный директор (2 ур)"/>
        <s v="ЦФО Служба персонала (2 ур)"/>
        <s v="ЦФО Сервисная служба (1+2 ур)"/>
        <s v="ЦФО Производство №2 (1 ур)  "/>
        <s v="ЦФО Финслужба (2 ур)"/>
        <m/>
        <s v="ЦФО Служба по РП (2 ур)" u="1"/>
        <s v="ЦФО МГС (1 ур)" u="1"/>
        <s v="ЦФО Руководство (2 ур)" u="1"/>
        <s v="ЦФО Главный метролог (1 ур)" u="1"/>
        <s v="ЦФО Дом Амураль ИБ" u="1"/>
      </sharedItems>
    </cacheField>
    <cacheField name="Компания" numFmtId="0">
      <sharedItems containsBlank="1"/>
    </cacheField>
    <cacheField name="Подразделение" numFmtId="0">
      <sharedItems containsBlank="1"/>
    </cacheField>
    <cacheField name="Вакансия" numFmtId="0">
      <sharedItems containsBlank="1" count="127">
        <s v="Инженер по МО"/>
        <s v="Инженер-разработчик (ПЛИС)"/>
        <s v="Архивариус"/>
        <s v="Инженер-конструктор"/>
        <s v="Заместитель ГК по метрологии"/>
        <s v="Инженер-разработчик РЭА"/>
        <s v="Инженер-программист"/>
        <s v="Руководитель проектов по сертификации"/>
        <s v="Менеджер по сопровождению"/>
        <s v="Ведущий менеджер"/>
        <s v="Менеджер по тендерам"/>
        <s v="Кассир-приемщик"/>
        <s v="Начальник СЦ"/>
        <s v="Контролер"/>
        <s v="Сварщик СО2"/>
        <s v="Главный сварщик"/>
        <s v="Начальник склада"/>
        <s v="Юрист"/>
        <s v="Инженер по качеству"/>
        <s v="Кладовщик"/>
        <s v="Инженер по ОПЭ"/>
        <s v="Специалист по развитию новых продуктов"/>
        <s v="Специалист по качеству разработок"/>
        <s v="Менеджер по управлению проектами"/>
        <s v="Инженер-технолог"/>
        <s v="Мастер чистоты"/>
        <s v="Программист 1С"/>
        <s v="Менеджер по закупкам"/>
        <s v="Директор по качеству"/>
        <s v="Контроль поста контроля"/>
        <s v="Специалист по охране труда"/>
        <s v="Разработчик электронных курсов"/>
        <s v="Инженер-метролог"/>
        <s v="Начальник отдела"/>
        <s v="Инженер-проектировщик АСУТП"/>
        <s v="Специалист по работе рекламациями"/>
        <s v="Офис-менеджер"/>
        <s v="Заместитель ГК по изделию"/>
        <s v="Помощник ГКИ"/>
        <s v="Сборщик"/>
        <s v="Слесарь-калибровщик"/>
        <s v="Менеджер по развитию"/>
        <s v="Слесарь МСР (дробеструйщик)"/>
        <s v="Бухгалтер"/>
        <s v="Заместитель ГК по проектной деятельности"/>
        <s v="Инженер-верификатор"/>
        <s v="Разработчик микроконтроллеров"/>
        <s v="Специалист по компьютерному зрению"/>
        <s v="Диспетчер производства"/>
        <m/>
        <s v="Программист 1С " u="1"/>
        <s v="Помощник ПСД" u="1"/>
        <s v="Инженер-наладчик АСУТП " u="1"/>
        <s v="Слесарь МСР 4 разряд" u="1"/>
        <s v="Специалист по техподдержке" u="1"/>
        <s v="Начальник отдела сертификации" u="1"/>
        <s v="Слесарь-ремонтник станочного оборудования" u="1"/>
        <s v="Электрик" u="1"/>
        <s v="Конструктор по подготовке производства" u="1"/>
        <s v="Разработчик микроконтролерров" u="1"/>
        <s v="Инженер-проектировщик БМИ" u="1"/>
        <s v="Портье" u="1"/>
        <s v="Технолог по механике" u="1"/>
        <s v="Разнорабочий" u="1"/>
        <s v="Инженер-разработчик SCADA" u="1"/>
        <s v="Инженер-наладчик АСУТП (SCADA)" u="1"/>
        <s v="Монтажник РЭА" u="1"/>
        <s v="Специалист по промбез" u="1"/>
        <s v="Станочник широкого профиля 5 разряд" u="1"/>
        <s v="Руководитель сектора по качеству разработок" u="1"/>
        <s v="Повар" u="1"/>
        <s v="Водитель-экспедитор" u="1"/>
        <s v="Технолог по двигателям" u="1"/>
        <s v="Инженер-разработчик АСУТП" u="1"/>
        <s v="Водитель автомобиля ВСД" u="1"/>
        <s v="Заместитель главного бухгалтера" u="1"/>
        <s v="Инженер-электроник" u="1"/>
        <s v="Инженер по метрологии" u="1"/>
        <s v="Оператор линии розлива" u="1"/>
        <s v="Программист С++" u="1"/>
        <s v="Логист" u="1"/>
        <s v="Юрисконсульт" u="1"/>
        <s v="Технолог по металлобработке" u="1"/>
        <s v="Наладчик ЧПУ" u="1"/>
        <s v="Наладчик оборудования" u="1"/>
        <s v="Руководитель сектора по подбору и адаптации" u="1"/>
        <s v="Специалист по ИБ" u="1"/>
        <s v="Ведущий менеджер по продажам" u="1"/>
        <s v="Зам.ГК по метрологии" u="1"/>
        <s v="Кладовщик-комплектовщик" u="1"/>
        <s v="Разработчик источников питания" u="1"/>
        <s v="Специалист по НК" u="1"/>
        <s v="Механик по выпуску а/м" u="1"/>
        <s v="Оператор ЧПУ" u="1"/>
        <s v="Уборщик помещений" u="1"/>
        <s v="Помощник сисадмина" u="1"/>
        <s v="Менеджер по снабжению" u="1"/>
        <s v="Электрогазосварщик (аргонщик) 5 разряд" u="1"/>
        <s v="Оператор ЧПУ и плазмы" u="1"/>
        <s v="Специалист по КДП" u="1"/>
        <s v="Менеджер по продажам на маркетплейсах" u="1"/>
        <s v="Монтажник" u="1"/>
        <s v="HR-менеджер" u="1"/>
        <s v="Слесарь КИПиА (Инженер-электронщик )" u="1"/>
        <s v="Инженер СВЧ" u="1"/>
        <s v="Разработчик канал связи" u="1"/>
        <s v="Менеджер по логистике" u="1"/>
        <s v="Директор по производству" u="1"/>
        <s v="Инженер АСУТП" u="1"/>
        <s v="Технолог по электромонтажу и сборки" u="1"/>
        <s v="Посудомойщик" u="1"/>
        <s v="Токарь " u="1"/>
        <s v="Менеджер по сертификации" u="1"/>
        <s v="Слесарь КИПиА " u="1"/>
        <s v="Экономист" u="1"/>
        <s v="Техник по качеству" u="1"/>
        <s v="Руководитель проекта" u="1"/>
        <s v="Главный бухгалтер" u="1"/>
        <s v="Руководитель сектора" u="1"/>
        <s v="Инженер по подготовке производства" u="1"/>
        <s v="Контролер поста контроля" u="1"/>
        <s v="Начальник производства" u="1"/>
        <s v="Менеджер по подбору и адаптации" u="1"/>
        <s v="Охранник" u="1"/>
        <s v="Водитель категория ВСД" u="1"/>
        <s v="Официант" u="1"/>
        <s v="Техник КИПиА" u="1"/>
      </sharedItems>
    </cacheField>
    <cacheField name="Месяц открытия" numFmtId="0">
      <sharedItems containsBlank="1" count="13">
        <s v="Январь"/>
        <s v="Февраль"/>
        <m/>
        <s v="Май" u="1"/>
        <s v="Апрель" u="1"/>
        <s v="Ноябрь" u="1"/>
        <s v="Декабрь" u="1"/>
        <s v="Октябрь" u="1"/>
        <s v="Август" u="1"/>
        <s v="Сентябрь" u="1"/>
        <s v="Июль" u="1"/>
        <s v="Июнь" u="1"/>
        <s v="Март" u="1"/>
      </sharedItems>
    </cacheField>
    <cacheField name="Месяц закрытия план" numFmtId="0">
      <sharedItems containsBlank="1" count="11">
        <s v="Февраль"/>
        <s v="Апрель"/>
        <s v="Июль"/>
        <s v="Март"/>
        <s v="Май"/>
        <m/>
        <s v="Декабрь" u="1"/>
        <s v="Октябрь" u="1"/>
        <s v="Август" u="1"/>
        <s v="Сентябрь" u="1"/>
        <s v="Июнь" u="1"/>
      </sharedItems>
    </cacheField>
    <cacheField name="Месяц закрытия факт" numFmtId="0">
      <sharedItems containsBlank="1" count="12">
        <s v="Февраль"/>
        <m/>
        <s v="Январь"/>
        <s v="Март"/>
        <s v="Май" u="1"/>
        <s v="Апрель" u="1"/>
        <s v="Ноябрь" u="1"/>
        <s v="Октябрь" u="1"/>
        <s v="Август" u="1"/>
        <s v="Сентябрь" u="1"/>
        <s v="Июль" u="1"/>
        <s v="Июнь" u="1"/>
      </sharedItems>
    </cacheField>
    <cacheField name="Дата открытия" numFmtId="0">
      <sharedItems containsNonDate="0" containsDate="1" containsString="0" containsBlank="1" minDate="2025-01-09T00:00:00" maxDate="2025-02-26T00:00:00"/>
    </cacheField>
    <cacheField name="Дата закрытия плановая" numFmtId="0">
      <sharedItems containsSemiMixedTypes="0" containsNonDate="0" containsDate="1" containsString="0" minDate="1899-12-30T00:00:00" maxDate="2025-07-02T00:00:00"/>
    </cacheField>
    <cacheField name="Дата закрытия факт" numFmtId="0">
      <sharedItems containsNonDate="0" containsDate="1" containsString="0" containsBlank="1" minDate="2025-01-15T00:00:00" maxDate="2025-03-11T00:00:00"/>
    </cacheField>
    <cacheField name="Количество дней в работе" numFmtId="0">
      <sharedItems containsSemiMixedTypes="0" containsString="0" containsNumber="1" containsInteger="1" minValue="-45712" maxValue="55"/>
    </cacheField>
    <cacheField name="Срок закрытия плановый" numFmtId="0">
      <sharedItems containsString="0" containsBlank="1" containsNumber="1" containsInteger="1" minValue="35" maxValue="168"/>
    </cacheField>
    <cacheField name="Отклонения от срока" numFmtId="0">
      <sharedItems containsSemiMixedTypes="0" containsString="0" containsNumber="1" containsInteger="1" minValue="-13" maxValue="45839"/>
    </cacheField>
    <cacheField name="Кандидат (ФИО)" numFmtId="0">
      <sharedItems containsBlank="1"/>
    </cacheField>
    <cacheField name="Дата увольнения" numFmtId="0">
      <sharedItems containsNonDate="0" containsString="0" containsBlank="1"/>
    </cacheField>
    <cacheField name="Кол-во рабочих дней" numFmtId="0">
      <sharedItems containsNonDate="0" containsString="0" containsBlank="1"/>
    </cacheField>
    <cacheField name="Рекрутер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Леонтьева Арина Владимировна" refreshedDate="46150.65544652778" createdVersion="1" refreshedVersion="4" recordCount="79" upgradeOnRefresh="1">
  <cacheSource type="worksheet">
    <worksheetSource ref="A7:T86" sheet="Вакансии"/>
  </cacheSource>
  <cacheFields count="20">
    <cacheField name="Причина появления" numFmtId="0">
      <sharedItems/>
    </cacheField>
    <cacheField name="АВС" numFmtId="0">
      <sharedItems count="2">
        <s v="А"/>
        <s v="В"/>
      </sharedItems>
    </cacheField>
    <cacheField name="Город" numFmtId="0">
      <sharedItems/>
    </cacheField>
    <cacheField name="ЦФО" numFmtId="0">
      <sharedItems/>
    </cacheField>
    <cacheField name="Компания" numFmtId="0">
      <sharedItems count="5">
        <s v="НПО Турбулентность-Дон"/>
        <s v="Амурская легенда"/>
        <s v="ИП Корниенко"/>
        <s v="Метрогазсервис"/>
        <s v="Гостиница"/>
      </sharedItems>
    </cacheField>
    <cacheField name="Подразделение" numFmtId="0">
      <sharedItems count="38">
        <s v="ОПБМИ"/>
        <s v="Служба качества"/>
        <s v="Отдел сопровождение 1С"/>
        <s v="Производство БМИ"/>
        <s v="АХО"/>
        <s v="Бухгалтерия"/>
        <s v="Транспортная служба"/>
        <s v="Складской комплекс"/>
        <s v="Служба развития"/>
        <s v="ОДП"/>
        <s v="Холдинги 1"/>
        <s v="Служба безопасности"/>
        <s v="Монтажный участок"/>
        <s v="ОМТО"/>
        <s v="Сектор рекламы и PR"/>
        <s v="Конструкторское бюро"/>
        <s v="Производство  "/>
        <s v="Производство"/>
        <s v="Отдел продаж"/>
        <s v="Коммерческая служба"/>
        <s v="ОПМУ"/>
        <s v="ГСПП"/>
        <s v="Служба логистики"/>
        <s v="ВЭД"/>
        <s v="Сектор промышленной безопасности"/>
        <s v="Сервисная служба"/>
        <s v="Участок сборки"/>
        <s v="Участок монтажа электронных плат"/>
        <s v="Офис Метрогазсервис"/>
        <s v="Управление делами"/>
        <s v="СЦ Азов"/>
        <s v="Служба качества разработок"/>
        <s v="Тендерный офис"/>
        <s v="Экономический отдел"/>
        <s v="Производство №1"/>
        <s v="Механический цех"/>
        <s v="Хозяйственная служба"/>
        <s v="СПиР"/>
      </sharedItems>
    </cacheField>
    <cacheField name="Вакансия" numFmtId="0">
      <sharedItems/>
    </cacheField>
    <cacheField name="Месяц открытия" numFmtId="0">
      <sharedItems count="4">
        <s v="Январь"/>
        <s v="Февраль"/>
        <s v="Март"/>
        <s v="Апрель"/>
      </sharedItems>
    </cacheField>
    <cacheField name="Месяц закрытия план" numFmtId="0">
      <sharedItems count="7">
        <s v="Ноябрь"/>
        <s v="Декабрь"/>
        <s v="Февраль"/>
        <s v="Март"/>
        <s v="Апрель"/>
        <s v="Июнь"/>
        <s v="Май"/>
      </sharedItems>
    </cacheField>
    <cacheField name="Месяц закрытия факт" numFmtId="0">
      <sharedItems containsBlank="1" count="6">
        <s v="Январь"/>
        <s v="Февраль"/>
        <s v="Март"/>
        <m/>
        <s v="Апрель"/>
        <s v="Май"/>
      </sharedItems>
    </cacheField>
    <cacheField name="Дата открытия" numFmtId="0">
      <sharedItems containsSemiMixedTypes="0" containsNonDate="0" containsDate="1" containsString="0" minDate="2026-01-12T00:00:00" maxDate="2026-04-28T00:00:00"/>
    </cacheField>
    <cacheField name="Дата закрытия плановая" numFmtId="0">
      <sharedItems containsSemiMixedTypes="0" containsNonDate="0" containsDate="1" containsString="0" minDate="2026-02-14T00:00:00" maxDate="2026-06-09T00:00:00"/>
    </cacheField>
    <cacheField name="Дата закрытия факт" numFmtId="0">
      <sharedItems containsNonDate="0" containsDate="1" containsString="0" containsBlank="1" minDate="2025-12-16T00:00:00" maxDate="2026-05-19T00:00:00"/>
    </cacheField>
    <cacheField name="Количество дней в работе" numFmtId="0">
      <sharedItems containsString="0" containsBlank="1" containsNumber="1" containsInteger="1" minValue="-46139" maxValue="77"/>
    </cacheField>
    <cacheField name="Срок закрытия плановый" numFmtId="0">
      <sharedItems containsSemiMixedTypes="0" containsString="0" containsNumber="1" containsInteger="1" minValue="21" maxValue="84"/>
    </cacheField>
    <cacheField name="Отклонения от срока" numFmtId="0">
      <sharedItems containsSemiMixedTypes="0" containsString="0" containsNumber="1" containsInteger="1" minValue="-35" maxValue="46181"/>
    </cacheField>
    <cacheField name="Кандидат (ФИО)" numFmtId="0">
      <sharedItems containsBlank="1"/>
    </cacheField>
    <cacheField name="Дата увольнения" numFmtId="0">
      <sharedItems containsNonDate="0" containsString="0" containsBlank="1"/>
    </cacheField>
    <cacheField name="Кол-во дней" numFmtId="0">
      <sharedItems containsSemiMixedTypes="0" containsString="0" containsNumber="1" containsInteger="1" minValue="-46160" maxValue="0"/>
    </cacheField>
    <cacheField name="Рекрутер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5">
  <r>
    <s v="Ростов-на-Дону"/>
    <x v="0"/>
    <s v="ИП Магакян Е.И."/>
    <s v="ИТЦ"/>
    <x v="0"/>
    <x v="0"/>
    <x v="0"/>
    <x v="0"/>
    <d v="2025-01-14T00:00:00"/>
    <d v="2025-02-25T00:00:00"/>
    <d v="2025-02-20T00:00:00"/>
    <n v="37"/>
    <n v="42"/>
    <n v="5"/>
    <s v="изменение требований заказчиком"/>
    <m/>
    <m/>
    <x v="0"/>
  </r>
  <r>
    <s v="Ростов-на-Дону"/>
    <x v="0"/>
    <s v="ИП Магакян Е.И."/>
    <s v="ИТЦ"/>
    <x v="1"/>
    <x v="0"/>
    <x v="0"/>
    <x v="0"/>
    <d v="2025-01-14T00:00:00"/>
    <d v="2025-02-25T00:00:00"/>
    <d v="2025-02-20T00:00:00"/>
    <n v="37"/>
    <n v="42"/>
    <n v="5"/>
    <s v="изменение требований заказчиком"/>
    <m/>
    <m/>
    <x v="0"/>
  </r>
  <r>
    <s v="Ростов-на-Дону"/>
    <x v="1"/>
    <s v="НПО Турбулентность-Дон"/>
    <s v="Конструкторский отдел"/>
    <x v="2"/>
    <x v="0"/>
    <x v="0"/>
    <x v="0"/>
    <d v="2025-01-14T00:00:00"/>
    <d v="2025-02-25T00:00:00"/>
    <d v="2025-02-11T00:00:00"/>
    <n v="28"/>
    <n v="42"/>
    <n v="14"/>
    <s v="Яшина Кристина"/>
    <m/>
    <m/>
    <x v="1"/>
  </r>
  <r>
    <s v="Ростов-на-Дону"/>
    <x v="2"/>
    <s v="НПО Турбулентность-Дон"/>
    <s v="Конструкторский отдел"/>
    <x v="3"/>
    <x v="0"/>
    <x v="1"/>
    <x v="1"/>
    <d v="2025-01-14T00:00:00"/>
    <d v="2025-04-08T00:00:00"/>
    <m/>
    <n v="-45671"/>
    <n v="84"/>
    <n v="45755"/>
    <s v="Коваленко Максим"/>
    <m/>
    <m/>
    <x v="0"/>
  </r>
  <r>
    <s v="Ростов-на-Дону"/>
    <x v="1"/>
    <s v="НПО Турбулентность-Дон"/>
    <s v="Конструкторское бюро"/>
    <x v="4"/>
    <x v="0"/>
    <x v="1"/>
    <x v="1"/>
    <d v="2025-01-14T00:00:00"/>
    <d v="2025-04-08T00:00:00"/>
    <m/>
    <n v="-45671"/>
    <n v="84"/>
    <n v="45755"/>
    <m/>
    <m/>
    <m/>
    <x v="0"/>
  </r>
  <r>
    <s v="Ростов-на-Дону"/>
    <x v="3"/>
    <s v="Конструкторское бюро"/>
    <s v="Конструкторское бюро"/>
    <x v="5"/>
    <x v="0"/>
    <x v="1"/>
    <x v="0"/>
    <d v="2025-01-14T00:00:00"/>
    <d v="2025-04-08T00:00:00"/>
    <d v="2025-02-03T00:00:00"/>
    <n v="20"/>
    <n v="84"/>
    <n v="64"/>
    <s v="Антонов Даниил"/>
    <m/>
    <m/>
    <x v="2"/>
  </r>
  <r>
    <s v="Ростов-на-Дону"/>
    <x v="1"/>
    <s v="НПО Турбулентность-Дон"/>
    <s v="Конструкторское бюро"/>
    <x v="5"/>
    <x v="0"/>
    <x v="1"/>
    <x v="1"/>
    <d v="2025-01-14T00:00:00"/>
    <d v="2025-04-08T00:00:00"/>
    <m/>
    <n v="-45671"/>
    <n v="84"/>
    <n v="45755"/>
    <m/>
    <m/>
    <m/>
    <x v="2"/>
  </r>
  <r>
    <s v="Ростов-на-Дону"/>
    <x v="4"/>
    <s v="Отдел сопровождение 1С"/>
    <s v="Отдел ПО и АСУ"/>
    <x v="6"/>
    <x v="0"/>
    <x v="0"/>
    <x v="0"/>
    <d v="2025-01-14T00:00:00"/>
    <d v="2025-02-25T00:00:00"/>
    <d v="2025-02-03T00:00:00"/>
    <n v="20"/>
    <n v="42"/>
    <n v="22"/>
    <s v="Колесников Владислав"/>
    <m/>
    <m/>
    <x v="0"/>
  </r>
  <r>
    <s v="Ростов-на-Дону"/>
    <x v="5"/>
    <s v="Производство БМИ"/>
    <s v="Отдел сертификации"/>
    <x v="7"/>
    <x v="0"/>
    <x v="0"/>
    <x v="2"/>
    <d v="2025-01-14T00:00:00"/>
    <d v="2025-02-25T00:00:00"/>
    <d v="2025-01-21T00:00:00"/>
    <n v="7"/>
    <n v="42"/>
    <n v="35"/>
    <s v="Якушев Александр"/>
    <m/>
    <m/>
    <x v="1"/>
  </r>
  <r>
    <s v="Ростов-на-Дону"/>
    <x v="6"/>
    <s v="НПО Турбулентность-Дон"/>
    <s v="Газпром"/>
    <x v="8"/>
    <x v="0"/>
    <x v="0"/>
    <x v="1"/>
    <d v="2025-01-14T00:00:00"/>
    <d v="2025-02-25T00:00:00"/>
    <d v="2025-03-10T00:00:00"/>
    <n v="55"/>
    <n v="42"/>
    <n v="-13"/>
    <s v="Яцык Елена"/>
    <m/>
    <m/>
    <x v="3"/>
  </r>
  <r>
    <s v="Ростов-на-Дону"/>
    <x v="6"/>
    <s v="НПО Турбулентность-Дон"/>
    <s v="ОДППО"/>
    <x v="9"/>
    <x v="0"/>
    <x v="1"/>
    <x v="1"/>
    <d v="2025-01-14T00:00:00"/>
    <d v="2025-04-08T00:00:00"/>
    <m/>
    <n v="-45671"/>
    <n v="84"/>
    <n v="45755"/>
    <m/>
    <m/>
    <m/>
    <x v="3"/>
  </r>
  <r>
    <s v="Ростов-на-Дону"/>
    <x v="7"/>
    <s v="Служба персонала"/>
    <s v="ОПБМИ"/>
    <x v="9"/>
    <x v="0"/>
    <x v="1"/>
    <x v="2"/>
    <d v="2025-01-14T00:00:00"/>
    <d v="2025-02-25T00:00:00"/>
    <d v="2025-01-27T00:00:00"/>
    <n v="13"/>
    <n v="42"/>
    <n v="29"/>
    <s v="Билас Александр"/>
    <m/>
    <m/>
    <x v="3"/>
  </r>
  <r>
    <s v="Ростов-на-Дону"/>
    <x v="6"/>
    <s v="НПО Турбулентность-Дон"/>
    <s v="ОПБМИ"/>
    <x v="9"/>
    <x v="0"/>
    <x v="2"/>
    <x v="1"/>
    <d v="2025-01-14T00:00:00"/>
    <d v="2025-07-01T00:00:00"/>
    <m/>
    <n v="-45671"/>
    <n v="168"/>
    <n v="45839"/>
    <m/>
    <m/>
    <m/>
    <x v="3"/>
  </r>
  <r>
    <s v="Ростов-на-Дону"/>
    <x v="8"/>
    <s v="Управление делами"/>
    <s v="ОПБМИ"/>
    <x v="8"/>
    <x v="0"/>
    <x v="0"/>
    <x v="0"/>
    <d v="2025-01-14T00:00:00"/>
    <d v="2025-02-25T00:00:00"/>
    <d v="2025-02-05T00:00:00"/>
    <n v="22"/>
    <n v="42"/>
    <n v="20"/>
    <s v="Мартыненко Анастасия"/>
    <m/>
    <m/>
    <x v="3"/>
  </r>
  <r>
    <s v="Ростов-на-Дону"/>
    <x v="9"/>
    <s v="Конструкторское бюро"/>
    <s v="ОПМУ"/>
    <x v="8"/>
    <x v="0"/>
    <x v="0"/>
    <x v="2"/>
    <d v="2025-01-14T00:00:00"/>
    <d v="2025-02-25T00:00:00"/>
    <d v="2025-01-15T00:00:00"/>
    <n v="1"/>
    <n v="42"/>
    <n v="41"/>
    <s v="Донская Зинаида"/>
    <m/>
    <m/>
    <x v="3"/>
  </r>
  <r>
    <s v="Ростов-на-Дону"/>
    <x v="6"/>
    <s v="НПО Турбулентность-Дон"/>
    <s v="Тендерный отдел"/>
    <x v="10"/>
    <x v="0"/>
    <x v="1"/>
    <x v="1"/>
    <d v="2025-01-14T00:00:00"/>
    <d v="2025-04-08T00:00:00"/>
    <m/>
    <n v="-45671"/>
    <n v="84"/>
    <n v="45755"/>
    <m/>
    <m/>
    <m/>
    <x v="2"/>
  </r>
  <r>
    <s v="Ростов-на-Дону"/>
    <x v="6"/>
    <s v="НПО Турбулентность-Дон"/>
    <s v="Холдинги 1"/>
    <x v="9"/>
    <x v="0"/>
    <x v="1"/>
    <x v="1"/>
    <d v="2025-01-14T00:00:00"/>
    <d v="2025-04-08T00:00:00"/>
    <m/>
    <n v="-45671"/>
    <n v="84"/>
    <n v="45755"/>
    <m/>
    <m/>
    <m/>
    <x v="3"/>
  </r>
  <r>
    <s v="Ростов-на-Дону"/>
    <x v="6"/>
    <s v="НПО Турбулентность-Дон"/>
    <s v="Холдинги 1"/>
    <x v="8"/>
    <x v="0"/>
    <x v="2"/>
    <x v="1"/>
    <d v="2025-01-14T00:00:00"/>
    <d v="2025-07-01T00:00:00"/>
    <m/>
    <n v="-45671"/>
    <n v="168"/>
    <n v="45839"/>
    <m/>
    <m/>
    <m/>
    <x v="3"/>
  </r>
  <r>
    <s v="Ростов-на-Дону"/>
    <x v="6"/>
    <s v="НПО Турбулентность-Дон"/>
    <s v="Холдинги 2"/>
    <x v="8"/>
    <x v="0"/>
    <x v="2"/>
    <x v="1"/>
    <d v="2025-01-14T00:00:00"/>
    <d v="2025-02-25T00:00:00"/>
    <m/>
    <n v="-45671"/>
    <n v="42"/>
    <n v="45713"/>
    <m/>
    <m/>
    <m/>
    <x v="3"/>
  </r>
  <r>
    <s v="Ростов-на-Дону"/>
    <x v="6"/>
    <s v="НПО Турбулентность-Дон"/>
    <s v="Холдинги 3"/>
    <x v="9"/>
    <x v="0"/>
    <x v="1"/>
    <x v="1"/>
    <d v="2025-01-14T00:00:00"/>
    <d v="2025-04-08T00:00:00"/>
    <m/>
    <n v="-45671"/>
    <n v="84"/>
    <n v="45755"/>
    <m/>
    <m/>
    <m/>
    <x v="3"/>
  </r>
  <r>
    <s v="Ростов-на-Дону"/>
    <x v="6"/>
    <s v="НПО Турбулентность-Дон"/>
    <s v="Холдинги 3"/>
    <x v="8"/>
    <x v="0"/>
    <x v="2"/>
    <x v="1"/>
    <d v="2025-01-14T00:00:00"/>
    <d v="2025-07-01T00:00:00"/>
    <m/>
    <n v="-45671"/>
    <n v="168"/>
    <n v="45839"/>
    <m/>
    <m/>
    <m/>
    <x v="3"/>
  </r>
  <r>
    <s v="Новошахтинск"/>
    <x v="10"/>
    <s v="Конструкторское бюро"/>
    <s v="СЦ Новошахтинск"/>
    <x v="11"/>
    <x v="0"/>
    <x v="0"/>
    <x v="2"/>
    <d v="2025-01-14T00:00:00"/>
    <d v="2025-02-25T00:00:00"/>
    <d v="2025-01-24T00:00:00"/>
    <n v="10"/>
    <n v="42"/>
    <n v="32"/>
    <s v="Еремеева Мария"/>
    <m/>
    <m/>
    <x v="1"/>
  </r>
  <r>
    <s v="Миллерово"/>
    <x v="11"/>
    <s v="Производство БМИ"/>
    <s v="СЦ Миллерово"/>
    <x v="12"/>
    <x v="0"/>
    <x v="0"/>
    <x v="0"/>
    <d v="2025-01-14T00:00:00"/>
    <d v="2025-02-25T00:00:00"/>
    <d v="2025-02-12T00:00:00"/>
    <n v="29"/>
    <n v="42"/>
    <n v="13"/>
    <s v="Недвига Игорь"/>
    <m/>
    <m/>
    <x v="2"/>
  </r>
  <r>
    <s v="Ростов-на-Дону"/>
    <x v="2"/>
    <s v="Милака"/>
    <s v="Гостиница"/>
    <x v="13"/>
    <x v="0"/>
    <x v="0"/>
    <x v="0"/>
    <d v="2025-01-14T00:00:00"/>
    <d v="2025-02-25T00:00:00"/>
    <d v="2025-02-14T00:00:00"/>
    <n v="31"/>
    <n v="42"/>
    <n v="11"/>
    <s v="Крымский Илья"/>
    <m/>
    <m/>
    <x v="4"/>
  </r>
  <r>
    <s v="Ростов-на-Дону"/>
    <x v="12"/>
    <s v="НПО Турбулентность-Дон"/>
    <s v="Механический цех"/>
    <x v="14"/>
    <x v="0"/>
    <x v="0"/>
    <x v="1"/>
    <d v="2025-01-14T00:00:00"/>
    <d v="2025-02-25T00:00:00"/>
    <m/>
    <n v="-45671"/>
    <n v="42"/>
    <n v="45713"/>
    <m/>
    <m/>
    <m/>
    <x v="1"/>
  </r>
  <r>
    <s v="Ростов-на-Дону"/>
    <x v="13"/>
    <s v="НПО Турбулентность-Дон"/>
    <s v="Производство БМИ"/>
    <x v="15"/>
    <x v="0"/>
    <x v="0"/>
    <x v="0"/>
    <d v="2025-01-14T00:00:00"/>
    <d v="2025-02-25T00:00:00"/>
    <d v="2025-02-05T00:00:00"/>
    <n v="22"/>
    <n v="42"/>
    <n v="20"/>
    <s v="Данилишин Роман"/>
    <m/>
    <m/>
    <x v="0"/>
  </r>
  <r>
    <s v="Ростов-на-Дону"/>
    <x v="13"/>
    <s v="НПО Турбулентность-Дон"/>
    <s v="Производство БМИ"/>
    <x v="16"/>
    <x v="0"/>
    <x v="0"/>
    <x v="0"/>
    <d v="2025-01-14T00:00:00"/>
    <d v="2025-02-25T00:00:00"/>
    <d v="2025-02-06T00:00:00"/>
    <n v="23"/>
    <n v="42"/>
    <n v="19"/>
    <s v="Литвинов Антон"/>
    <m/>
    <m/>
    <x v="2"/>
  </r>
  <r>
    <s v="Ростов-на-Дону"/>
    <x v="14"/>
    <s v="НПО Турбулентность-Дон"/>
    <s v="Служба безопасности"/>
    <x v="17"/>
    <x v="0"/>
    <x v="0"/>
    <x v="0"/>
    <d v="2025-01-14T00:00:00"/>
    <d v="2025-02-25T00:00:00"/>
    <d v="2025-02-03T00:00:00"/>
    <n v="20"/>
    <n v="42"/>
    <n v="22"/>
    <s v="Чистова Татьяна"/>
    <m/>
    <m/>
    <x v="1"/>
  </r>
  <r>
    <s v="Ростов-на-Дону"/>
    <x v="15"/>
    <s v="НПО Турбулентность-Дон"/>
    <s v="ОТК1"/>
    <x v="18"/>
    <x v="0"/>
    <x v="0"/>
    <x v="0"/>
    <d v="2025-01-14T00:00:00"/>
    <d v="2025-02-25T00:00:00"/>
    <d v="2025-02-10T00:00:00"/>
    <n v="27"/>
    <n v="42"/>
    <n v="15"/>
    <s v="Суздальцев Вадим"/>
    <m/>
    <m/>
    <x v="4"/>
  </r>
  <r>
    <s v="Ростов-на-Дону"/>
    <x v="16"/>
    <s v="НПО Турбулентность-Дон"/>
    <s v="Склад"/>
    <x v="19"/>
    <x v="0"/>
    <x v="0"/>
    <x v="0"/>
    <d v="2025-01-14T00:00:00"/>
    <d v="2025-02-25T00:00:00"/>
    <d v="2025-02-27T00:00:00"/>
    <n v="44"/>
    <n v="42"/>
    <n v="-2"/>
    <s v="Свинарев Дмитрий"/>
    <m/>
    <m/>
    <x v="4"/>
  </r>
  <r>
    <s v="Ростов-на-Дону"/>
    <x v="17"/>
    <s v="НПО Турбулентность-Дон"/>
    <s v="Служба развития"/>
    <x v="20"/>
    <x v="0"/>
    <x v="0"/>
    <x v="0"/>
    <d v="2025-01-14T00:00:00"/>
    <d v="2025-02-25T00:00:00"/>
    <d v="2025-02-07T00:00:00"/>
    <n v="24"/>
    <n v="42"/>
    <n v="18"/>
    <s v="Реутов Виталий"/>
    <m/>
    <m/>
    <x v="2"/>
  </r>
  <r>
    <s v="Ростов-на-Дону"/>
    <x v="17"/>
    <s v="НПО Турбулентность-Дон"/>
    <s v="Служба развития"/>
    <x v="21"/>
    <x v="0"/>
    <x v="1"/>
    <x v="1"/>
    <d v="2025-01-14T00:00:00"/>
    <d v="2025-02-25T00:00:00"/>
    <d v="2025-03-10T00:00:00"/>
    <n v="55"/>
    <n v="42"/>
    <n v="-13"/>
    <s v="Азарова Анна"/>
    <m/>
    <m/>
    <x v="2"/>
  </r>
  <r>
    <s v="Ростов-на-Дону"/>
    <x v="1"/>
    <s v="НПО Турбулентность-Дон"/>
    <s v="Конструкторское бюро"/>
    <x v="22"/>
    <x v="0"/>
    <x v="0"/>
    <x v="1"/>
    <d v="2025-01-14T00:00:00"/>
    <d v="2025-02-25T00:00:00"/>
    <d v="2025-03-03T00:00:00"/>
    <n v="48"/>
    <n v="42"/>
    <n v="-6"/>
    <s v="Хлебникова Яна"/>
    <m/>
    <m/>
    <x v="0"/>
  </r>
  <r>
    <s v="Ростов-на-Дону"/>
    <x v="1"/>
    <s v="НПО Турбулентность-Дон"/>
    <s v="Конструкторское бюро"/>
    <x v="23"/>
    <x v="0"/>
    <x v="0"/>
    <x v="1"/>
    <d v="2025-01-15T00:00:00"/>
    <d v="2025-02-26T00:00:00"/>
    <d v="2025-03-03T00:00:00"/>
    <n v="47"/>
    <n v="42"/>
    <n v="-5"/>
    <s v="Ануфриева Оксана"/>
    <m/>
    <m/>
    <x v="1"/>
  </r>
  <r>
    <s v="Ростов-на-Дону"/>
    <x v="12"/>
    <s v="НПО Турбулентность-Дон"/>
    <s v="ГСПП"/>
    <x v="24"/>
    <x v="0"/>
    <x v="0"/>
    <x v="2"/>
    <d v="2025-01-15T00:00:00"/>
    <d v="2025-02-26T00:00:00"/>
    <d v="2025-01-23T00:00:00"/>
    <n v="8"/>
    <n v="42"/>
    <n v="34"/>
    <s v="Косьянко Елена"/>
    <m/>
    <m/>
    <x v="2"/>
  </r>
  <r>
    <s v="Ростов-на-Дону"/>
    <x v="18"/>
    <s v="Амурская легенда"/>
    <s v="Производство  "/>
    <x v="25"/>
    <x v="0"/>
    <x v="0"/>
    <x v="1"/>
    <d v="2025-01-20T00:00:00"/>
    <d v="2025-02-24T00:00:00"/>
    <m/>
    <n v="-45677"/>
    <n v="35"/>
    <n v="45712"/>
    <m/>
    <m/>
    <m/>
    <x v="4"/>
  </r>
  <r>
    <s v="Ростов-на-Дону"/>
    <x v="19"/>
    <s v="НПО Турбулентность-Дон"/>
    <s v="Отдел сопровождение 1С"/>
    <x v="26"/>
    <x v="0"/>
    <x v="3"/>
    <x v="1"/>
    <d v="2025-01-20T00:00:00"/>
    <d v="2025-03-03T00:00:00"/>
    <m/>
    <n v="-45677"/>
    <n v="42"/>
    <n v="45719"/>
    <m/>
    <m/>
    <m/>
    <x v="2"/>
  </r>
  <r>
    <s v="Ростов-на-Дону"/>
    <x v="19"/>
    <s v="НПО Турбулентность-Дон"/>
    <s v="Отдел сопровождение 1С"/>
    <x v="26"/>
    <x v="0"/>
    <x v="3"/>
    <x v="0"/>
    <d v="2025-01-20T00:00:00"/>
    <d v="2025-03-03T00:00:00"/>
    <d v="2025-02-18T00:00:00"/>
    <n v="29"/>
    <n v="42"/>
    <n v="13"/>
    <s v="закрыта на совещании у ИБ"/>
    <m/>
    <m/>
    <x v="2"/>
  </r>
  <r>
    <s v="Ростов-на-Дону"/>
    <x v="13"/>
    <s v="НПО Турбулентность-Дон"/>
    <s v="Производство БМИ"/>
    <x v="27"/>
    <x v="0"/>
    <x v="3"/>
    <x v="2"/>
    <d v="2025-01-20T00:00:00"/>
    <d v="2025-03-03T00:00:00"/>
    <d v="2025-01-22T00:00:00"/>
    <n v="2"/>
    <n v="42"/>
    <n v="40"/>
    <s v="Сухориян Наталья"/>
    <m/>
    <m/>
    <x v="2"/>
  </r>
  <r>
    <s v="Ростов-на-Дону"/>
    <x v="15"/>
    <s v="НПО Турбулентность-Дон"/>
    <s v="Служба качества"/>
    <x v="28"/>
    <x v="0"/>
    <x v="1"/>
    <x v="1"/>
    <d v="2025-01-20T00:00:00"/>
    <d v="2025-04-14T00:00:00"/>
    <m/>
    <n v="-45677"/>
    <n v="84"/>
    <n v="45761"/>
    <m/>
    <m/>
    <m/>
    <x v="0"/>
  </r>
  <r>
    <s v="Ростов-на-Дону"/>
    <x v="6"/>
    <s v="НПО Турбулентность-Дон"/>
    <s v="Отдел ВЭД"/>
    <x v="9"/>
    <x v="0"/>
    <x v="1"/>
    <x v="2"/>
    <d v="2025-01-23T00:00:00"/>
    <d v="2025-04-17T00:00:00"/>
    <d v="2025-01-30T00:00:00"/>
    <n v="7"/>
    <n v="84"/>
    <n v="77"/>
    <s v="вакансия снята заказчиком"/>
    <m/>
    <m/>
    <x v="0"/>
  </r>
  <r>
    <s v="Ростов-на-Дону"/>
    <x v="14"/>
    <s v="НПО Турбулентность-Дон"/>
    <s v="Служба безопасности"/>
    <x v="29"/>
    <x v="0"/>
    <x v="0"/>
    <x v="3"/>
    <d v="2025-01-23T00:00:00"/>
    <d v="2025-02-27T00:00:00"/>
    <d v="2025-03-01T00:00:00"/>
    <n v="37"/>
    <n v="35"/>
    <n v="-2"/>
    <s v="Усик Андрей"/>
    <m/>
    <m/>
    <x v="4"/>
  </r>
  <r>
    <s v="Ростов-на-Дону"/>
    <x v="20"/>
    <s v="НПО Турбулентность-Дон"/>
    <s v="Служба персонала"/>
    <x v="30"/>
    <x v="0"/>
    <x v="3"/>
    <x v="1"/>
    <d v="2025-01-23T00:00:00"/>
    <d v="2025-03-06T00:00:00"/>
    <m/>
    <n v="-45680"/>
    <n v="42"/>
    <n v="45722"/>
    <m/>
    <m/>
    <m/>
    <x v="2"/>
  </r>
  <r>
    <s v="Ростов-на-Дону"/>
    <x v="20"/>
    <s v="НПО Турбулентность-Дон"/>
    <s v="Служба персонала"/>
    <x v="31"/>
    <x v="0"/>
    <x v="3"/>
    <x v="1"/>
    <d v="2025-01-23T00:00:00"/>
    <d v="2025-03-06T00:00:00"/>
    <m/>
    <n v="-45680"/>
    <n v="42"/>
    <n v="45722"/>
    <m/>
    <m/>
    <m/>
    <x v="1"/>
  </r>
  <r>
    <s v="Ростов-на-Дону"/>
    <x v="1"/>
    <s v="НПО Турбулентность-Дон"/>
    <s v="Отдел метрологии и сертификации"/>
    <x v="32"/>
    <x v="0"/>
    <x v="3"/>
    <x v="0"/>
    <d v="2025-01-23T00:00:00"/>
    <d v="2025-03-06T00:00:00"/>
    <d v="2025-02-11T00:00:00"/>
    <n v="19"/>
    <n v="42"/>
    <n v="23"/>
    <s v="Борох Данил"/>
    <m/>
    <m/>
    <x v="1"/>
  </r>
  <r>
    <s v="Ростов-на-Дону"/>
    <x v="15"/>
    <s v="НПО Турбулентность-Дон"/>
    <s v="ОТК1"/>
    <x v="33"/>
    <x v="0"/>
    <x v="3"/>
    <x v="0"/>
    <d v="2025-01-27T00:00:00"/>
    <d v="2025-03-10T00:00:00"/>
    <d v="2025-02-24T00:00:00"/>
    <n v="28"/>
    <n v="42"/>
    <n v="14"/>
    <s v="Хамхоева Татьяна"/>
    <m/>
    <m/>
    <x v="4"/>
  </r>
  <r>
    <s v="Ростов-на-Дону"/>
    <x v="13"/>
    <s v="НПО Турбулентность-Дон"/>
    <s v="Производство БМИ"/>
    <x v="34"/>
    <x v="0"/>
    <x v="3"/>
    <x v="1"/>
    <d v="2025-01-27T00:00:00"/>
    <d v="2025-03-10T00:00:00"/>
    <m/>
    <n v="-45684"/>
    <n v="42"/>
    <n v="45726"/>
    <m/>
    <m/>
    <m/>
    <x v="0"/>
  </r>
  <r>
    <s v="Ростов-на-Дону"/>
    <x v="15"/>
    <s v="НПО Турбулентность-Дон"/>
    <s v="ОТК1"/>
    <x v="18"/>
    <x v="0"/>
    <x v="3"/>
    <x v="0"/>
    <d v="2025-01-28T00:00:00"/>
    <d v="2025-03-11T00:00:00"/>
    <d v="2025-02-11T00:00:00"/>
    <n v="14"/>
    <n v="42"/>
    <n v="28"/>
    <s v="Коробка Илья"/>
    <m/>
    <m/>
    <x v="4"/>
  </r>
  <r>
    <s v="Ростов-на-Дону"/>
    <x v="6"/>
    <s v="НПО Турбулентность-Дон"/>
    <s v="Холдинги 2"/>
    <x v="9"/>
    <x v="0"/>
    <x v="3"/>
    <x v="0"/>
    <d v="2025-01-16T00:00:00"/>
    <d v="2025-02-27T00:00:00"/>
    <d v="2025-02-03T00:00:00"/>
    <n v="18"/>
    <n v="42"/>
    <n v="24"/>
    <s v="Шарова Анастасия"/>
    <m/>
    <m/>
    <x v="3"/>
  </r>
  <r>
    <s v="Ростов-на-Дону"/>
    <x v="15"/>
    <s v="НПО Турбулентность-Дон"/>
    <s v="ОТК1"/>
    <x v="18"/>
    <x v="1"/>
    <x v="3"/>
    <x v="0"/>
    <d v="2025-02-03T00:00:00"/>
    <d v="2025-03-17T00:00:00"/>
    <d v="2025-02-07T00:00:00"/>
    <n v="4"/>
    <n v="42"/>
    <n v="38"/>
    <s v="вакансия снята заказчиком"/>
    <m/>
    <m/>
    <x v="4"/>
  </r>
  <r>
    <s v="Ростов-на-Дону"/>
    <x v="21"/>
    <s v="АЛМАЗ"/>
    <s v="Отдел по работе с рекламациями"/>
    <x v="35"/>
    <x v="1"/>
    <x v="3"/>
    <x v="1"/>
    <d v="2025-02-03T00:00:00"/>
    <d v="2025-03-17T00:00:00"/>
    <m/>
    <n v="-45691"/>
    <n v="42"/>
    <n v="45733"/>
    <m/>
    <m/>
    <m/>
    <x v="1"/>
  </r>
  <r>
    <s v="Ростов-на-Дону"/>
    <x v="0"/>
    <s v="ИП Магакян Е.И."/>
    <s v="ИТЦ"/>
    <x v="3"/>
    <x v="0"/>
    <x v="3"/>
    <x v="0"/>
    <d v="2025-01-29T00:00:00"/>
    <d v="2025-03-12T00:00:00"/>
    <d v="2025-02-20T00:00:00"/>
    <n v="22"/>
    <n v="42"/>
    <n v="20"/>
    <m/>
    <m/>
    <m/>
    <x v="0"/>
  </r>
  <r>
    <s v="Ростов-на-Дону"/>
    <x v="12"/>
    <s v="НПО Турбулентность-Дон"/>
    <s v="ГСПП"/>
    <x v="24"/>
    <x v="1"/>
    <x v="3"/>
    <x v="1"/>
    <d v="2025-02-03T00:00:00"/>
    <d v="2025-03-17T00:00:00"/>
    <d v="2025-02-28T00:00:00"/>
    <n v="25"/>
    <n v="42"/>
    <n v="17"/>
    <s v="Кобцева Инесса"/>
    <m/>
    <m/>
    <x v="2"/>
  </r>
  <r>
    <s v="Москва"/>
    <x v="19"/>
    <s v="НПО Турбулентность-Дон"/>
    <s v="Управление делами"/>
    <x v="36"/>
    <x v="0"/>
    <x v="0"/>
    <x v="1"/>
    <d v="2025-01-09T00:00:00"/>
    <d v="2025-02-20T00:00:00"/>
    <d v="2025-03-03T00:00:00"/>
    <n v="53"/>
    <n v="42"/>
    <n v="-11"/>
    <s v="Малахова Кристина"/>
    <m/>
    <m/>
    <x v="0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x v="2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x v="5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x v="1"/>
  </r>
  <r>
    <s v="Ростов-на-Дону"/>
    <x v="1"/>
    <s v="НПО Турбулентность-Дон"/>
    <s v="Конструкторское бюро"/>
    <x v="38"/>
    <x v="1"/>
    <x v="3"/>
    <x v="1"/>
    <d v="2025-02-07T00:00:00"/>
    <d v="2025-03-21T00:00:00"/>
    <d v="2025-02-28T00:00:00"/>
    <n v="21"/>
    <n v="42"/>
    <n v="21"/>
    <s v="Козлов Владислав"/>
    <m/>
    <m/>
    <x v="2"/>
  </r>
  <r>
    <s v="Ростов-на-Дону"/>
    <x v="1"/>
    <s v="НПО Турбулентность-Дон"/>
    <s v="Конструкторское бюро"/>
    <x v="38"/>
    <x v="1"/>
    <x v="3"/>
    <x v="0"/>
    <d v="2025-02-07T00:00:00"/>
    <d v="2025-03-21T00:00:00"/>
    <d v="2025-02-12T00:00:00"/>
    <n v="5"/>
    <n v="42"/>
    <n v="37"/>
    <s v="Близнюкова Светлана"/>
    <m/>
    <m/>
    <x v="5"/>
  </r>
  <r>
    <s v="Ростов-на-Дону"/>
    <x v="1"/>
    <s v="НПО Турбулентность-Дон"/>
    <s v="Конструкторское бюро"/>
    <x v="38"/>
    <x v="1"/>
    <x v="4"/>
    <x v="1"/>
    <d v="2025-02-07T00:00:00"/>
    <d v="2025-05-02T00:00:00"/>
    <m/>
    <n v="-45695"/>
    <n v="84"/>
    <n v="45779"/>
    <m/>
    <m/>
    <m/>
    <x v="1"/>
  </r>
  <r>
    <s v="Ростов-на-Дону"/>
    <x v="22"/>
    <s v="АЛМАЗ"/>
    <s v="ПЦ №2"/>
    <x v="39"/>
    <x v="1"/>
    <x v="3"/>
    <x v="1"/>
    <d v="2025-02-17T00:00:00"/>
    <d v="2025-03-24T00:00:00"/>
    <d v="2025-03-03T00:00:00"/>
    <n v="14"/>
    <n v="35"/>
    <n v="21"/>
    <s v="Беседин Вадим"/>
    <m/>
    <m/>
    <x v="2"/>
  </r>
  <r>
    <s v="Ростов-на-Дону"/>
    <x v="22"/>
    <s v="АЛМАЗ"/>
    <s v="ПЦ №2"/>
    <x v="39"/>
    <x v="1"/>
    <x v="3"/>
    <x v="1"/>
    <d v="2025-02-17T00:00:00"/>
    <d v="2025-03-24T00:00:00"/>
    <m/>
    <n v="-45705"/>
    <n v="35"/>
    <n v="45740"/>
    <m/>
    <m/>
    <m/>
    <x v="2"/>
  </r>
  <r>
    <s v="Ростов-на-Дону"/>
    <x v="22"/>
    <s v="АЛМАЗ"/>
    <s v="ПЦ №2"/>
    <x v="39"/>
    <x v="1"/>
    <x v="3"/>
    <x v="1"/>
    <d v="2025-02-17T00:00:00"/>
    <d v="2025-03-24T00:00:00"/>
    <m/>
    <n v="-45705"/>
    <n v="35"/>
    <n v="45740"/>
    <m/>
    <m/>
    <m/>
    <x v="2"/>
  </r>
  <r>
    <s v="Ростов-на-Дону"/>
    <x v="22"/>
    <s v="АЛМАЗ"/>
    <s v="ПЦ №2"/>
    <x v="40"/>
    <x v="1"/>
    <x v="3"/>
    <x v="1"/>
    <d v="2025-02-17T00:00:00"/>
    <d v="2025-03-24T00:00:00"/>
    <m/>
    <n v="-45705"/>
    <n v="35"/>
    <n v="45740"/>
    <m/>
    <m/>
    <m/>
    <x v="2"/>
  </r>
  <r>
    <s v="Ростов-на-Дону"/>
    <x v="6"/>
    <s v="НПО Турбулентность-Дон"/>
    <s v="ОДППО"/>
    <x v="9"/>
    <x v="1"/>
    <x v="3"/>
    <x v="1"/>
    <d v="2025-02-17T00:00:00"/>
    <d v="2025-03-31T00:00:00"/>
    <m/>
    <n v="-45705"/>
    <n v="42"/>
    <n v="45747"/>
    <m/>
    <m/>
    <m/>
    <x v="0"/>
  </r>
  <r>
    <s v="Ростов-на-Дону"/>
    <x v="17"/>
    <s v="НПО Турбулентность-Дон"/>
    <s v="Служба развития"/>
    <x v="41"/>
    <x v="1"/>
    <x v="3"/>
    <x v="0"/>
    <d v="2025-02-17T00:00:00"/>
    <d v="2025-03-31T00:00:00"/>
    <d v="2025-02-18T00:00:00"/>
    <n v="1"/>
    <n v="42"/>
    <n v="41"/>
    <s v="Колбаса Александр"/>
    <m/>
    <m/>
    <x v="2"/>
  </r>
  <r>
    <s v="Ростов-на-Дону"/>
    <x v="12"/>
    <s v="НПО Турбулентность-Дон"/>
    <s v="Механический цех"/>
    <x v="42"/>
    <x v="1"/>
    <x v="3"/>
    <x v="1"/>
    <d v="2025-02-17T00:00:00"/>
    <d v="2025-03-31T00:00:00"/>
    <m/>
    <n v="-45705"/>
    <n v="42"/>
    <n v="45747"/>
    <m/>
    <m/>
    <m/>
    <x v="4"/>
  </r>
  <r>
    <s v="Ростов-на-Дону"/>
    <x v="23"/>
    <s v="НПО Турбулентность-Дон"/>
    <s v="Бухгалтерия"/>
    <x v="43"/>
    <x v="1"/>
    <x v="1"/>
    <x v="1"/>
    <d v="2025-02-21T00:00:00"/>
    <d v="2025-04-04T00:00:00"/>
    <m/>
    <n v="-45709"/>
    <n v="42"/>
    <n v="45751"/>
    <m/>
    <m/>
    <m/>
    <x v="2"/>
  </r>
  <r>
    <s v="Ростов-на-Дону"/>
    <x v="6"/>
    <s v="НПО Турбулентность-Дон"/>
    <s v="ОПБМИ"/>
    <x v="8"/>
    <x v="1"/>
    <x v="1"/>
    <x v="1"/>
    <d v="2025-02-21T00:00:00"/>
    <d v="2025-04-04T00:00:00"/>
    <m/>
    <n v="-45709"/>
    <n v="42"/>
    <n v="45751"/>
    <m/>
    <m/>
    <m/>
    <x v="0"/>
  </r>
  <r>
    <s v="Ростов-на-Дону"/>
    <x v="15"/>
    <s v="НПО Турбулентность-Дон"/>
    <s v="ОТК1"/>
    <x v="18"/>
    <x v="1"/>
    <x v="1"/>
    <x v="1"/>
    <d v="2025-02-21T00:00:00"/>
    <d v="2025-04-04T00:00:00"/>
    <m/>
    <n v="-45709"/>
    <n v="42"/>
    <n v="45751"/>
    <m/>
    <m/>
    <m/>
    <x v="4"/>
  </r>
  <r>
    <s v="Ростов-на-Дону"/>
    <x v="6"/>
    <s v="НПО Турбулентность-Дон"/>
    <s v="ОПЭОиУ"/>
    <x v="33"/>
    <x v="1"/>
    <x v="1"/>
    <x v="1"/>
    <d v="2025-02-21T00:00:00"/>
    <d v="2025-04-04T00:00:00"/>
    <m/>
    <n v="-45709"/>
    <n v="42"/>
    <n v="45751"/>
    <m/>
    <m/>
    <m/>
    <x v="0"/>
  </r>
  <r>
    <s v="Ростов-на-Дону"/>
    <x v="1"/>
    <s v="НПО Турбулентность-Дон"/>
    <s v="Конструкторское бюро"/>
    <x v="44"/>
    <x v="1"/>
    <x v="1"/>
    <x v="1"/>
    <d v="2025-02-21T00:00:00"/>
    <d v="2025-04-04T00:00:00"/>
    <m/>
    <n v="-45709"/>
    <n v="42"/>
    <n v="45751"/>
    <m/>
    <m/>
    <m/>
    <x v="1"/>
  </r>
  <r>
    <s v="Ростов-на-Дону"/>
    <x v="0"/>
    <s v="ИП Магакян Е.И."/>
    <s v="ИТЦ"/>
    <x v="3"/>
    <x v="1"/>
    <x v="4"/>
    <x v="1"/>
    <d v="2025-02-21T00:00:00"/>
    <d v="2025-05-16T00:00:00"/>
    <d v="2025-03-10T00:00:00"/>
    <n v="17"/>
    <n v="84"/>
    <n v="67"/>
    <s v="Вагин Никита"/>
    <m/>
    <m/>
    <x v="0"/>
  </r>
  <r>
    <s v="Ростов-на-Дону"/>
    <x v="0"/>
    <s v="ИП Магакян Е.И."/>
    <s v="ИТЦ"/>
    <x v="45"/>
    <x v="1"/>
    <x v="4"/>
    <x v="1"/>
    <d v="2025-02-21T00:00:00"/>
    <d v="2025-05-16T00:00:00"/>
    <m/>
    <n v="-45709"/>
    <n v="84"/>
    <n v="45793"/>
    <m/>
    <m/>
    <m/>
    <x v="0"/>
  </r>
  <r>
    <s v="Ростов-на-Дону"/>
    <x v="0"/>
    <s v="ИП Магакян Е.И."/>
    <s v="ИТЦ"/>
    <x v="46"/>
    <x v="1"/>
    <x v="4"/>
    <x v="1"/>
    <d v="2025-02-21T00:00:00"/>
    <d v="2025-05-16T00:00:00"/>
    <m/>
    <n v="-45709"/>
    <n v="84"/>
    <n v="45793"/>
    <m/>
    <m/>
    <m/>
    <x v="0"/>
  </r>
  <r>
    <s v="Ростов-на-Дону"/>
    <x v="0"/>
    <s v="ИП Магакян Е.И."/>
    <s v="ИТЦ"/>
    <x v="47"/>
    <x v="1"/>
    <x v="4"/>
    <x v="1"/>
    <d v="2025-02-21T00:00:00"/>
    <d v="2025-05-16T00:00:00"/>
    <m/>
    <n v="-45709"/>
    <n v="84"/>
    <n v="45793"/>
    <m/>
    <m/>
    <m/>
    <x v="0"/>
  </r>
  <r>
    <s v="Ростов-на-Дону"/>
    <x v="6"/>
    <s v="НПО Турбулентность-Дон"/>
    <s v="ОПЭОиУ"/>
    <x v="8"/>
    <x v="1"/>
    <x v="1"/>
    <x v="1"/>
    <d v="2025-02-24T00:00:00"/>
    <d v="2025-04-07T00:00:00"/>
    <m/>
    <n v="-45712"/>
    <n v="42"/>
    <n v="45754"/>
    <m/>
    <m/>
    <m/>
    <x v="0"/>
  </r>
  <r>
    <s v="Ростов-на-Дону"/>
    <x v="13"/>
    <s v="НПО Турбулентность-Дон"/>
    <s v="Производство БМИ"/>
    <x v="19"/>
    <x v="1"/>
    <x v="1"/>
    <x v="1"/>
    <d v="2025-02-24T00:00:00"/>
    <d v="2025-04-07T00:00:00"/>
    <m/>
    <n v="-45712"/>
    <n v="42"/>
    <n v="45754"/>
    <m/>
    <m/>
    <m/>
    <x v="4"/>
  </r>
  <r>
    <s v="Ростов-на-Дону"/>
    <x v="12"/>
    <s v="НПО Турбулентность-Дон"/>
    <s v="Планово-диспетчерская служба"/>
    <x v="48"/>
    <x v="1"/>
    <x v="1"/>
    <x v="1"/>
    <d v="2025-02-25T00:00:00"/>
    <d v="2025-04-08T00:00:00"/>
    <d v="2025-03-06T00:00:00"/>
    <n v="9"/>
    <n v="42"/>
    <n v="33"/>
    <s v="Мирошник Анастасия"/>
    <m/>
    <m/>
    <x v="2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2024-04-08T00:00:00"/>
    <m/>
    <n v="0"/>
    <m/>
    <n v="0"/>
    <m/>
    <m/>
    <m/>
    <x v="6"/>
  </r>
  <r>
    <m/>
    <x v="24"/>
    <m/>
    <m/>
    <x v="49"/>
    <x v="2"/>
    <x v="5"/>
    <x v="1"/>
    <m/>
    <d v="2024-04-08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  <r>
    <m/>
    <x v="24"/>
    <m/>
    <m/>
    <x v="49"/>
    <x v="2"/>
    <x v="5"/>
    <x v="1"/>
    <m/>
    <d v="1899-12-30T00:00:00"/>
    <m/>
    <n v="0"/>
    <m/>
    <n v="0"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9">
  <r>
    <s v="Ростов-на-Дону"/>
    <x v="0"/>
    <s v="ИП Магакян Е.И."/>
    <s v="ИТЦ"/>
    <x v="0"/>
    <x v="0"/>
    <x v="0"/>
    <x v="0"/>
    <d v="2025-01-14T00:00:00"/>
    <d v="2025-02-25T00:00:00"/>
    <d v="2025-02-20T00:00:00"/>
    <n v="37"/>
    <n v="42"/>
    <n v="5"/>
    <s v="изменение требований заказчиком"/>
    <m/>
    <m/>
    <s v="Ворончихина Елена"/>
  </r>
  <r>
    <s v="Ростов-на-Дону"/>
    <x v="0"/>
    <s v="ИП Магакян Е.И."/>
    <s v="ИТЦ"/>
    <x v="1"/>
    <x v="0"/>
    <x v="0"/>
    <x v="0"/>
    <d v="2025-01-14T00:00:00"/>
    <d v="2025-02-25T00:00:00"/>
    <d v="2025-02-20T00:00:00"/>
    <n v="37"/>
    <n v="42"/>
    <n v="5"/>
    <s v="изменение требований заказчиком"/>
    <m/>
    <m/>
    <s v="Ворончихина Елена"/>
  </r>
  <r>
    <s v="Ростов-на-Дону"/>
    <x v="1"/>
    <s v="НПО Турбулентность-Дон"/>
    <s v="Конструкторский отдел"/>
    <x v="2"/>
    <x v="0"/>
    <x v="0"/>
    <x v="0"/>
    <d v="2025-01-14T00:00:00"/>
    <d v="2025-02-25T00:00:00"/>
    <d v="2025-02-11T00:00:00"/>
    <n v="28"/>
    <n v="42"/>
    <n v="14"/>
    <s v="Яшина Кристина"/>
    <m/>
    <m/>
    <s v="Зуйкина Анна"/>
  </r>
  <r>
    <s v="Ростов-на-Дону"/>
    <x v="2"/>
    <s v="НПО Турбулентность-Дон"/>
    <s v="Конструкторский отдел"/>
    <x v="3"/>
    <x v="0"/>
    <x v="1"/>
    <x v="1"/>
    <d v="2025-01-14T00:00:00"/>
    <d v="2025-04-08T00:00:00"/>
    <m/>
    <n v="-45671"/>
    <n v="84"/>
    <n v="45755"/>
    <s v="Коваленко Максим"/>
    <m/>
    <m/>
    <s v="Ворончихина Елена"/>
  </r>
  <r>
    <s v="Ростов-на-Дону"/>
    <x v="1"/>
    <s v="НПО Турбулентность-Дон"/>
    <s v="Конструкторское бюро"/>
    <x v="4"/>
    <x v="0"/>
    <x v="1"/>
    <x v="1"/>
    <d v="2025-01-14T00:00:00"/>
    <d v="2025-04-08T00:00:00"/>
    <m/>
    <n v="-45671"/>
    <n v="84"/>
    <n v="45755"/>
    <m/>
    <m/>
    <m/>
    <s v="Ворончихина Елена"/>
  </r>
  <r>
    <s v="Ростов-на-Дону"/>
    <x v="3"/>
    <s v="Конструкторское бюро"/>
    <s v="Конструкторское бюро"/>
    <x v="5"/>
    <x v="0"/>
    <x v="1"/>
    <x v="0"/>
    <d v="2025-01-14T00:00:00"/>
    <d v="2025-04-08T00:00:00"/>
    <d v="2025-02-03T00:00:00"/>
    <n v="20"/>
    <n v="84"/>
    <n v="64"/>
    <s v="Антонов Даниил"/>
    <m/>
    <m/>
    <s v="Лаврикова Лариса"/>
  </r>
  <r>
    <s v="Ростов-на-Дону"/>
    <x v="1"/>
    <s v="НПО Турбулентность-Дон"/>
    <s v="Конструкторское бюро"/>
    <x v="5"/>
    <x v="0"/>
    <x v="1"/>
    <x v="1"/>
    <d v="2025-01-14T00:00:00"/>
    <d v="2025-04-08T00:00:00"/>
    <m/>
    <n v="-45671"/>
    <n v="84"/>
    <n v="45755"/>
    <m/>
    <m/>
    <m/>
    <s v="Лаврикова Лариса"/>
  </r>
  <r>
    <s v="Ростов-на-Дону"/>
    <x v="4"/>
    <s v="Отдел сопровождение 1С"/>
    <s v="Отдел ПО и АСУ"/>
    <x v="6"/>
    <x v="0"/>
    <x v="0"/>
    <x v="0"/>
    <d v="2025-01-14T00:00:00"/>
    <d v="2025-02-25T00:00:00"/>
    <d v="2025-02-03T00:00:00"/>
    <n v="20"/>
    <n v="42"/>
    <n v="22"/>
    <s v="Колесников Владислав"/>
    <m/>
    <m/>
    <s v="Ворончихина Елена"/>
  </r>
  <r>
    <s v="Ростов-на-Дону"/>
    <x v="5"/>
    <s v="Производство БМИ"/>
    <s v="Отдел сертификации"/>
    <x v="7"/>
    <x v="0"/>
    <x v="0"/>
    <x v="2"/>
    <d v="2025-01-14T00:00:00"/>
    <d v="2025-02-25T00:00:00"/>
    <d v="2025-01-21T00:00:00"/>
    <n v="7"/>
    <n v="42"/>
    <n v="35"/>
    <s v="Якушев Александр"/>
    <m/>
    <m/>
    <s v="Зуйкина Анна"/>
  </r>
  <r>
    <s v="Ростов-на-Дону"/>
    <x v="6"/>
    <s v="НПО Турбулентность-Дон"/>
    <s v="Газпром"/>
    <x v="8"/>
    <x v="0"/>
    <x v="0"/>
    <x v="1"/>
    <d v="2025-01-14T00:00:00"/>
    <d v="2025-02-25T00:00:00"/>
    <d v="2025-03-10T00:00:00"/>
    <n v="55"/>
    <n v="42"/>
    <n v="-13"/>
    <s v="Яцык Елена"/>
    <m/>
    <m/>
    <s v="Александрова Влада"/>
  </r>
  <r>
    <s v="Ростов-на-Дону"/>
    <x v="6"/>
    <s v="НПО Турбулентность-Дон"/>
    <s v="ОДППО"/>
    <x v="9"/>
    <x v="0"/>
    <x v="1"/>
    <x v="1"/>
    <d v="2025-01-14T00:00:00"/>
    <d v="2025-04-08T00:00:00"/>
    <m/>
    <n v="-45671"/>
    <n v="84"/>
    <n v="45755"/>
    <m/>
    <m/>
    <m/>
    <s v="Александрова Влада"/>
  </r>
  <r>
    <s v="Ростов-на-Дону"/>
    <x v="7"/>
    <s v="Служба персонала"/>
    <s v="ОПБМИ"/>
    <x v="9"/>
    <x v="0"/>
    <x v="1"/>
    <x v="2"/>
    <d v="2025-01-14T00:00:00"/>
    <d v="2025-02-25T00:00:00"/>
    <d v="2025-01-27T00:00:00"/>
    <n v="13"/>
    <n v="42"/>
    <n v="29"/>
    <s v="Билас Александр"/>
    <m/>
    <m/>
    <s v="Александрова Влада"/>
  </r>
  <r>
    <s v="Ростов-на-Дону"/>
    <x v="6"/>
    <s v="НПО Турбулентность-Дон"/>
    <s v="ОПБМИ"/>
    <x v="9"/>
    <x v="0"/>
    <x v="2"/>
    <x v="1"/>
    <d v="2025-01-14T00:00:00"/>
    <d v="2025-07-01T00:00:00"/>
    <m/>
    <n v="-45671"/>
    <n v="168"/>
    <n v="45839"/>
    <m/>
    <m/>
    <m/>
    <s v="Александрова Влада"/>
  </r>
  <r>
    <s v="Ростов-на-Дону"/>
    <x v="8"/>
    <s v="Управление делами"/>
    <s v="ОПБМИ"/>
    <x v="8"/>
    <x v="0"/>
    <x v="0"/>
    <x v="0"/>
    <d v="2025-01-14T00:00:00"/>
    <d v="2025-02-25T00:00:00"/>
    <d v="2025-02-05T00:00:00"/>
    <n v="22"/>
    <n v="42"/>
    <n v="20"/>
    <s v="Мартыненко Анастасия"/>
    <m/>
    <m/>
    <s v="Александрова Влада"/>
  </r>
  <r>
    <s v="Ростов-на-Дону"/>
    <x v="9"/>
    <s v="Конструкторское бюро"/>
    <s v="ОПМУ"/>
    <x v="8"/>
    <x v="0"/>
    <x v="0"/>
    <x v="2"/>
    <d v="2025-01-14T00:00:00"/>
    <d v="2025-02-25T00:00:00"/>
    <d v="2025-01-15T00:00:00"/>
    <n v="1"/>
    <n v="42"/>
    <n v="41"/>
    <s v="Донская Зинаида"/>
    <m/>
    <m/>
    <s v="Александрова Влада"/>
  </r>
  <r>
    <s v="Ростов-на-Дону"/>
    <x v="6"/>
    <s v="НПО Турбулентность-Дон"/>
    <s v="Тендерный отдел"/>
    <x v="10"/>
    <x v="0"/>
    <x v="1"/>
    <x v="1"/>
    <d v="2025-01-14T00:00:00"/>
    <d v="2025-04-08T00:00:00"/>
    <m/>
    <n v="-45671"/>
    <n v="84"/>
    <n v="45755"/>
    <m/>
    <m/>
    <m/>
    <s v="Лаврикова Лариса"/>
  </r>
  <r>
    <s v="Ростов-на-Дону"/>
    <x v="6"/>
    <s v="НПО Турбулентность-Дон"/>
    <s v="Холдинги 1"/>
    <x v="9"/>
    <x v="0"/>
    <x v="1"/>
    <x v="1"/>
    <d v="2025-01-14T00:00:00"/>
    <d v="2025-04-08T00:00:00"/>
    <m/>
    <n v="-45671"/>
    <n v="84"/>
    <n v="45755"/>
    <m/>
    <m/>
    <m/>
    <s v="Александрова Влада"/>
  </r>
  <r>
    <s v="Ростов-на-Дону"/>
    <x v="6"/>
    <s v="НПО Турбулентность-Дон"/>
    <s v="Холдинги 1"/>
    <x v="8"/>
    <x v="0"/>
    <x v="2"/>
    <x v="1"/>
    <d v="2025-01-14T00:00:00"/>
    <d v="2025-07-01T00:00:00"/>
    <m/>
    <n v="-45671"/>
    <n v="168"/>
    <n v="45839"/>
    <m/>
    <m/>
    <m/>
    <s v="Александрова Влада"/>
  </r>
  <r>
    <s v="Ростов-на-Дону"/>
    <x v="6"/>
    <s v="НПО Турбулентность-Дон"/>
    <s v="Холдинги 2"/>
    <x v="8"/>
    <x v="0"/>
    <x v="2"/>
    <x v="1"/>
    <d v="2025-01-14T00:00:00"/>
    <d v="2025-02-25T00:00:00"/>
    <m/>
    <n v="-45671"/>
    <n v="42"/>
    <n v="45713"/>
    <m/>
    <m/>
    <m/>
    <s v="Александрова Влада"/>
  </r>
  <r>
    <s v="Ростов-на-Дону"/>
    <x v="6"/>
    <s v="НПО Турбулентность-Дон"/>
    <s v="Холдинги 3"/>
    <x v="9"/>
    <x v="0"/>
    <x v="1"/>
    <x v="1"/>
    <d v="2025-01-14T00:00:00"/>
    <d v="2025-04-08T00:00:00"/>
    <m/>
    <n v="-45671"/>
    <n v="84"/>
    <n v="45755"/>
    <m/>
    <m/>
    <m/>
    <s v="Александрова Влада"/>
  </r>
  <r>
    <s v="Ростов-на-Дону"/>
    <x v="6"/>
    <s v="НПО Турбулентность-Дон"/>
    <s v="Холдинги 3"/>
    <x v="8"/>
    <x v="0"/>
    <x v="2"/>
    <x v="1"/>
    <d v="2025-01-14T00:00:00"/>
    <d v="2025-07-01T00:00:00"/>
    <m/>
    <n v="-45671"/>
    <n v="168"/>
    <n v="45839"/>
    <m/>
    <m/>
    <m/>
    <s v="Александрова Влада"/>
  </r>
  <r>
    <s v="Новошахтинск"/>
    <x v="10"/>
    <s v="Конструкторское бюро"/>
    <s v="СЦ Новошахтинск"/>
    <x v="11"/>
    <x v="0"/>
    <x v="0"/>
    <x v="2"/>
    <d v="2025-01-14T00:00:00"/>
    <d v="2025-02-25T00:00:00"/>
    <d v="2025-01-24T00:00:00"/>
    <n v="10"/>
    <n v="42"/>
    <n v="32"/>
    <s v="Еремеева Мария"/>
    <m/>
    <m/>
    <s v="Зуйкина Анна"/>
  </r>
  <r>
    <s v="Миллерово"/>
    <x v="11"/>
    <s v="Производство БМИ"/>
    <s v="СЦ Миллерово"/>
    <x v="12"/>
    <x v="0"/>
    <x v="0"/>
    <x v="0"/>
    <d v="2025-01-14T00:00:00"/>
    <d v="2025-02-25T00:00:00"/>
    <d v="2025-02-12T00:00:00"/>
    <n v="29"/>
    <n v="42"/>
    <n v="13"/>
    <s v="Недвига Игорь"/>
    <m/>
    <m/>
    <s v="Лаврикова Лариса"/>
  </r>
  <r>
    <s v="Ростов-на-Дону"/>
    <x v="2"/>
    <s v="Милака"/>
    <s v="Гостиница"/>
    <x v="13"/>
    <x v="0"/>
    <x v="0"/>
    <x v="0"/>
    <d v="2025-01-14T00:00:00"/>
    <d v="2025-02-25T00:00:00"/>
    <d v="2025-02-14T00:00:00"/>
    <n v="31"/>
    <n v="42"/>
    <n v="11"/>
    <s v="Крымский Илья"/>
    <m/>
    <m/>
    <s v="Камышанова Мария"/>
  </r>
  <r>
    <s v="Ростов-на-Дону"/>
    <x v="12"/>
    <s v="НПО Турбулентность-Дон"/>
    <s v="Механический цех"/>
    <x v="14"/>
    <x v="0"/>
    <x v="0"/>
    <x v="1"/>
    <d v="2025-01-14T00:00:00"/>
    <d v="2025-02-25T00:00:00"/>
    <m/>
    <n v="-45671"/>
    <n v="42"/>
    <n v="45713"/>
    <m/>
    <m/>
    <m/>
    <s v="Зуйкина Анна"/>
  </r>
  <r>
    <s v="Ростов-на-Дону"/>
    <x v="13"/>
    <s v="НПО Турбулентность-Дон"/>
    <s v="Производство БМИ"/>
    <x v="15"/>
    <x v="0"/>
    <x v="0"/>
    <x v="0"/>
    <d v="2025-01-14T00:00:00"/>
    <d v="2025-02-25T00:00:00"/>
    <d v="2025-02-05T00:00:00"/>
    <n v="22"/>
    <n v="42"/>
    <n v="20"/>
    <s v="Данилишин Роман"/>
    <m/>
    <m/>
    <s v="Ворончихина Елена"/>
  </r>
  <r>
    <s v="Ростов-на-Дону"/>
    <x v="13"/>
    <s v="НПО Турбулентность-Дон"/>
    <s v="Производство БМИ"/>
    <x v="16"/>
    <x v="0"/>
    <x v="0"/>
    <x v="0"/>
    <d v="2025-01-14T00:00:00"/>
    <d v="2025-02-25T00:00:00"/>
    <d v="2025-02-06T00:00:00"/>
    <n v="23"/>
    <n v="42"/>
    <n v="19"/>
    <s v="Литвинов Антон"/>
    <m/>
    <m/>
    <s v="Лаврикова Лариса"/>
  </r>
  <r>
    <s v="Ростов-на-Дону"/>
    <x v="14"/>
    <s v="НПО Турбулентность-Дон"/>
    <s v="Служба безопасности"/>
    <x v="17"/>
    <x v="0"/>
    <x v="0"/>
    <x v="0"/>
    <d v="2025-01-14T00:00:00"/>
    <d v="2025-02-25T00:00:00"/>
    <d v="2025-02-03T00:00:00"/>
    <n v="20"/>
    <n v="42"/>
    <n v="22"/>
    <s v="Чистова Татьяна"/>
    <m/>
    <m/>
    <s v="Зуйкина Анна"/>
  </r>
  <r>
    <s v="Ростов-на-Дону"/>
    <x v="15"/>
    <s v="НПО Турбулентность-Дон"/>
    <s v="ОТК1"/>
    <x v="18"/>
    <x v="0"/>
    <x v="0"/>
    <x v="0"/>
    <d v="2025-01-14T00:00:00"/>
    <d v="2025-02-25T00:00:00"/>
    <d v="2025-02-10T00:00:00"/>
    <n v="27"/>
    <n v="42"/>
    <n v="15"/>
    <s v="Суздальцев Вадим"/>
    <m/>
    <m/>
    <s v="Камышанова Мария"/>
  </r>
  <r>
    <s v="Ростов-на-Дону"/>
    <x v="16"/>
    <s v="НПО Турбулентность-Дон"/>
    <s v="Склад"/>
    <x v="19"/>
    <x v="0"/>
    <x v="0"/>
    <x v="0"/>
    <d v="2025-01-14T00:00:00"/>
    <d v="2025-02-25T00:00:00"/>
    <d v="2025-02-27T00:00:00"/>
    <n v="44"/>
    <n v="42"/>
    <n v="-2"/>
    <s v="Свинарев Дмитрий"/>
    <m/>
    <m/>
    <s v="Камышанова Мария"/>
  </r>
  <r>
    <s v="Ростов-на-Дону"/>
    <x v="17"/>
    <s v="НПО Турбулентность-Дон"/>
    <s v="Служба развития"/>
    <x v="20"/>
    <x v="0"/>
    <x v="0"/>
    <x v="0"/>
    <d v="2025-01-14T00:00:00"/>
    <d v="2025-02-25T00:00:00"/>
    <d v="2025-02-07T00:00:00"/>
    <n v="24"/>
    <n v="42"/>
    <n v="18"/>
    <s v="Реутов Виталий"/>
    <m/>
    <m/>
    <s v="Лаврикова Лариса"/>
  </r>
  <r>
    <s v="Ростов-на-Дону"/>
    <x v="17"/>
    <s v="НПО Турбулентность-Дон"/>
    <s v="Служба развития"/>
    <x v="21"/>
    <x v="0"/>
    <x v="1"/>
    <x v="1"/>
    <d v="2025-01-14T00:00:00"/>
    <d v="2025-02-25T00:00:00"/>
    <d v="2025-03-10T00:00:00"/>
    <n v="55"/>
    <n v="42"/>
    <n v="-13"/>
    <s v="Азарова Анна"/>
    <m/>
    <m/>
    <s v="Лаврикова Лариса"/>
  </r>
  <r>
    <s v="Ростов-на-Дону"/>
    <x v="1"/>
    <s v="НПО Турбулентность-Дон"/>
    <s v="Конструкторское бюро"/>
    <x v="22"/>
    <x v="0"/>
    <x v="0"/>
    <x v="1"/>
    <d v="2025-01-14T00:00:00"/>
    <d v="2025-02-25T00:00:00"/>
    <d v="2025-03-03T00:00:00"/>
    <n v="48"/>
    <n v="42"/>
    <n v="-6"/>
    <s v="Хлебникова Яна"/>
    <m/>
    <m/>
    <s v="Ворончихина Елена"/>
  </r>
  <r>
    <s v="Ростов-на-Дону"/>
    <x v="1"/>
    <s v="НПО Турбулентность-Дон"/>
    <s v="Конструкторское бюро"/>
    <x v="23"/>
    <x v="0"/>
    <x v="0"/>
    <x v="1"/>
    <d v="2025-01-15T00:00:00"/>
    <d v="2025-02-26T00:00:00"/>
    <d v="2025-03-03T00:00:00"/>
    <n v="47"/>
    <n v="42"/>
    <n v="-5"/>
    <s v="Ануфриева Оксана"/>
    <m/>
    <m/>
    <s v="Зуйкина Анна"/>
  </r>
  <r>
    <s v="Ростов-на-Дону"/>
    <x v="12"/>
    <s v="НПО Турбулентность-Дон"/>
    <s v="ГСПП"/>
    <x v="24"/>
    <x v="0"/>
    <x v="0"/>
    <x v="2"/>
    <d v="2025-01-15T00:00:00"/>
    <d v="2025-02-26T00:00:00"/>
    <d v="2025-01-23T00:00:00"/>
    <n v="8"/>
    <n v="42"/>
    <n v="34"/>
    <s v="Косьянко Елена"/>
    <m/>
    <m/>
    <s v="Лаврикова Лариса"/>
  </r>
  <r>
    <s v="Ростов-на-Дону"/>
    <x v="18"/>
    <s v="Амурская легенда"/>
    <s v="Производство  "/>
    <x v="25"/>
    <x v="0"/>
    <x v="0"/>
    <x v="1"/>
    <d v="2025-01-20T00:00:00"/>
    <d v="2025-02-24T00:00:00"/>
    <m/>
    <n v="-45677"/>
    <n v="35"/>
    <n v="45712"/>
    <m/>
    <m/>
    <m/>
    <s v="Камышанова Мария"/>
  </r>
  <r>
    <s v="Ростов-на-Дону"/>
    <x v="19"/>
    <s v="НПО Турбулентность-Дон"/>
    <s v="Отдел сопровождение 1С"/>
    <x v="26"/>
    <x v="0"/>
    <x v="3"/>
    <x v="1"/>
    <d v="2025-01-20T00:00:00"/>
    <d v="2025-03-03T00:00:00"/>
    <m/>
    <n v="-45677"/>
    <n v="42"/>
    <n v="45719"/>
    <m/>
    <m/>
    <m/>
    <s v="Лаврикова Лариса"/>
  </r>
  <r>
    <s v="Ростов-на-Дону"/>
    <x v="19"/>
    <s v="НПО Турбулентность-Дон"/>
    <s v="Отдел сопровождение 1С"/>
    <x v="26"/>
    <x v="0"/>
    <x v="3"/>
    <x v="0"/>
    <d v="2025-01-20T00:00:00"/>
    <d v="2025-03-03T00:00:00"/>
    <d v="2025-02-18T00:00:00"/>
    <n v="29"/>
    <n v="42"/>
    <n v="13"/>
    <s v="закрыта на совещании у ИБ"/>
    <m/>
    <m/>
    <s v="Лаврикова Лариса"/>
  </r>
  <r>
    <s v="Ростов-на-Дону"/>
    <x v="13"/>
    <s v="НПО Турбулентность-Дон"/>
    <s v="Производство БМИ"/>
    <x v="27"/>
    <x v="0"/>
    <x v="3"/>
    <x v="2"/>
    <d v="2025-01-20T00:00:00"/>
    <d v="2025-03-03T00:00:00"/>
    <d v="2025-01-22T00:00:00"/>
    <n v="2"/>
    <n v="42"/>
    <n v="40"/>
    <s v="Сухориян Наталья"/>
    <m/>
    <m/>
    <s v="Лаврикова Лариса"/>
  </r>
  <r>
    <s v="Ростов-на-Дону"/>
    <x v="15"/>
    <s v="НПО Турбулентность-Дон"/>
    <s v="Служба качества"/>
    <x v="28"/>
    <x v="0"/>
    <x v="1"/>
    <x v="1"/>
    <d v="2025-01-20T00:00:00"/>
    <d v="2025-04-14T00:00:00"/>
    <m/>
    <n v="-45677"/>
    <n v="84"/>
    <n v="45761"/>
    <m/>
    <m/>
    <m/>
    <s v="Ворончихина Елена"/>
  </r>
  <r>
    <s v="Ростов-на-Дону"/>
    <x v="6"/>
    <s v="НПО Турбулентность-Дон"/>
    <s v="Отдел ВЭД"/>
    <x v="9"/>
    <x v="0"/>
    <x v="1"/>
    <x v="2"/>
    <d v="2025-01-23T00:00:00"/>
    <d v="2025-04-17T00:00:00"/>
    <d v="2025-01-30T00:00:00"/>
    <n v="7"/>
    <n v="84"/>
    <n v="77"/>
    <s v="вакансия снята заказчиком"/>
    <m/>
    <m/>
    <s v="Ворончихина Елена"/>
  </r>
  <r>
    <s v="Ростов-на-Дону"/>
    <x v="14"/>
    <s v="НПО Турбулентность-Дон"/>
    <s v="Служба безопасности"/>
    <x v="29"/>
    <x v="0"/>
    <x v="0"/>
    <x v="3"/>
    <d v="2025-01-23T00:00:00"/>
    <d v="2025-02-27T00:00:00"/>
    <d v="2025-03-01T00:00:00"/>
    <n v="37"/>
    <n v="35"/>
    <n v="-2"/>
    <s v="Усик Андрей"/>
    <m/>
    <m/>
    <s v="Камышанова Мария"/>
  </r>
  <r>
    <s v="Ростов-на-Дону"/>
    <x v="20"/>
    <s v="НПО Турбулентность-Дон"/>
    <s v="Служба персонала"/>
    <x v="30"/>
    <x v="0"/>
    <x v="3"/>
    <x v="1"/>
    <d v="2025-01-23T00:00:00"/>
    <d v="2025-03-06T00:00:00"/>
    <m/>
    <n v="-45680"/>
    <n v="42"/>
    <n v="45722"/>
    <m/>
    <m/>
    <m/>
    <s v="Лаврикова Лариса"/>
  </r>
  <r>
    <s v="Ростов-на-Дону"/>
    <x v="20"/>
    <s v="НПО Турбулентность-Дон"/>
    <s v="Служба персонала"/>
    <x v="31"/>
    <x v="0"/>
    <x v="3"/>
    <x v="1"/>
    <d v="2025-01-23T00:00:00"/>
    <d v="2025-03-06T00:00:00"/>
    <m/>
    <n v="-45680"/>
    <n v="42"/>
    <n v="45722"/>
    <m/>
    <m/>
    <m/>
    <s v="Зуйкина Анна"/>
  </r>
  <r>
    <s v="Ростов-на-Дону"/>
    <x v="1"/>
    <s v="НПО Турбулентность-Дон"/>
    <s v="Отдел метрологии и сертификации"/>
    <x v="32"/>
    <x v="0"/>
    <x v="3"/>
    <x v="0"/>
    <d v="2025-01-23T00:00:00"/>
    <d v="2025-03-06T00:00:00"/>
    <d v="2025-02-11T00:00:00"/>
    <n v="19"/>
    <n v="42"/>
    <n v="23"/>
    <s v="Борох Данил"/>
    <m/>
    <m/>
    <s v="Зуйкина Анна"/>
  </r>
  <r>
    <s v="Ростов-на-Дону"/>
    <x v="15"/>
    <s v="НПО Турбулентность-Дон"/>
    <s v="ОТК1"/>
    <x v="33"/>
    <x v="0"/>
    <x v="3"/>
    <x v="0"/>
    <d v="2025-01-27T00:00:00"/>
    <d v="2025-03-10T00:00:00"/>
    <d v="2025-02-24T00:00:00"/>
    <n v="28"/>
    <n v="42"/>
    <n v="14"/>
    <s v="Хамхоева Татьяна"/>
    <m/>
    <m/>
    <s v="Камышанова Мария"/>
  </r>
  <r>
    <s v="Ростов-на-Дону"/>
    <x v="13"/>
    <s v="НПО Турбулентность-Дон"/>
    <s v="Производство БМИ"/>
    <x v="34"/>
    <x v="0"/>
    <x v="3"/>
    <x v="1"/>
    <d v="2025-01-27T00:00:00"/>
    <d v="2025-03-10T00:00:00"/>
    <m/>
    <n v="-45684"/>
    <n v="42"/>
    <n v="45726"/>
    <m/>
    <m/>
    <m/>
    <s v="Ворончихина Елена"/>
  </r>
  <r>
    <s v="Ростов-на-Дону"/>
    <x v="15"/>
    <s v="НПО Турбулентность-Дон"/>
    <s v="ОТК1"/>
    <x v="18"/>
    <x v="0"/>
    <x v="3"/>
    <x v="0"/>
    <d v="2025-01-28T00:00:00"/>
    <d v="2025-03-11T00:00:00"/>
    <d v="2025-02-11T00:00:00"/>
    <n v="14"/>
    <n v="42"/>
    <n v="28"/>
    <s v="Коробка Илья"/>
    <m/>
    <m/>
    <s v="Камышанова Мария"/>
  </r>
  <r>
    <s v="Ростов-на-Дону"/>
    <x v="6"/>
    <s v="НПО Турбулентность-Дон"/>
    <s v="Холдинги 2"/>
    <x v="9"/>
    <x v="0"/>
    <x v="3"/>
    <x v="0"/>
    <d v="2025-01-16T00:00:00"/>
    <d v="2025-02-27T00:00:00"/>
    <d v="2025-02-03T00:00:00"/>
    <n v="18"/>
    <n v="42"/>
    <n v="24"/>
    <s v="Шарова Анастасия"/>
    <m/>
    <m/>
    <s v="Александрова Влада"/>
  </r>
  <r>
    <s v="Ростов-на-Дону"/>
    <x v="15"/>
    <s v="НПО Турбулентность-Дон"/>
    <s v="ОТК1"/>
    <x v="18"/>
    <x v="1"/>
    <x v="3"/>
    <x v="0"/>
    <d v="2025-02-03T00:00:00"/>
    <d v="2025-03-17T00:00:00"/>
    <d v="2025-02-07T00:00:00"/>
    <n v="4"/>
    <n v="42"/>
    <n v="38"/>
    <s v="вакансия снята заказчиком"/>
    <m/>
    <m/>
    <s v="Камышанова Мария"/>
  </r>
  <r>
    <s v="Ростов-на-Дону"/>
    <x v="21"/>
    <s v="АЛМАЗ"/>
    <s v="Отдел по работе с рекламациями"/>
    <x v="35"/>
    <x v="1"/>
    <x v="3"/>
    <x v="1"/>
    <d v="2025-02-03T00:00:00"/>
    <d v="2025-03-17T00:00:00"/>
    <m/>
    <n v="-45691"/>
    <n v="42"/>
    <n v="45733"/>
    <m/>
    <m/>
    <m/>
    <s v="Зуйкина Анна"/>
  </r>
  <r>
    <s v="Ростов-на-Дону"/>
    <x v="0"/>
    <s v="ИП Магакян Е.И."/>
    <s v="ИТЦ"/>
    <x v="3"/>
    <x v="0"/>
    <x v="3"/>
    <x v="0"/>
    <d v="2025-01-29T00:00:00"/>
    <d v="2025-03-12T00:00:00"/>
    <d v="2025-02-20T00:00:00"/>
    <n v="22"/>
    <n v="42"/>
    <n v="20"/>
    <m/>
    <m/>
    <m/>
    <s v="Ворончихина Елена"/>
  </r>
  <r>
    <s v="Ростов-на-Дону"/>
    <x v="12"/>
    <s v="НПО Турбулентность-Дон"/>
    <s v="ГСПП"/>
    <x v="24"/>
    <x v="1"/>
    <x v="3"/>
    <x v="1"/>
    <d v="2025-02-03T00:00:00"/>
    <d v="2025-03-17T00:00:00"/>
    <d v="2025-02-28T00:00:00"/>
    <n v="25"/>
    <n v="42"/>
    <n v="17"/>
    <s v="Кобцева Инесса"/>
    <m/>
    <m/>
    <s v="Лаврикова Лариса"/>
  </r>
  <r>
    <s v="Москва"/>
    <x v="19"/>
    <s v="НПО Турбулентность-Дон"/>
    <s v="Управление делами"/>
    <x v="36"/>
    <x v="0"/>
    <x v="0"/>
    <x v="1"/>
    <d v="2025-01-09T00:00:00"/>
    <d v="2025-02-20T00:00:00"/>
    <d v="2025-03-03T00:00:00"/>
    <n v="53"/>
    <n v="42"/>
    <n v="-11"/>
    <s v="Малахова Кристина"/>
    <m/>
    <m/>
    <s v="Ворончихина Елена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s v="Лаврикова Лариса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s v="Камышанова Мария "/>
  </r>
  <r>
    <s v="Ростов-на-Дону"/>
    <x v="1"/>
    <s v="НПО Турбулентность-Дон"/>
    <s v="Конструкторское бюро"/>
    <x v="37"/>
    <x v="1"/>
    <x v="4"/>
    <x v="1"/>
    <d v="2025-02-07T00:00:00"/>
    <d v="2025-05-02T00:00:00"/>
    <m/>
    <n v="-45695"/>
    <n v="84"/>
    <n v="45779"/>
    <m/>
    <m/>
    <m/>
    <s v="Зуйкина Анна"/>
  </r>
  <r>
    <s v="Ростов-на-Дону"/>
    <x v="1"/>
    <s v="НПО Турбулентность-Дон"/>
    <s v="Конструкторское бюро"/>
    <x v="38"/>
    <x v="1"/>
    <x v="3"/>
    <x v="1"/>
    <d v="2025-02-07T00:00:00"/>
    <d v="2025-03-21T00:00:00"/>
    <d v="2025-02-28T00:00:00"/>
    <n v="21"/>
    <n v="42"/>
    <n v="21"/>
    <s v="Козлов Владислав"/>
    <m/>
    <m/>
    <s v="Лаврикова Лариса"/>
  </r>
  <r>
    <s v="Ростов-на-Дону"/>
    <x v="1"/>
    <s v="НПО Турбулентность-Дон"/>
    <s v="Конструкторское бюро"/>
    <x v="38"/>
    <x v="1"/>
    <x v="3"/>
    <x v="0"/>
    <d v="2025-02-07T00:00:00"/>
    <d v="2025-03-21T00:00:00"/>
    <d v="2025-02-12T00:00:00"/>
    <n v="5"/>
    <n v="42"/>
    <n v="37"/>
    <s v="Близнюкова Светлана"/>
    <m/>
    <m/>
    <s v="Камышанова Мария "/>
  </r>
  <r>
    <s v="Ростов-на-Дону"/>
    <x v="1"/>
    <s v="НПО Турбулентность-Дон"/>
    <s v="Конструкторское бюро"/>
    <x v="38"/>
    <x v="1"/>
    <x v="4"/>
    <x v="1"/>
    <d v="2025-02-07T00:00:00"/>
    <d v="2025-05-02T00:00:00"/>
    <m/>
    <n v="-45695"/>
    <n v="84"/>
    <n v="45779"/>
    <m/>
    <m/>
    <m/>
    <s v="Зуйкина Анна"/>
  </r>
  <r>
    <s v="Ростов-на-Дону"/>
    <x v="22"/>
    <s v="АЛМАЗ"/>
    <s v="ПЦ №2"/>
    <x v="39"/>
    <x v="1"/>
    <x v="3"/>
    <x v="1"/>
    <d v="2025-02-17T00:00:00"/>
    <d v="2025-03-24T00:00:00"/>
    <d v="2025-03-03T00:00:00"/>
    <n v="14"/>
    <n v="35"/>
    <n v="21"/>
    <s v="Беседин Вадим"/>
    <m/>
    <m/>
    <s v="Лаврикова Лариса"/>
  </r>
  <r>
    <s v="Ростов-на-Дону"/>
    <x v="22"/>
    <s v="АЛМАЗ"/>
    <s v="ПЦ №2"/>
    <x v="39"/>
    <x v="1"/>
    <x v="3"/>
    <x v="1"/>
    <d v="2025-02-17T00:00:00"/>
    <d v="2025-03-24T00:00:00"/>
    <m/>
    <n v="-45705"/>
    <n v="35"/>
    <n v="45740"/>
    <m/>
    <m/>
    <m/>
    <s v="Лаврикова Лариса"/>
  </r>
  <r>
    <s v="Ростов-на-Дону"/>
    <x v="22"/>
    <s v="АЛМАЗ"/>
    <s v="ПЦ №2"/>
    <x v="39"/>
    <x v="1"/>
    <x v="3"/>
    <x v="1"/>
    <d v="2025-02-17T00:00:00"/>
    <d v="2025-03-24T00:00:00"/>
    <m/>
    <n v="-45705"/>
    <n v="35"/>
    <n v="45740"/>
    <m/>
    <m/>
    <m/>
    <s v="Лаврикова Лариса"/>
  </r>
  <r>
    <s v="Ростов-на-Дону"/>
    <x v="22"/>
    <s v="АЛМАЗ"/>
    <s v="ПЦ №2"/>
    <x v="40"/>
    <x v="1"/>
    <x v="3"/>
    <x v="1"/>
    <d v="2025-02-17T00:00:00"/>
    <d v="2025-03-24T00:00:00"/>
    <m/>
    <n v="-45705"/>
    <n v="35"/>
    <n v="45740"/>
    <m/>
    <m/>
    <m/>
    <s v="Лаврикова Лариса"/>
  </r>
  <r>
    <s v="Ростов-на-Дону"/>
    <x v="6"/>
    <s v="НПО Турбулентность-Дон"/>
    <s v="ОДППО"/>
    <x v="9"/>
    <x v="1"/>
    <x v="3"/>
    <x v="1"/>
    <d v="2025-02-17T00:00:00"/>
    <d v="2025-03-31T00:00:00"/>
    <m/>
    <n v="-45705"/>
    <n v="42"/>
    <n v="45747"/>
    <m/>
    <m/>
    <m/>
    <s v="Ворончихина Елена"/>
  </r>
  <r>
    <s v="Ростов-на-Дону"/>
    <x v="17"/>
    <s v="НПО Турбулентность-Дон"/>
    <s v="Служба развития"/>
    <x v="41"/>
    <x v="1"/>
    <x v="3"/>
    <x v="0"/>
    <d v="2025-02-17T00:00:00"/>
    <d v="2025-03-31T00:00:00"/>
    <d v="2025-02-18T00:00:00"/>
    <n v="1"/>
    <n v="42"/>
    <n v="41"/>
    <s v="Колбаса Александр"/>
    <m/>
    <m/>
    <s v="Лаврикова Лариса"/>
  </r>
  <r>
    <s v="Ростов-на-Дону"/>
    <x v="12"/>
    <s v="НПО Турбулентность-Дон"/>
    <s v="Механический цех"/>
    <x v="42"/>
    <x v="1"/>
    <x v="3"/>
    <x v="1"/>
    <d v="2025-02-17T00:00:00"/>
    <d v="2025-03-31T00:00:00"/>
    <m/>
    <n v="-45705"/>
    <n v="42"/>
    <n v="45747"/>
    <m/>
    <m/>
    <m/>
    <s v="Камышанова Мария"/>
  </r>
  <r>
    <s v="Ростов-на-Дону"/>
    <x v="23"/>
    <s v="НПО Турбулентность-Дон"/>
    <s v="Бухгалтерия"/>
    <x v="43"/>
    <x v="1"/>
    <x v="1"/>
    <x v="1"/>
    <d v="2025-02-21T00:00:00"/>
    <d v="2025-04-04T00:00:00"/>
    <m/>
    <n v="-45709"/>
    <n v="42"/>
    <n v="45751"/>
    <m/>
    <m/>
    <m/>
    <s v="Лаврикова Лариса"/>
  </r>
  <r>
    <s v="Ростов-на-Дону"/>
    <x v="6"/>
    <s v="НПО Турбулентность-Дон"/>
    <s v="ОПБМИ"/>
    <x v="8"/>
    <x v="1"/>
    <x v="1"/>
    <x v="1"/>
    <d v="2025-02-21T00:00:00"/>
    <d v="2025-04-04T00:00:00"/>
    <m/>
    <n v="-45709"/>
    <n v="42"/>
    <n v="45751"/>
    <m/>
    <m/>
    <m/>
    <s v="Ворончихина Елена"/>
  </r>
  <r>
    <s v="Ростов-на-Дону"/>
    <x v="15"/>
    <s v="НПО Турбулентность-Дон"/>
    <s v="ОТК1"/>
    <x v="18"/>
    <x v="1"/>
    <x v="1"/>
    <x v="1"/>
    <d v="2025-02-21T00:00:00"/>
    <d v="2025-04-04T00:00:00"/>
    <m/>
    <n v="-45709"/>
    <n v="42"/>
    <n v="45751"/>
    <m/>
    <m/>
    <m/>
    <s v="Камышанова Мария"/>
  </r>
  <r>
    <s v="Ростов-на-Дону"/>
    <x v="6"/>
    <s v="НПО Турбулентность-Дон"/>
    <s v="ОПЭОиУ"/>
    <x v="33"/>
    <x v="1"/>
    <x v="1"/>
    <x v="1"/>
    <d v="2025-02-21T00:00:00"/>
    <d v="2025-04-04T00:00:00"/>
    <m/>
    <n v="-45709"/>
    <n v="42"/>
    <n v="45751"/>
    <m/>
    <m/>
    <m/>
    <s v="Ворончихина Елена"/>
  </r>
  <r>
    <s v="Ростов-на-Дону"/>
    <x v="1"/>
    <s v="НПО Турбулентность-Дон"/>
    <s v="Конструкторское бюро"/>
    <x v="44"/>
    <x v="1"/>
    <x v="1"/>
    <x v="1"/>
    <d v="2025-02-21T00:00:00"/>
    <d v="2025-04-04T00:00:00"/>
    <m/>
    <n v="-45709"/>
    <n v="42"/>
    <n v="45751"/>
    <m/>
    <m/>
    <m/>
    <s v="Зуйкина Анна"/>
  </r>
  <r>
    <s v="Ростов-на-Дону"/>
    <x v="0"/>
    <s v="ИП Магакян Е.И."/>
    <s v="ИТЦ"/>
    <x v="3"/>
    <x v="1"/>
    <x v="4"/>
    <x v="1"/>
    <d v="2025-02-21T00:00:00"/>
    <d v="2025-05-16T00:00:00"/>
    <d v="2025-03-10T00:00:00"/>
    <n v="17"/>
    <n v="84"/>
    <n v="67"/>
    <s v="Вагин Никита"/>
    <m/>
    <m/>
    <s v="Ворончихина Елена"/>
  </r>
  <r>
    <s v="Ростов-на-Дону"/>
    <x v="0"/>
    <s v="ИП Магакян Е.И."/>
    <s v="ИТЦ"/>
    <x v="45"/>
    <x v="1"/>
    <x v="4"/>
    <x v="1"/>
    <d v="2025-02-21T00:00:00"/>
    <d v="2025-05-16T00:00:00"/>
    <m/>
    <n v="-45709"/>
    <n v="84"/>
    <n v="45793"/>
    <m/>
    <m/>
    <m/>
    <s v="Ворончихина Елена"/>
  </r>
  <r>
    <s v="Ростов-на-Дону"/>
    <x v="0"/>
    <s v="ИП Магакян Е.И."/>
    <s v="ИТЦ"/>
    <x v="46"/>
    <x v="1"/>
    <x v="4"/>
    <x v="1"/>
    <d v="2025-02-21T00:00:00"/>
    <d v="2025-05-16T00:00:00"/>
    <m/>
    <n v="-45709"/>
    <n v="84"/>
    <n v="45793"/>
    <m/>
    <m/>
    <m/>
    <s v="Ворончихина Елена"/>
  </r>
  <r>
    <s v="Ростов-на-Дону"/>
    <x v="0"/>
    <s v="ИП Магакян Е.И."/>
    <s v="ИТЦ"/>
    <x v="47"/>
    <x v="1"/>
    <x v="4"/>
    <x v="1"/>
    <d v="2025-02-21T00:00:00"/>
    <d v="2025-05-16T00:00:00"/>
    <m/>
    <n v="-45709"/>
    <n v="84"/>
    <n v="45793"/>
    <m/>
    <m/>
    <m/>
    <s v="Ворончихина Елена"/>
  </r>
  <r>
    <s v="Ростов-на-Дону"/>
    <x v="6"/>
    <s v="НПО Турбулентность-Дон"/>
    <s v="ОПЭОиУ"/>
    <x v="8"/>
    <x v="1"/>
    <x v="1"/>
    <x v="1"/>
    <d v="2025-02-24T00:00:00"/>
    <d v="2025-04-07T00:00:00"/>
    <m/>
    <n v="-45712"/>
    <n v="42"/>
    <n v="45754"/>
    <m/>
    <m/>
    <m/>
    <s v="Ворончихина Елена"/>
  </r>
  <r>
    <s v="Ростов-на-Дону"/>
    <x v="13"/>
    <s v="НПО Турбулентность-Дон"/>
    <s v="Производство БМИ"/>
    <x v="19"/>
    <x v="1"/>
    <x v="1"/>
    <x v="1"/>
    <d v="2025-02-24T00:00:00"/>
    <d v="2025-04-07T00:00:00"/>
    <m/>
    <n v="-45712"/>
    <n v="42"/>
    <n v="45754"/>
    <m/>
    <m/>
    <m/>
    <s v="Камышанова Мария"/>
  </r>
  <r>
    <s v="Ростов-на-Дону"/>
    <x v="12"/>
    <s v="НПО Турбулентность-Дон"/>
    <s v="Планово-диспетчерская служба"/>
    <x v="48"/>
    <x v="1"/>
    <x v="1"/>
    <x v="1"/>
    <d v="2025-02-25T00:00:00"/>
    <d v="2025-04-08T00:00:00"/>
    <d v="2025-03-06T00:00:00"/>
    <n v="9"/>
    <n v="42"/>
    <n v="33"/>
    <s v="Мирошник Анастасия"/>
    <m/>
    <m/>
    <s v="Лаврикова Лариса"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2024-04-08T00:00:00"/>
    <m/>
    <n v="0"/>
    <m/>
    <n v="0"/>
    <m/>
    <m/>
    <m/>
    <m/>
  </r>
  <r>
    <m/>
    <x v="24"/>
    <m/>
    <m/>
    <x v="49"/>
    <x v="2"/>
    <x v="5"/>
    <x v="1"/>
    <m/>
    <d v="2024-04-08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  <r>
    <m/>
    <x v="24"/>
    <m/>
    <m/>
    <x v="49"/>
    <x v="2"/>
    <x v="5"/>
    <x v="1"/>
    <m/>
    <d v="1899-12-30T00:00:00"/>
    <m/>
    <n v="0"/>
    <m/>
    <n v="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79">
  <r>
    <s v="Замена"/>
    <x v="0"/>
    <s v="Ростов-на-Дону"/>
    <s v="ЦФО Ком.служба (2 ур)"/>
    <x v="0"/>
    <x v="0"/>
    <s v="Менеджер по сопровождению"/>
    <x v="0"/>
    <x v="0"/>
    <x v="0"/>
    <d v="2026-01-12T00:00:00"/>
    <d v="2026-02-23T00:00:00"/>
    <d v="2025-12-25T00:00:00"/>
    <n v="-18"/>
    <n v="42"/>
    <n v="60"/>
    <s v="Мулявка В."/>
    <m/>
    <n v="-46016"/>
    <s v="Житкова Ева"/>
  </r>
  <r>
    <s v="Замена"/>
    <x v="0"/>
    <s v="Ростов-на-Дону"/>
    <s v="ЦФО Служба качества (2 ур)"/>
    <x v="0"/>
    <x v="1"/>
    <s v="Начальник отдела управления несоответствиями"/>
    <x v="0"/>
    <x v="1"/>
    <x v="0"/>
    <d v="2026-01-12T00:00:00"/>
    <d v="2026-02-23T00:00:00"/>
    <d v="2026-01-12T00:00:00"/>
    <n v="0"/>
    <n v="42"/>
    <n v="42"/>
    <s v="Грунтовский Дмитрий"/>
    <m/>
    <n v="-46034"/>
    <s v="Камышанова Мария"/>
  </r>
  <r>
    <s v="Замена"/>
    <x v="0"/>
    <s v="Ростов-на-Дону"/>
    <s v="ЦФО Исполнительный директор (2 ур)"/>
    <x v="0"/>
    <x v="2"/>
    <s v="Программист 1С"/>
    <x v="0"/>
    <x v="1"/>
    <x v="0"/>
    <d v="2026-01-12T00:00:00"/>
    <d v="2026-02-23T00:00:00"/>
    <d v="2025-12-16T00:00:00"/>
    <n v="-27"/>
    <n v="42"/>
    <n v="69"/>
    <s v="снята заказчиком до 01.03.2025"/>
    <m/>
    <n v="-46007"/>
    <s v="Камышанова Мария"/>
  </r>
  <r>
    <s v="Замена"/>
    <x v="0"/>
    <s v="Ростов-на-Дону"/>
    <s v="ЦФО Производство №1 (1 ур)"/>
    <x v="0"/>
    <x v="3"/>
    <s v="Диспетчер производства"/>
    <x v="0"/>
    <x v="2"/>
    <x v="0"/>
    <d v="2026-01-12T00:00:00"/>
    <d v="2026-02-23T00:00:00"/>
    <d v="2026-01-14T00:00:00"/>
    <n v="2"/>
    <n v="42"/>
    <n v="40"/>
    <s v="Гайбарян Юля"/>
    <m/>
    <n v="-46036"/>
    <s v="Лаврикова Лариса"/>
  </r>
  <r>
    <s v="Замена"/>
    <x v="0"/>
    <s v="Ростов-на-Дону"/>
    <s v="ЦФО Служба безопасности (2 ур)"/>
    <x v="0"/>
    <x v="4"/>
    <s v="Уборщица"/>
    <x v="0"/>
    <x v="2"/>
    <x v="1"/>
    <d v="2026-01-12T00:00:00"/>
    <d v="2026-02-16T00:00:00"/>
    <d v="2026-02-16T00:00:00"/>
    <n v="35"/>
    <n v="35"/>
    <n v="0"/>
    <s v="Левашова Марина"/>
    <m/>
    <n v="-46069"/>
    <s v="Камышанова Мария "/>
  </r>
  <r>
    <s v="Замена"/>
    <x v="0"/>
    <s v="Ростов-на-Дону"/>
    <s v="ЦФО Финслужба (2 ур)"/>
    <x v="0"/>
    <x v="5"/>
    <s v="Бухгалтер"/>
    <x v="0"/>
    <x v="0"/>
    <x v="0"/>
    <d v="2026-01-12T00:00:00"/>
    <d v="2026-02-23T00:00:00"/>
    <d v="2026-01-13T00:00:00"/>
    <n v="1"/>
    <n v="42"/>
    <n v="41"/>
    <s v="закрыта заказчиком"/>
    <m/>
    <n v="-46035"/>
    <s v="Лаврикова Лариса"/>
  </r>
  <r>
    <s v="Замена"/>
    <x v="0"/>
    <s v="Ростов-на-Дону"/>
    <s v="ЦФО Амурская легенда (1 ур)"/>
    <x v="1"/>
    <x v="6"/>
    <s v="Механик по выпуску"/>
    <x v="0"/>
    <x v="2"/>
    <x v="0"/>
    <d v="2026-01-12T00:00:00"/>
    <d v="2026-02-23T00:00:00"/>
    <d v="2026-01-19T00:00:00"/>
    <n v="7"/>
    <n v="42"/>
    <n v="35"/>
    <s v="приостановл. Заказч. 19.01.2026"/>
    <m/>
    <n v="-46041"/>
    <s v="Лаврикова Лариса"/>
  </r>
  <r>
    <s v="Замена"/>
    <x v="0"/>
    <s v="Ростов-на-Дону"/>
    <s v="ЦФО Служба логистики (2 ур)"/>
    <x v="0"/>
    <x v="7"/>
    <s v="Кладовщик"/>
    <x v="0"/>
    <x v="2"/>
    <x v="0"/>
    <d v="2026-01-12T00:00:00"/>
    <d v="2026-02-16T00:00:00"/>
    <d v="2026-01-23T00:00:00"/>
    <n v="11"/>
    <n v="35"/>
    <n v="24"/>
    <s v="Рюмин Василий "/>
    <m/>
    <n v="-46045"/>
    <s v="Лаврикова Лариса"/>
  </r>
  <r>
    <s v="Замена"/>
    <x v="0"/>
    <s v="Ростов-на-Дону"/>
    <s v="ЦФО Служба развития (2 ур)"/>
    <x v="0"/>
    <x v="8"/>
    <s v="Промт-инженер "/>
    <x v="0"/>
    <x v="3"/>
    <x v="1"/>
    <d v="2026-01-12T00:00:00"/>
    <d v="2026-04-06T00:00:00"/>
    <d v="2026-02-02T00:00:00"/>
    <n v="21"/>
    <n v="84"/>
    <n v="63"/>
    <s v="Уставицкий Андрей"/>
    <m/>
    <n v="-46055"/>
    <s v="Житкова Ева"/>
  </r>
  <r>
    <s v="Замена"/>
    <x v="0"/>
    <s v="Ростов-на-Дону"/>
    <s v="ЦФО Ком.служба (2 ур)"/>
    <x v="0"/>
    <x v="9"/>
    <s v="Начальник отдела"/>
    <x v="0"/>
    <x v="2"/>
    <x v="1"/>
    <d v="2026-01-12T00:00:00"/>
    <d v="2026-02-23T00:00:00"/>
    <d v="2026-02-02T00:00:00"/>
    <n v="21"/>
    <n v="42"/>
    <n v="21"/>
    <s v="Елеева Анна"/>
    <m/>
    <n v="-46055"/>
    <s v="Житкова Ева"/>
  </r>
  <r>
    <s v="Замена"/>
    <x v="0"/>
    <s v="Ростов-на-Дону"/>
    <s v="ЦФО Ком.служба (2 ур)"/>
    <x v="0"/>
    <x v="9"/>
    <s v="Ведущий менеджер"/>
    <x v="0"/>
    <x v="2"/>
    <x v="0"/>
    <d v="2026-01-12T00:00:00"/>
    <d v="2026-02-23T00:00:00"/>
    <d v="2026-01-29T00:00:00"/>
    <n v="17"/>
    <n v="42"/>
    <n v="25"/>
    <s v="Новиков Владимир"/>
    <m/>
    <n v="-46051"/>
    <s v="Житкова Ева"/>
  </r>
  <r>
    <s v="Новая"/>
    <x v="0"/>
    <s v="Ростов-на-Дону"/>
    <s v="ЦФО Ком.служба (2 ур)"/>
    <x v="0"/>
    <x v="0"/>
    <s v="Ведущий менеджер"/>
    <x v="0"/>
    <x v="2"/>
    <x v="2"/>
    <d v="2026-01-12T00:00:00"/>
    <d v="2026-02-23T00:00:00"/>
    <d v="2026-03-03T00:00:00"/>
    <n v="50"/>
    <n v="42"/>
    <n v="-8"/>
    <s v="Попов Павел"/>
    <m/>
    <n v="-46084"/>
    <s v="Житкова Ева"/>
  </r>
  <r>
    <s v="Замена"/>
    <x v="0"/>
    <s v="Ростов-на-Дону"/>
    <s v="ЦФО Ком.служба (2 ур)"/>
    <x v="0"/>
    <x v="10"/>
    <s v="Ведущий менеджер"/>
    <x v="0"/>
    <x v="2"/>
    <x v="2"/>
    <d v="2026-01-12T00:00:00"/>
    <d v="2026-02-23T00:00:00"/>
    <d v="2026-03-30T00:00:00"/>
    <n v="77"/>
    <n v="42"/>
    <n v="-35"/>
    <s v="Вишницкий Руслан"/>
    <m/>
    <n v="-46111"/>
    <s v="Житкова Ева"/>
  </r>
  <r>
    <s v="Замена"/>
    <x v="0"/>
    <s v="Ростов-на-Дону"/>
    <s v="ЦФО Служба безопасности (2 ур)"/>
    <x v="0"/>
    <x v="11"/>
    <s v="Контролер поста контроля"/>
    <x v="0"/>
    <x v="2"/>
    <x v="0"/>
    <d v="2026-01-12T00:00:00"/>
    <d v="2026-02-14T00:00:00"/>
    <d v="2026-01-23T00:00:00"/>
    <n v="11"/>
    <n v="21"/>
    <n v="10"/>
    <s v="Акимов Евгений "/>
    <m/>
    <n v="-46045"/>
    <s v="Лаврикова Лариса"/>
  </r>
  <r>
    <s v="Замена"/>
    <x v="0"/>
    <s v="Ростов-на-Дону"/>
    <s v="ЦФО Служба безопасности (2 ур)"/>
    <x v="0"/>
    <x v="11"/>
    <s v="Контролер поста контроля"/>
    <x v="0"/>
    <x v="2"/>
    <x v="2"/>
    <d v="2026-01-12T00:00:00"/>
    <d v="2026-02-14T00:00:00"/>
    <d v="2026-03-03T00:00:00"/>
    <n v="50"/>
    <n v="21"/>
    <n v="-29"/>
    <s v="Кривенко Грациан"/>
    <m/>
    <n v="-46084"/>
    <s v="Лаврикова Лариса"/>
  </r>
  <r>
    <s v="Новая"/>
    <x v="0"/>
    <s v="Ростов-на-Дону"/>
    <s v="ЦФО Производство №1 (1 ур)"/>
    <x v="0"/>
    <x v="12"/>
    <s v="Монтажник РЭА"/>
    <x v="0"/>
    <x v="1"/>
    <x v="0"/>
    <d v="2026-01-12T00:00:00"/>
    <d v="2026-03-07T00:00:00"/>
    <d v="2026-01-12T00:00:00"/>
    <n v="0"/>
    <n v="42"/>
    <n v="42"/>
    <s v="Лиходед Кристина"/>
    <m/>
    <n v="-46034"/>
    <s v="Лаврикова Лариса"/>
  </r>
  <r>
    <s v="Замена"/>
    <x v="0"/>
    <s v="Ростов-на-Дону"/>
    <s v="ЦФО Служба логистики (2 ур)"/>
    <x v="2"/>
    <x v="13"/>
    <s v="Менеджер по сопровождению"/>
    <x v="0"/>
    <x v="3"/>
    <x v="0"/>
    <d v="2026-01-14T00:00:00"/>
    <d v="2026-03-09T00:00:00"/>
    <d v="2026-02-02T00:00:00"/>
    <n v="19"/>
    <n v="42"/>
    <n v="23"/>
    <s v="Ковалева Вера"/>
    <m/>
    <n v="-46055"/>
    <s v="Лаврикова Лариса"/>
  </r>
  <r>
    <s v="Замена"/>
    <x v="0"/>
    <s v="Ростов-на-Дону"/>
    <s v="ЦФО Ком.служба (2 ур)"/>
    <x v="0"/>
    <x v="14"/>
    <s v="Бренд-менеджер"/>
    <x v="0"/>
    <x v="3"/>
    <x v="1"/>
    <d v="2026-01-19T00:00:00"/>
    <d v="2026-03-02T00:00:00"/>
    <d v="2026-02-24T00:00:00"/>
    <n v="36"/>
    <n v="42"/>
    <n v="6"/>
    <s v="Ульшин Иван"/>
    <m/>
    <n v="-46077"/>
    <s v="Камышанова Мария"/>
  </r>
  <r>
    <s v="Замена"/>
    <x v="0"/>
    <s v="Ростов-на-Дону"/>
    <s v="ЦФО КБ (2 ур)"/>
    <x v="0"/>
    <x v="15"/>
    <s v="Инженер по метрологии"/>
    <x v="0"/>
    <x v="3"/>
    <x v="2"/>
    <d v="2026-01-19T00:00:00"/>
    <d v="2026-03-02T00:00:00"/>
    <d v="2026-04-01T00:00:00"/>
    <n v="72"/>
    <n v="42"/>
    <n v="-30"/>
    <s v="Анохин Сергей"/>
    <m/>
    <n v="-46113"/>
    <s v="Камышанова Мария"/>
  </r>
  <r>
    <s v="Замена"/>
    <x v="0"/>
    <s v="Ростов-на-Дону"/>
    <s v="ЦФО Амурская легенда (1 ур)"/>
    <x v="1"/>
    <x v="16"/>
    <s v="Мастер чистоты"/>
    <x v="0"/>
    <x v="2"/>
    <x v="1"/>
    <d v="2026-01-23T00:00:00"/>
    <d v="2026-02-27T00:00:00"/>
    <d v="2026-02-04T00:00:00"/>
    <n v="12"/>
    <n v="35"/>
    <n v="23"/>
    <s v="Задорожняя Ольга "/>
    <m/>
    <n v="-46057"/>
    <s v="Лаврикова Лариса"/>
  </r>
  <r>
    <s v="Замена"/>
    <x v="0"/>
    <s v="Ростов-на-Дону"/>
    <s v="ЦФО Амурская легенда (1 ур)"/>
    <x v="1"/>
    <x v="6"/>
    <s v="Водитель автомобиля"/>
    <x v="0"/>
    <x v="3"/>
    <x v="1"/>
    <d v="2026-01-27T00:00:00"/>
    <d v="2026-03-03T00:00:00"/>
    <d v="2026-02-09T00:00:00"/>
    <n v="13"/>
    <n v="35"/>
    <n v="22"/>
    <s v="Горлачев Егор"/>
    <m/>
    <n v="-46062"/>
    <s v="Лаврикова Лариса"/>
  </r>
  <r>
    <s v="Замена"/>
    <x v="0"/>
    <s v="Ростов-на-Дону"/>
    <s v="ЦФО Амурская легенда (1 ур)"/>
    <x v="1"/>
    <x v="17"/>
    <s v="Упаковщик бутылей"/>
    <x v="0"/>
    <x v="3"/>
    <x v="1"/>
    <d v="2026-01-27T00:00:00"/>
    <d v="2026-03-03T00:00:00"/>
    <d v="2026-02-11T00:00:00"/>
    <n v="15"/>
    <n v="35"/>
    <n v="20"/>
    <s v="Снята заказчиком 11.02.2026"/>
    <m/>
    <n v="-46064"/>
    <s v="Лаврикова Лариса"/>
  </r>
  <r>
    <s v="Новая"/>
    <x v="0"/>
    <s v="Ростов-на-Дону"/>
    <s v="ЦФО Служба развития (2 ур)"/>
    <x v="0"/>
    <x v="8"/>
    <s v="Промт-инженер "/>
    <x v="0"/>
    <x v="4"/>
    <x v="1"/>
    <d v="2026-01-28T00:00:00"/>
    <d v="2026-04-22T00:00:00"/>
    <d v="2026-02-12T00:00:00"/>
    <n v="15"/>
    <n v="84"/>
    <n v="69"/>
    <s v="Комарькова Анастасия"/>
    <m/>
    <n v="-46065"/>
    <s v="Житкова Ева"/>
  </r>
  <r>
    <s v="Замена"/>
    <x v="0"/>
    <s v="Ростов-на-Дону"/>
    <s v="ЦФО Амурская легенда (1 ур)"/>
    <x v="1"/>
    <x v="18"/>
    <s v="Менеджер по сопровождению"/>
    <x v="1"/>
    <x v="3"/>
    <x v="1"/>
    <d v="2026-02-02T00:00:00"/>
    <d v="2026-03-09T00:00:00"/>
    <d v="2026-02-09T00:00:00"/>
    <n v="7"/>
    <n v="35"/>
    <n v="28"/>
    <s v="вакансия закрыта заказчиком"/>
    <m/>
    <n v="-46062"/>
    <s v="Лаврикова Лариса"/>
  </r>
  <r>
    <s v="Замена"/>
    <x v="0"/>
    <s v="Ростов-на-Дону"/>
    <s v="ЦФО Ком.служба (2 ур)"/>
    <x v="0"/>
    <x v="19"/>
    <s v="Коммерческий директор"/>
    <x v="1"/>
    <x v="4"/>
    <x v="3"/>
    <d v="2026-02-02T00:00:00"/>
    <d v="2026-04-27T00:00:00"/>
    <m/>
    <n v="-46055"/>
    <n v="84"/>
    <n v="0"/>
    <m/>
    <m/>
    <n v="0"/>
    <s v="Ворончихина Елена"/>
  </r>
  <r>
    <s v="Замена"/>
    <x v="0"/>
    <s v="Ростов-на-Дону"/>
    <s v="ЦФО Амурская легенда (1 ур)"/>
    <x v="1"/>
    <x v="16"/>
    <s v="Мастер чистоты"/>
    <x v="1"/>
    <x v="3"/>
    <x v="1"/>
    <d v="2026-02-09T00:00:00"/>
    <d v="2026-03-16T00:00:00"/>
    <d v="2026-02-13T00:00:00"/>
    <n v="4"/>
    <n v="35"/>
    <n v="31"/>
    <s v="Шевченко Виктория"/>
    <m/>
    <n v="-46066"/>
    <s v="Лаврикова Лариса"/>
  </r>
  <r>
    <s v="Замена"/>
    <x v="0"/>
    <s v="Ростов-на-Дону"/>
    <s v="ЦФО Ком.служба (2 ур)"/>
    <x v="0"/>
    <x v="20"/>
    <s v="Начальник отдела"/>
    <x v="1"/>
    <x v="3"/>
    <x v="3"/>
    <d v="2026-02-09T00:00:00"/>
    <d v="2026-03-23T00:00:00"/>
    <m/>
    <n v="-46062"/>
    <n v="42"/>
    <n v="46104"/>
    <m/>
    <m/>
    <n v="0"/>
    <s v="Житкова Ева"/>
  </r>
  <r>
    <s v="Замена"/>
    <x v="0"/>
    <s v="Ростов-на-Дону"/>
    <s v="ЦФО Производство№1 (2 ур)"/>
    <x v="0"/>
    <x v="21"/>
    <s v="Инженер-конструктор"/>
    <x v="1"/>
    <x v="3"/>
    <x v="1"/>
    <d v="2026-02-10T00:00:00"/>
    <d v="2026-03-24T00:00:00"/>
    <d v="2026-02-16T00:00:00"/>
    <n v="6"/>
    <n v="42"/>
    <n v="36"/>
    <s v="Волкова Екатерина"/>
    <m/>
    <n v="-46069"/>
    <s v="Лаврикова Лариса"/>
  </r>
  <r>
    <s v="Замена"/>
    <x v="0"/>
    <s v="Ростов-на-Дону"/>
    <s v="ЦФО Амурская легенда (1 ур)"/>
    <x v="1"/>
    <x v="6"/>
    <s v="Водитель автомобиля"/>
    <x v="1"/>
    <x v="3"/>
    <x v="2"/>
    <d v="2026-02-10T00:00:00"/>
    <d v="2026-03-17T00:00:00"/>
    <d v="2026-03-18T00:00:00"/>
    <n v="36"/>
    <n v="35"/>
    <n v="-1"/>
    <s v="Великородный Андрей"/>
    <m/>
    <n v="-46099"/>
    <s v="Лаврикова Лариса"/>
  </r>
  <r>
    <s v="Новая"/>
    <x v="1"/>
    <s v="Ростов-на-Дону"/>
    <s v="ЦФО Служба логистики (2 ур)"/>
    <x v="0"/>
    <x v="22"/>
    <s v="Начальник службы логистики"/>
    <x v="1"/>
    <x v="3"/>
    <x v="2"/>
    <d v="2026-02-11T00:00:00"/>
    <d v="2026-03-25T00:00:00"/>
    <d v="2026-04-14T00:00:00"/>
    <n v="62"/>
    <n v="42"/>
    <n v="-20"/>
    <s v="Романова Елизавета"/>
    <m/>
    <n v="-46126"/>
    <s v="Камышанова Мария"/>
  </r>
  <r>
    <s v="Замена"/>
    <x v="0"/>
    <s v="Ростов-на-Дону"/>
    <s v="ЦФО Ком.служба (2 ур)"/>
    <x v="0"/>
    <x v="23"/>
    <s v="Ведущий менеджер"/>
    <x v="1"/>
    <x v="3"/>
    <x v="1"/>
    <d v="2026-02-11T00:00:00"/>
    <d v="2026-03-25T00:00:00"/>
    <d v="2026-02-24T00:00:00"/>
    <n v="13"/>
    <n v="42"/>
    <n v="29"/>
    <s v="Лахно Ярослав"/>
    <m/>
    <n v="-46077"/>
    <s v="Лаврикова Лариса"/>
  </r>
  <r>
    <s v="Замена"/>
    <x v="0"/>
    <s v="Ростов-на-Дону"/>
    <s v="ЦФО Служба технического директора (2 ур)"/>
    <x v="0"/>
    <x v="24"/>
    <s v="Специалист по промышленной безопасности"/>
    <x v="1"/>
    <x v="3"/>
    <x v="2"/>
    <d v="2026-02-11T00:00:00"/>
    <d v="2026-03-25T00:00:00"/>
    <d v="2026-03-30T00:00:00"/>
    <n v="47"/>
    <n v="42"/>
    <n v="-5"/>
    <s v="Андреева Татьяна"/>
    <m/>
    <n v="-46111"/>
    <s v="Лаврикова Лариса"/>
  </r>
  <r>
    <s v="Замена"/>
    <x v="0"/>
    <s v="Ростов-на-Дону"/>
    <s v="ЦФО Служба логистики (2 ур)"/>
    <x v="0"/>
    <x v="7"/>
    <s v="Кладовщик"/>
    <x v="1"/>
    <x v="3"/>
    <x v="2"/>
    <d v="2026-02-16T00:00:00"/>
    <d v="2026-03-23T00:00:00"/>
    <d v="2026-03-10T00:00:00"/>
    <n v="22"/>
    <n v="35"/>
    <n v="13"/>
    <s v="Гуреев Александр"/>
    <m/>
    <n v="-46091"/>
    <s v="Лаврикова Лариса"/>
  </r>
  <r>
    <s v="Замена"/>
    <x v="0"/>
    <s v="Ростов-на-Дону"/>
    <s v="ЦФО Служба автоматизации (2 ур)"/>
    <x v="0"/>
    <x v="2"/>
    <s v="Программист 1С"/>
    <x v="1"/>
    <x v="3"/>
    <x v="3"/>
    <d v="2026-02-17T00:00:00"/>
    <d v="2026-03-31T00:00:00"/>
    <m/>
    <n v="-46070"/>
    <n v="42"/>
    <n v="46112"/>
    <m/>
    <m/>
    <n v="0"/>
    <s v="Житкова Ева"/>
  </r>
  <r>
    <s v="Замена"/>
    <x v="0"/>
    <s v="Ростов-на-Дону"/>
    <s v="ЦФО Служба безопасности (2 ур)"/>
    <x v="0"/>
    <x v="4"/>
    <s v="Уборщица"/>
    <x v="1"/>
    <x v="3"/>
    <x v="2"/>
    <d v="2026-02-17T00:00:00"/>
    <d v="2026-03-24T00:00:00"/>
    <d v="2026-03-18T00:00:00"/>
    <n v="29"/>
    <n v="35"/>
    <n v="6"/>
    <s v="Селимонка Татьяна"/>
    <m/>
    <n v="-46099"/>
    <s v="Камышанова Мария "/>
  </r>
  <r>
    <s v="Замена"/>
    <x v="0"/>
    <s v="Ростов-на-Дону"/>
    <s v="ЦФО Сервисная служба (1+2 ур)"/>
    <x v="0"/>
    <x v="25"/>
    <s v="Инженер КИПиА"/>
    <x v="1"/>
    <x v="4"/>
    <x v="4"/>
    <d v="2026-02-26T00:00:00"/>
    <d v="2026-04-09T00:00:00"/>
    <m/>
    <n v="-46079"/>
    <n v="42"/>
    <n v="46121"/>
    <s v="приостановлен подбор до конца апреля"/>
    <m/>
    <n v="0"/>
    <s v="Лаврикова Лариса"/>
  </r>
  <r>
    <s v="Замена"/>
    <x v="0"/>
    <s v="Ростов-на-Дону"/>
    <s v="ЦФО Производство №2 (1 ур)  "/>
    <x v="0"/>
    <x v="26"/>
    <s v="Слесарь-сборщик"/>
    <x v="2"/>
    <x v="4"/>
    <x v="4"/>
    <d v="2026-03-03T00:00:00"/>
    <d v="2026-04-07T00:00:00"/>
    <d v="2026-04-30T00:00:00"/>
    <n v="58"/>
    <n v="35"/>
    <n v="-23"/>
    <s v="Манченко Александр"/>
    <m/>
    <n v="-46142"/>
    <s v="Лаврикова Лариса"/>
  </r>
  <r>
    <s v="Замена"/>
    <x v="0"/>
    <s v="Ростов-на-Дону"/>
    <s v="ЦФО Производство №1 (1 ур)"/>
    <x v="0"/>
    <x v="27"/>
    <s v="Наладчик линии автопая"/>
    <x v="2"/>
    <x v="4"/>
    <x v="2"/>
    <d v="2026-03-03T00:00:00"/>
    <d v="2026-04-07T00:00:00"/>
    <d v="2026-03-17T00:00:00"/>
    <n v="14"/>
    <n v="35"/>
    <n v="21"/>
    <s v="Савченко Иван"/>
    <m/>
    <n v="-46098"/>
    <s v="Лаврикова Лариса"/>
  </r>
  <r>
    <s v="Замена"/>
    <x v="1"/>
    <s v="Ростов-на-Дону"/>
    <s v="ЦФО Амурская легенда (1 ур)"/>
    <x v="1"/>
    <x v="6"/>
    <s v="Водитель автомобиля С"/>
    <x v="2"/>
    <x v="4"/>
    <x v="3"/>
    <d v="2026-03-04T00:00:00"/>
    <d v="2026-04-08T00:00:00"/>
    <m/>
    <n v="-46085"/>
    <n v="35"/>
    <n v="46120"/>
    <m/>
    <m/>
    <n v="0"/>
    <s v="Лаврикова Лариса"/>
  </r>
  <r>
    <s v="Замена"/>
    <x v="0"/>
    <s v="Ростов-на-Дону"/>
    <s v="ЦФО Амурская легенда (1 ур)"/>
    <x v="1"/>
    <x v="6"/>
    <s v="Механик по выпуску"/>
    <x v="2"/>
    <x v="4"/>
    <x v="4"/>
    <d v="2026-03-05T00:00:00"/>
    <d v="2026-04-09T00:00:00"/>
    <d v="2026-04-13T00:00:00"/>
    <n v="39"/>
    <n v="35"/>
    <n v="-4"/>
    <s v="Атаманов Евгений"/>
    <m/>
    <n v="-46125"/>
    <s v="Лаврикова Лариса"/>
  </r>
  <r>
    <s v="Замена"/>
    <x v="0"/>
    <s v="Ростов-на-Дону"/>
    <s v="ЦФО Служба безопасности (2 ур)"/>
    <x v="0"/>
    <x v="11"/>
    <s v="Контролер поста контроля"/>
    <x v="2"/>
    <x v="4"/>
    <x v="2"/>
    <d v="2026-03-05T00:00:00"/>
    <d v="2026-04-09T00:00:00"/>
    <d v="2026-03-19T00:00:00"/>
    <n v="14"/>
    <n v="21"/>
    <n v="7"/>
    <s v="Минаков Владимир"/>
    <m/>
    <n v="-46100"/>
    <s v="Лаврикова Лариса"/>
  </r>
  <r>
    <s v="Замена"/>
    <x v="0"/>
    <s v="Ростов-на-Дону"/>
    <s v="ЦФО Служба логистики (2 ур)"/>
    <x v="0"/>
    <x v="7"/>
    <s v="Кладовщик"/>
    <x v="2"/>
    <x v="4"/>
    <x v="3"/>
    <d v="2026-03-05T00:00:00"/>
    <d v="2026-04-09T00:00:00"/>
    <m/>
    <n v="-46086"/>
    <n v="35"/>
    <n v="46121"/>
    <m/>
    <m/>
    <n v="0"/>
    <s v="Лаврикова Лариса"/>
  </r>
  <r>
    <s v="Новая"/>
    <x v="0"/>
    <s v="Ростов-на-Дону"/>
    <s v="ЦФО Амурская легенда (1 ур)"/>
    <x v="1"/>
    <x v="18"/>
    <s v="Менеджер по сопровождению"/>
    <x v="2"/>
    <x v="4"/>
    <x v="2"/>
    <d v="2026-03-13T00:00:00"/>
    <d v="2026-04-17T00:00:00"/>
    <d v="2026-03-30T00:00:00"/>
    <n v="17"/>
    <n v="35"/>
    <n v="18"/>
    <s v="Пономарева Ольга"/>
    <m/>
    <n v="-46111"/>
    <s v="Лаврикова Лариса"/>
  </r>
  <r>
    <s v="Замена"/>
    <x v="0"/>
    <s v="Ростов-на-Дону"/>
    <s v="ЦФО Служба безопасности (2 ур)"/>
    <x v="0"/>
    <x v="11"/>
    <s v="Начальник службы безопасности"/>
    <x v="2"/>
    <x v="4"/>
    <x v="3"/>
    <d v="2026-03-13T00:00:00"/>
    <d v="2026-04-27T00:00:00"/>
    <m/>
    <n v="-46094"/>
    <n v="45"/>
    <n v="46139"/>
    <s v="Колганова Александр"/>
    <m/>
    <n v="0"/>
    <s v="Лаврикова Лариса"/>
  </r>
  <r>
    <s v="Новая"/>
    <x v="0"/>
    <s v="Ростов-на-Дону"/>
    <s v="ЦФО Служба развития (2 ур)"/>
    <x v="0"/>
    <x v="8"/>
    <s v="Промт-инженер "/>
    <x v="2"/>
    <x v="5"/>
    <x v="3"/>
    <d v="2026-03-13T00:00:00"/>
    <d v="2026-06-05T00:00:00"/>
    <m/>
    <n v="-46094"/>
    <n v="84"/>
    <n v="46178"/>
    <m/>
    <m/>
    <n v="0"/>
    <s v="Житкова Ева"/>
  </r>
  <r>
    <s v="Замена"/>
    <x v="0"/>
    <s v="Ростов-на-Дону"/>
    <s v="ЦФО МГС (1 ур)"/>
    <x v="3"/>
    <x v="28"/>
    <s v="Ведущий менеджер"/>
    <x v="2"/>
    <x v="4"/>
    <x v="2"/>
    <d v="2026-03-13T00:00:00"/>
    <d v="2026-04-27T00:00:00"/>
    <d v="2026-03-30T00:00:00"/>
    <m/>
    <n v="45"/>
    <n v="45"/>
    <s v="Сафарян Валерий"/>
    <m/>
    <n v="-46111"/>
    <s v="Житкова Ева"/>
  </r>
  <r>
    <s v="Замена"/>
    <x v="0"/>
    <s v="Ростов-на-Дону"/>
    <s v="ЦФО Служба логистики (2 ур)"/>
    <x v="0"/>
    <x v="6"/>
    <s v="Персональный водитель"/>
    <x v="2"/>
    <x v="6"/>
    <x v="4"/>
    <d v="2026-03-17T00:00:00"/>
    <d v="2026-05-01T00:00:00"/>
    <d v="2026-04-01T00:00:00"/>
    <n v="15"/>
    <n v="45"/>
    <n v="30"/>
    <s v="вакансия снята заказчиком"/>
    <m/>
    <n v="-46113"/>
    <s v="Лаврикова Лариса"/>
  </r>
  <r>
    <s v="Замена"/>
    <x v="0"/>
    <s v="Ростов-на-Дону"/>
    <s v="ЦФО Операционный директор (2 ур)"/>
    <x v="0"/>
    <x v="29"/>
    <s v="Архивариус"/>
    <x v="2"/>
    <x v="6"/>
    <x v="4"/>
    <d v="2026-03-17T00:00:00"/>
    <d v="2026-05-01T00:00:00"/>
    <d v="2026-04-01T00:00:00"/>
    <n v="15"/>
    <n v="45"/>
    <n v="30"/>
    <s v="Липкина Анна"/>
    <m/>
    <n v="-46113"/>
    <s v="Камышанова Мария"/>
  </r>
  <r>
    <s v="Новая"/>
    <x v="1"/>
    <s v="Ростов-на-Дону"/>
    <s v="ЦФО Амурская легенда (1 ур)"/>
    <x v="1"/>
    <x v="18"/>
    <s v="Менеджер по сопровождению"/>
    <x v="2"/>
    <x v="4"/>
    <x v="3"/>
    <d v="2026-03-19T00:00:00"/>
    <d v="2026-04-23T00:00:00"/>
    <m/>
    <n v="-46100"/>
    <n v="35"/>
    <n v="46135"/>
    <m/>
    <m/>
    <n v="0"/>
    <s v="Лаврикова Лариса"/>
  </r>
  <r>
    <s v="Замена"/>
    <x v="0"/>
    <s v="Ростов-на-Дону"/>
    <s v="ЦФО Производство №1 (1 ур)"/>
    <x v="0"/>
    <x v="27"/>
    <s v="Наладчик линии автопая"/>
    <x v="2"/>
    <x v="6"/>
    <x v="4"/>
    <d v="2026-03-27T00:00:00"/>
    <d v="2026-05-11T00:00:00"/>
    <d v="2026-04-16T00:00:00"/>
    <n v="20"/>
    <n v="45"/>
    <n v="25"/>
    <s v="Фесенко Александр"/>
    <m/>
    <n v="-46128"/>
    <s v="Лаврикова Лариса"/>
  </r>
  <r>
    <s v="Замена"/>
    <x v="1"/>
    <s v="Азов"/>
    <s v="ЦФО МГС (1 ур)"/>
    <x v="3"/>
    <x v="30"/>
    <s v="Кассир-приемщик"/>
    <x v="2"/>
    <x v="6"/>
    <x v="3"/>
    <d v="2026-03-27T00:00:00"/>
    <d v="2026-05-01T00:00:00"/>
    <d v="2026-05-06T00:00:00"/>
    <n v="40"/>
    <n v="35"/>
    <n v="-5"/>
    <s v="Григорьева Яна"/>
    <m/>
    <n v="-46148"/>
    <s v="Лаврикова Лариса"/>
  </r>
  <r>
    <s v="Замена"/>
    <x v="0"/>
    <s v="Ростов-на-Дону"/>
    <s v="ЦФО Технический директор"/>
    <x v="0"/>
    <x v="31"/>
    <s v="Тестировщик QA"/>
    <x v="3"/>
    <x v="6"/>
    <x v="4"/>
    <d v="2026-04-01T00:00:00"/>
    <d v="2026-05-16T00:00:00"/>
    <d v="2026-04-27T00:00:00"/>
    <n v="26"/>
    <n v="45"/>
    <n v="19"/>
    <s v="Рамазанов Роман"/>
    <m/>
    <n v="-46139"/>
    <s v="Житкова Ева"/>
  </r>
  <r>
    <s v="Замена"/>
    <x v="1"/>
    <s v="Ростов-на-Дону"/>
    <s v="ЦФО Директор НПО"/>
    <x v="0"/>
    <x v="29"/>
    <s v="Офис-менеджер"/>
    <x v="3"/>
    <x v="6"/>
    <x v="3"/>
    <d v="2026-04-01T00:00:00"/>
    <d v="2026-05-16T00:00:00"/>
    <m/>
    <n v="-46113"/>
    <n v="45"/>
    <n v="46158"/>
    <m/>
    <m/>
    <n v="0"/>
    <s v="Житкова Ева"/>
  </r>
  <r>
    <s v="Замена"/>
    <x v="0"/>
    <s v="Ростов-на-Дону"/>
    <s v="ЦФО Ком.служба (2 ур)"/>
    <x v="0"/>
    <x v="32"/>
    <s v="Начальник тендерного офиса"/>
    <x v="3"/>
    <x v="6"/>
    <x v="4"/>
    <d v="2026-04-01T00:00:00"/>
    <d v="2026-05-16T00:00:00"/>
    <d v="2026-04-20T00:00:00"/>
    <n v="19"/>
    <n v="45"/>
    <n v="26"/>
    <s v="Журба Елена"/>
    <m/>
    <n v="-46132"/>
    <s v="Житкова Ева"/>
  </r>
  <r>
    <s v="Замена"/>
    <x v="0"/>
    <s v="Ростов-на-Дону"/>
    <s v="ЦФО Производство№1 (2 ур)"/>
    <x v="0"/>
    <x v="21"/>
    <s v="Инженер-конструктор"/>
    <x v="3"/>
    <x v="6"/>
    <x v="4"/>
    <d v="2026-04-02T00:00:00"/>
    <d v="2026-05-14T00:00:00"/>
    <d v="2026-05-18T00:00:00"/>
    <n v="46"/>
    <n v="42"/>
    <n v="-4"/>
    <s v="Бабалыхян Арсен"/>
    <m/>
    <n v="-46160"/>
    <s v="Лаврикова Лариса"/>
  </r>
  <r>
    <s v="Замена"/>
    <x v="0"/>
    <s v="Ростов-на-Дону"/>
    <s v="ЦФО Служба качества (2 ур)"/>
    <x v="0"/>
    <x v="1"/>
    <s v="Инженер по качеству"/>
    <x v="3"/>
    <x v="6"/>
    <x v="3"/>
    <d v="2026-04-02T00:00:00"/>
    <d v="2026-05-14T00:00:00"/>
    <m/>
    <n v="-46114"/>
    <n v="42"/>
    <n v="46156"/>
    <m/>
    <m/>
    <n v="0"/>
    <s v="Лаврикова Лариса"/>
  </r>
  <r>
    <s v="Замена"/>
    <x v="0"/>
    <s v="Ростов-на-Дону"/>
    <s v="ЦФО Директор НПО"/>
    <x v="0"/>
    <x v="33"/>
    <s v="Начальник экономического отдела"/>
    <x v="3"/>
    <x v="6"/>
    <x v="4"/>
    <d v="2026-04-02T00:00:00"/>
    <d v="2026-05-14T00:00:00"/>
    <d v="2026-04-09T00:00:00"/>
    <n v="7"/>
    <n v="42"/>
    <n v="35"/>
    <s v="вакансия снята заказчиком"/>
    <m/>
    <n v="-46121"/>
    <s v="Житкова Ева"/>
  </r>
  <r>
    <s v="Замена"/>
    <x v="1"/>
    <s v="Ростов-на-Дону"/>
    <s v="ЦФО Производство №1 (1 ур)"/>
    <x v="0"/>
    <x v="34"/>
    <s v="Менеджер по управлению проектами"/>
    <x v="3"/>
    <x v="6"/>
    <x v="4"/>
    <d v="2026-04-03T00:00:00"/>
    <d v="2026-05-18T00:00:00"/>
    <m/>
    <n v="-46115"/>
    <n v="45"/>
    <n v="46160"/>
    <s v="Акинина Татьяна"/>
    <m/>
    <n v="0"/>
    <s v="Житкова Ева"/>
  </r>
  <r>
    <s v="Замена"/>
    <x v="0"/>
    <s v="Ростов-на-Дону"/>
    <s v="ЦФО Производство №1 (1 ур)"/>
    <x v="0"/>
    <x v="35"/>
    <s v="Оператор станков ЧПУ"/>
    <x v="3"/>
    <x v="6"/>
    <x v="4"/>
    <d v="2026-04-03T00:00:00"/>
    <d v="2026-05-20T00:00:00"/>
    <d v="2026-04-20T00:00:00"/>
    <n v="17"/>
    <n v="47"/>
    <n v="30"/>
    <s v="Вагин Данил"/>
    <m/>
    <n v="-46132"/>
    <s v="Лаврикова Лариса"/>
  </r>
  <r>
    <s v="Замена"/>
    <x v="0"/>
    <s v="Ростов-на-Дону"/>
    <s v="ЦФО КБ (2 ур)"/>
    <x v="0"/>
    <x v="15"/>
    <s v="Руководитель проектного офиса"/>
    <x v="3"/>
    <x v="6"/>
    <x v="3"/>
    <d v="2026-04-13T00:00:00"/>
    <d v="2026-05-28T00:00:00"/>
    <m/>
    <n v="-46125"/>
    <n v="45"/>
    <n v="46170"/>
    <m/>
    <m/>
    <n v="0"/>
    <s v="Житкова Ева"/>
  </r>
  <r>
    <s v="Замена"/>
    <x v="1"/>
    <s v="Ростов-на-Дону"/>
    <s v="ЦФО Милака (1 ур)"/>
    <x v="4"/>
    <x v="36"/>
    <s v="Горничная"/>
    <x v="3"/>
    <x v="6"/>
    <x v="3"/>
    <d v="2026-04-13T00:00:00"/>
    <d v="2026-05-18T00:00:00"/>
    <m/>
    <n v="-46125"/>
    <n v="35"/>
    <n v="46160"/>
    <m/>
    <m/>
    <n v="0"/>
    <s v="Ворончихина Елена"/>
  </r>
  <r>
    <s v="Замена"/>
    <x v="0"/>
    <s v="Ростов-на-Дону"/>
    <s v="ЦФО Милака (1 ур)"/>
    <x v="4"/>
    <x v="37"/>
    <s v="Портье"/>
    <x v="3"/>
    <x v="6"/>
    <x v="4"/>
    <d v="2026-04-14T00:00:00"/>
    <d v="2026-05-19T00:00:00"/>
    <d v="2026-05-07T00:00:00"/>
    <n v="23"/>
    <n v="35"/>
    <n v="12"/>
    <s v="Шишкалова"/>
    <m/>
    <n v="-46149"/>
    <s v="Ворончихина Елена"/>
  </r>
  <r>
    <s v="Замена"/>
    <x v="1"/>
    <s v="Ростов-на-Дону"/>
    <s v="ЦФО Ком.служба (2 ур)"/>
    <x v="0"/>
    <x v="0"/>
    <s v="Ведущий менеджер"/>
    <x v="3"/>
    <x v="6"/>
    <x v="3"/>
    <d v="2026-04-13T00:00:00"/>
    <d v="2026-05-25T00:00:00"/>
    <m/>
    <n v="-46125"/>
    <n v="42"/>
    <n v="46167"/>
    <m/>
    <m/>
    <n v="0"/>
    <s v="Житкова Ева"/>
  </r>
  <r>
    <s v="Замена"/>
    <x v="0"/>
    <s v="Ростов-на-Дону"/>
    <s v="ЦФО Ком.служба (2 ур)"/>
    <x v="0"/>
    <x v="0"/>
    <s v="Менеджер по сопровождению"/>
    <x v="3"/>
    <x v="6"/>
    <x v="3"/>
    <d v="2026-04-13T00:00:00"/>
    <d v="2026-05-25T00:00:00"/>
    <m/>
    <n v="-46125"/>
    <n v="42"/>
    <n v="46167"/>
    <m/>
    <m/>
    <n v="0"/>
    <s v="Житкова Ева"/>
  </r>
  <r>
    <s v="Замена"/>
    <x v="0"/>
    <s v="Ростов-на-Дону"/>
    <s v="ЦФО Ком.служба (2 ур)"/>
    <x v="0"/>
    <x v="14"/>
    <s v="Бренд-менеджер"/>
    <x v="3"/>
    <x v="6"/>
    <x v="4"/>
    <d v="2026-04-13T00:00:00"/>
    <d v="2026-05-25T00:00:00"/>
    <d v="2026-05-04T00:00:00"/>
    <n v="21"/>
    <n v="42"/>
    <n v="21"/>
    <s v="Бечина Елена"/>
    <m/>
    <n v="-46146"/>
    <s v="Житкова Ева"/>
  </r>
  <r>
    <s v="Замена"/>
    <x v="0"/>
    <s v="Ростов-на-Дону"/>
    <s v="ЦФО Производство №2 (1 ур)  "/>
    <x v="0"/>
    <x v="26"/>
    <s v="Слесарь-сборщик"/>
    <x v="3"/>
    <x v="6"/>
    <x v="4"/>
    <d v="2026-04-20T00:00:00"/>
    <d v="2026-05-25T00:00:00"/>
    <d v="2026-04-29T00:00:00"/>
    <n v="9"/>
    <n v="35"/>
    <n v="26"/>
    <s v="Самсоненко  Александр"/>
    <m/>
    <n v="-46141"/>
    <s v="Лаврикова Лариса"/>
  </r>
  <r>
    <s v="Замена"/>
    <x v="0"/>
    <s v="Ростов-на-Дону"/>
    <s v="ЦФО Производство №2 (1 ур)  "/>
    <x v="0"/>
    <x v="26"/>
    <s v="Брагидир участка сборки"/>
    <x v="3"/>
    <x v="6"/>
    <x v="4"/>
    <d v="2026-04-20T00:00:00"/>
    <d v="2026-05-25T00:00:00"/>
    <d v="2026-04-28T00:00:00"/>
    <n v="8"/>
    <n v="35"/>
    <n v="27"/>
    <s v="Заявка снята заказчиком "/>
    <m/>
    <n v="-46140"/>
    <s v="Лаврикова Лариса"/>
  </r>
  <r>
    <s v="Замена"/>
    <x v="1"/>
    <s v="Ростов-на-Дону"/>
    <s v="ЦФО Амурская легенда (1 ур)"/>
    <x v="1"/>
    <x v="6"/>
    <s v="Водитель автомобиля"/>
    <x v="3"/>
    <x v="6"/>
    <x v="3"/>
    <d v="2026-04-22T00:00:00"/>
    <d v="2026-05-27T00:00:00"/>
    <m/>
    <n v="-46134"/>
    <n v="35"/>
    <n v="46169"/>
    <m/>
    <m/>
    <n v="0"/>
    <s v="Лаврикова Лариса"/>
  </r>
  <r>
    <s v="Замена"/>
    <x v="1"/>
    <s v="Ростов-на-Дону"/>
    <s v="ЦФО Амурская легенда (1 ур)"/>
    <x v="1"/>
    <x v="6"/>
    <s v="Водитель автомобиля"/>
    <x v="3"/>
    <x v="6"/>
    <x v="3"/>
    <d v="2026-04-22T00:00:00"/>
    <d v="2026-05-27T00:00:00"/>
    <m/>
    <n v="-46134"/>
    <n v="35"/>
    <n v="46169"/>
    <m/>
    <m/>
    <n v="0"/>
    <s v="Лаврикова Лариса"/>
  </r>
  <r>
    <s v="Новая"/>
    <x v="0"/>
    <s v="Ростов-на-Дону"/>
    <s v="ЦФО Производство №2 (1 ур)  "/>
    <x v="0"/>
    <x v="27"/>
    <s v="Монтажник РЭА"/>
    <x v="3"/>
    <x v="5"/>
    <x v="4"/>
    <d v="2026-04-24T00:00:00"/>
    <d v="2026-06-05T00:00:00"/>
    <d v="2026-05-06T00:00:00"/>
    <n v="12"/>
    <n v="42"/>
    <n v="30"/>
    <s v="Фисенко Полина"/>
    <m/>
    <n v="-46148"/>
    <s v="Лаврикова Лариса"/>
  </r>
  <r>
    <s v="Новая"/>
    <x v="0"/>
    <s v="Ростов-на-Дону"/>
    <s v="ЦФО Производство №2 (1 ур)  "/>
    <x v="0"/>
    <x v="27"/>
    <s v="Монтажник РЭА"/>
    <x v="3"/>
    <x v="5"/>
    <x v="4"/>
    <d v="2026-04-24T00:00:00"/>
    <d v="2026-06-05T00:00:00"/>
    <d v="2026-05-06T00:00:00"/>
    <n v="12"/>
    <n v="42"/>
    <n v="30"/>
    <s v="Корнеев Илья"/>
    <m/>
    <n v="-46148"/>
    <s v="Лаврикова Лариса"/>
  </r>
  <r>
    <s v="Новая"/>
    <x v="0"/>
    <s v="Ростов-на-Дону"/>
    <s v="ЦФО Производство №2 (1 ур)  "/>
    <x v="0"/>
    <x v="27"/>
    <s v="Монтажник РЭА"/>
    <x v="3"/>
    <x v="5"/>
    <x v="5"/>
    <d v="2026-04-24T00:00:00"/>
    <d v="2026-06-05T00:00:00"/>
    <d v="2026-05-04T00:00:00"/>
    <n v="10"/>
    <n v="42"/>
    <n v="32"/>
    <s v="Ван-Сен-Дю Мария"/>
    <m/>
    <n v="-46146"/>
    <s v="Лаврикова Лариса"/>
  </r>
  <r>
    <s v="Новая"/>
    <x v="1"/>
    <s v="Ростов-на-Дону"/>
    <s v="ЦФО Производство №2 (1 ур)  "/>
    <x v="0"/>
    <x v="27"/>
    <s v="Монтажник РЭА"/>
    <x v="3"/>
    <x v="5"/>
    <x v="3"/>
    <d v="2026-04-24T00:00:00"/>
    <d v="2026-06-05T00:00:00"/>
    <m/>
    <n v="-46136"/>
    <n v="42"/>
    <n v="46178"/>
    <m/>
    <m/>
    <n v="0"/>
    <s v="Лаврикова Лариса"/>
  </r>
  <r>
    <s v="Новая"/>
    <x v="1"/>
    <s v="Ростов-на-Дону"/>
    <s v="ЦФО Производство №2 (1 ур)  "/>
    <x v="0"/>
    <x v="27"/>
    <s v="Монтажник РЭА"/>
    <x v="3"/>
    <x v="5"/>
    <x v="3"/>
    <d v="2026-04-24T00:00:00"/>
    <d v="2026-06-05T00:00:00"/>
    <m/>
    <n v="-46136"/>
    <n v="42"/>
    <n v="46178"/>
    <m/>
    <m/>
    <n v="0"/>
    <s v="Лаврикова Лариса"/>
  </r>
  <r>
    <s v="Новая"/>
    <x v="1"/>
    <s v="Ростов-на-Дону"/>
    <s v="ЦФО Производство №2 (1 ур)  "/>
    <x v="0"/>
    <x v="27"/>
    <s v="Наладчик линии автопая"/>
    <x v="3"/>
    <x v="5"/>
    <x v="3"/>
    <d v="2026-04-24T00:00:00"/>
    <d v="2026-06-05T00:00:00"/>
    <m/>
    <n v="-46136"/>
    <n v="42"/>
    <n v="46178"/>
    <s v="Шацков Алексей???"/>
    <m/>
    <n v="0"/>
    <s v="Лаврикова Лариса"/>
  </r>
  <r>
    <s v="Новая"/>
    <x v="0"/>
    <s v="Ростов-на-Дону"/>
    <s v="ЦФО Производство №2 (1 ур)  "/>
    <x v="0"/>
    <x v="27"/>
    <s v="Лакировщик радиодеталей"/>
    <x v="3"/>
    <x v="5"/>
    <x v="4"/>
    <d v="2026-04-24T00:00:00"/>
    <d v="2026-06-05T00:00:00"/>
    <d v="2026-05-08T00:00:00"/>
    <n v="14"/>
    <n v="42"/>
    <n v="28"/>
    <s v="Кусраева "/>
    <m/>
    <n v="-46150"/>
    <s v="Лаврикова Лариса"/>
  </r>
  <r>
    <s v="Новая"/>
    <x v="1"/>
    <s v="Ростов-на-Дону"/>
    <s v="ЦФО Производство №2 (1 ур)  "/>
    <x v="0"/>
    <x v="27"/>
    <s v="Регулировщик РЭА"/>
    <x v="3"/>
    <x v="5"/>
    <x v="5"/>
    <d v="2026-04-24T00:00:00"/>
    <d v="2026-06-05T00:00:00"/>
    <d v="2026-05-04T00:00:00"/>
    <n v="10"/>
    <n v="42"/>
    <n v="32"/>
    <s v="Шевченко Дмитрий"/>
    <m/>
    <n v="-46146"/>
    <s v="Лаврикова Лариса"/>
  </r>
  <r>
    <s v="Замена"/>
    <x v="0"/>
    <s v="Ростов-на-Дону"/>
    <s v="ЦФО Производство №2 (1 ур)  "/>
    <x v="0"/>
    <x v="26"/>
    <s v="Слесарь-сборщик"/>
    <x v="3"/>
    <x v="5"/>
    <x v="4"/>
    <d v="2026-04-24T00:00:00"/>
    <d v="2026-05-29T00:00:00"/>
    <d v="2026-05-07T00:00:00"/>
    <n v="13"/>
    <n v="35"/>
    <n v="22"/>
    <s v="Свистов Максим"/>
    <m/>
    <n v="-46149"/>
    <s v="Лаврикова Лариса"/>
  </r>
  <r>
    <s v="Замена"/>
    <x v="1"/>
    <s v="Ростов-на-Дону"/>
    <s v="ЦФО Производство №2 (1 ур)  "/>
    <x v="0"/>
    <x v="29"/>
    <s v="Помощник руководителя"/>
    <x v="3"/>
    <x v="5"/>
    <x v="3"/>
    <d v="2026-04-27T00:00:00"/>
    <d v="2026-06-08T00:00:00"/>
    <m/>
    <n v="-46139"/>
    <n v="42"/>
    <n v="46181"/>
    <m/>
    <m/>
    <n v="0"/>
    <s v="Житкова Ева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СводнаяТаблица1" cacheId="2" applyNumberFormats="0" applyBorderFormats="0" applyFontFormats="0" applyPatternFormats="0" applyAlignmentFormats="0" applyWidthHeightFormats="1" dataCaption="Данные" updatedVersion="5" showMemberPropertyTips="0" useAutoFormatting="1" itemPrintTitles="1" createdVersion="1" indent="0" compact="0" compactData="0" gridDropZones="1">
  <location ref="A4:E20" firstHeaderRow="1" firstDataRow="2" firstDataCol="2" rowPageCount="2" colPageCount="1"/>
  <pivotFields count="20">
    <pivotField compact="0" outline="0" subtotalTop="0" showAll="0" includeNewItemsInFilter="1"/>
    <pivotField axis="axisPage" compact="0" outline="0" subtotalTop="0" showAll="0" includeNewItemsInFilter="1">
      <items count="3">
        <item x="0"/>
        <item x="1"/>
        <item t="default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6">
        <item x="1"/>
        <item x="4"/>
        <item x="2"/>
        <item x="3"/>
        <item x="0"/>
        <item t="default"/>
      </items>
    </pivotField>
    <pivotField axis="axisRow" compact="0" outline="0" subtotalTop="0" showAll="0" includeNewItemsInFilter="1">
      <items count="39">
        <item x="4"/>
        <item x="5"/>
        <item x="23"/>
        <item x="21"/>
        <item x="19"/>
        <item x="15"/>
        <item x="35"/>
        <item x="12"/>
        <item x="9"/>
        <item x="13"/>
        <item x="0"/>
        <item x="20"/>
        <item x="18"/>
        <item x="2"/>
        <item x="28"/>
        <item x="17"/>
        <item x="16"/>
        <item x="34"/>
        <item x="3"/>
        <item x="24"/>
        <item x="14"/>
        <item x="25"/>
        <item x="7"/>
        <item x="11"/>
        <item x="1"/>
        <item x="31"/>
        <item x="22"/>
        <item x="8"/>
        <item x="37"/>
        <item x="30"/>
        <item x="32"/>
        <item x="6"/>
        <item x="29"/>
        <item x="27"/>
        <item x="26"/>
        <item x="36"/>
        <item x="10"/>
        <item x="33"/>
        <item t="default"/>
      </items>
    </pivotField>
    <pivotField compact="0" outline="0" subtotalTop="0" showAll="0" includeNewItemsInFilter="1"/>
    <pivotField axis="axisPage" dataField="1" compact="0" outline="0" subtotalTop="0" showAll="0" includeNewItemsInFilter="1">
      <items count="5">
        <item x="0"/>
        <item x="1"/>
        <item x="2"/>
        <item x="3"/>
        <item t="default"/>
      </items>
    </pivotField>
    <pivotField dataField="1" compact="0" outline="0" subtotalTop="0" showAll="0" includeNewItemsInFilter="1">
      <items count="8">
        <item x="2"/>
        <item x="3"/>
        <item x="4"/>
        <item x="6"/>
        <item x="5"/>
        <item x="0"/>
        <item x="1"/>
        <item t="default"/>
      </items>
    </pivotField>
    <pivotField dataField="1" compact="0" outline="0" subtotalTop="0" showAll="0" includeNewItemsInFilter="1">
      <items count="7">
        <item x="0"/>
        <item x="1"/>
        <item x="2"/>
        <item x="4"/>
        <item x="5"/>
        <item x="3"/>
        <item t="default"/>
      </items>
    </pivotField>
    <pivotField compact="0" numFmtId="14" outline="0" subtotalTop="0" showAll="0" includeNewItemsInFilter="1"/>
    <pivotField compact="0" numFmtId="14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1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2">
    <field x="4"/>
    <field x="5"/>
  </rowFields>
  <rowItems count="15">
    <i>
      <x v="1"/>
      <x v="28"/>
    </i>
    <i t="default">
      <x v="1"/>
    </i>
    <i>
      <x v="4"/>
      <x v="3"/>
    </i>
    <i r="1">
      <x v="5"/>
    </i>
    <i r="1">
      <x v="6"/>
    </i>
    <i r="1">
      <x v="10"/>
    </i>
    <i r="1">
      <x v="20"/>
    </i>
    <i r="1">
      <x v="24"/>
    </i>
    <i r="1">
      <x v="25"/>
    </i>
    <i r="1">
      <x v="30"/>
    </i>
    <i r="1">
      <x v="33"/>
    </i>
    <i r="1">
      <x v="34"/>
    </i>
    <i r="1">
      <x v="37"/>
    </i>
    <i t="default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item="0" hier="0"/>
    <pageField fld="7" item="3" hier="0"/>
  </pageFields>
  <dataFields count="3">
    <dataField name="Количество по полю Месяц открытия" fld="7" subtotal="count" baseField="0" baseItem="0"/>
    <dataField name="Количество по полю Месяц закрытия план" fld="8" subtotal="count" baseField="0" baseItem="0"/>
    <dataField name="Количество по полю Месяц закрытия факт" fld="9" subtotal="count" baseField="0" baseItem="0"/>
  </dataFields>
  <pivotTableStyleInfo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СводнаяТаблица1" cacheId="0" applyNumberFormats="0" applyBorderFormats="0" applyFontFormats="0" applyPatternFormats="0" applyAlignmentFormats="0" applyWidthHeightFormats="1" dataCaption="Данные" updatedVersion="5" minRefreshableVersion="3" showMultipleLabel="0" showMemberPropertyTips="0" useAutoFormatting="1" itemPrintTitles="1" createdVersion="1" indent="0" compact="0" compactData="0" gridDropZones="1">
  <location ref="A6:F8" firstHeaderRow="1" firstDataRow="2" firstDataCol="2" rowPageCount="4" colPageCount="1"/>
  <pivotFields count="18">
    <pivotField compact="0" outline="0" subtotalTop="0" showAll="0" includeNewItemsInFilter="1"/>
    <pivotField axis="axisRow" compact="0" outline="0" subtotalTop="0" showAll="0" includeNewItemsInFilter="1" defaultSubtotal="0">
      <items count="47">
        <item m="1" x="25"/>
        <item m="1" x="34"/>
        <item m="1" x="29"/>
        <item m="1" x="35"/>
        <item m="1" x="44"/>
        <item m="1" x="36"/>
        <item m="1" x="39"/>
        <item m="1" x="28"/>
        <item x="24"/>
        <item m="1" x="42"/>
        <item m="1" x="41"/>
        <item m="1" x="27"/>
        <item m="1" x="37"/>
        <item m="1" x="43"/>
        <item m="1" x="33"/>
        <item x="19"/>
        <item m="1" x="30"/>
        <item m="1" x="38"/>
        <item m="1" x="26"/>
        <item x="6"/>
        <item x="15"/>
        <item x="20"/>
        <item x="1"/>
        <item x="16"/>
        <item x="22"/>
        <item x="12"/>
        <item x="17"/>
        <item x="23"/>
        <item m="1" x="32"/>
        <item x="18"/>
        <item m="1" x="45"/>
        <item x="2"/>
        <item x="14"/>
        <item m="1" x="31"/>
        <item x="0"/>
        <item x="21"/>
        <item m="1" x="40"/>
        <item x="13"/>
        <item m="1" x="46"/>
        <item x="3"/>
        <item x="4"/>
        <item x="5"/>
        <item x="7"/>
        <item x="8"/>
        <item x="9"/>
        <item x="10"/>
        <item x="11"/>
      </items>
    </pivotField>
    <pivotField compact="0" outline="0" subtotalTop="0" showAll="0" includeNewItemsInFilter="1" defaultSubtotal="0"/>
    <pivotField compact="0" outline="0" subtotalTop="0" showAll="0" includeNewItemsInFilter="1"/>
    <pivotField axis="axisRow" dataField="1" compact="0" outline="0" subtotalTop="0" showAll="0" includeNewItemsInFilter="1">
      <items count="273">
        <item m="1" x="236"/>
        <item x="12"/>
        <item m="1" x="122"/>
        <item m="1" x="169"/>
        <item m="1" x="72"/>
        <item m="1" x="98"/>
        <item m="1" x="262"/>
        <item x="39"/>
        <item x="49"/>
        <item m="1" x="70"/>
        <item x="41"/>
        <item m="1" x="251"/>
        <item x="26"/>
        <item m="1" x="254"/>
        <item m="1" x="181"/>
        <item m="1" x="123"/>
        <item m="1" x="150"/>
        <item x="32"/>
        <item x="8"/>
        <item x="43"/>
        <item m="1" x="253"/>
        <item x="11"/>
        <item x="36"/>
        <item m="1" x="216"/>
        <item m="1" x="202"/>
        <item m="1" x="235"/>
        <item m="1" x="189"/>
        <item m="1" x="74"/>
        <item m="1" x="111"/>
        <item m="1" x="105"/>
        <item m="1" x="206"/>
        <item m="1" x="244"/>
        <item m="1" x="185"/>
        <item m="1" x="61"/>
        <item m="1" x="54"/>
        <item m="1" x="172"/>
        <item m="1" x="109"/>
        <item m="1" x="91"/>
        <item m="1" x="57"/>
        <item m="1" x="59"/>
        <item m="1" x="84"/>
        <item m="1" x="209"/>
        <item m="1" x="225"/>
        <item m="1" x="191"/>
        <item m="1" x="154"/>
        <item m="1" x="208"/>
        <item x="10"/>
        <item m="1" x="142"/>
        <item m="1" x="194"/>
        <item m="1" x="62"/>
        <item m="1" x="220"/>
        <item x="3"/>
        <item m="1" x="245"/>
        <item m="1" x="171"/>
        <item m="1" x="103"/>
        <item m="1" x="224"/>
        <item m="1" x="186"/>
        <item m="1" x="107"/>
        <item x="33"/>
        <item m="1" x="240"/>
        <item m="1" x="222"/>
        <item m="1" x="247"/>
        <item x="9"/>
        <item m="1" x="197"/>
        <item m="1" x="153"/>
        <item m="1" x="100"/>
        <item m="1" x="113"/>
        <item m="1" x="69"/>
        <item m="1" x="52"/>
        <item m="1" x="264"/>
        <item x="19"/>
        <item m="1" x="230"/>
        <item m="1" x="85"/>
        <item m="1" x="270"/>
        <item m="1" x="102"/>
        <item x="48"/>
        <item m="1" x="133"/>
        <item m="1" x="129"/>
        <item m="1" x="124"/>
        <item m="1" x="246"/>
        <item m="1" x="164"/>
        <item m="1" x="263"/>
        <item m="1" x="268"/>
        <item m="1" x="135"/>
        <item m="1" x="139"/>
        <item m="1" x="68"/>
        <item m="1" x="184"/>
        <item m="1" x="121"/>
        <item x="6"/>
        <item m="1" x="80"/>
        <item m="1" x="212"/>
        <item m="1" x="213"/>
        <item m="1" x="134"/>
        <item m="1" x="261"/>
        <item m="1" x="86"/>
        <item m="1" x="87"/>
        <item m="1" x="115"/>
        <item m="1" x="227"/>
        <item m="1" x="148"/>
        <item m="1" x="257"/>
        <item x="16"/>
        <item m="1" x="160"/>
        <item m="1" x="89"/>
        <item m="1" x="136"/>
        <item m="1" x="237"/>
        <item m="1" x="130"/>
        <item x="5"/>
        <item m="1" x="248"/>
        <item m="1" x="132"/>
        <item m="1" x="50"/>
        <item m="1" x="201"/>
        <item m="1" x="239"/>
        <item x="13"/>
        <item m="1" x="145"/>
        <item m="1" x="146"/>
        <item m="1" x="76"/>
        <item m="1" x="75"/>
        <item m="1" x="64"/>
        <item m="1" x="260"/>
        <item m="1" x="163"/>
        <item m="1" x="204"/>
        <item m="1" x="183"/>
        <item m="1" x="267"/>
        <item m="1" x="249"/>
        <item m="1" x="178"/>
        <item m="1" x="162"/>
        <item m="1" x="83"/>
        <item m="1" x="188"/>
        <item m="1" x="99"/>
        <item m="1" x="157"/>
        <item m="1" x="207"/>
        <item m="1" x="200"/>
        <item m="1" x="205"/>
        <item m="1" x="55"/>
        <item m="1" x="141"/>
        <item m="1" x="180"/>
        <item m="1" x="128"/>
        <item m="1" x="179"/>
        <item m="1" x="210"/>
        <item m="1" x="81"/>
        <item m="1" x="96"/>
        <item m="1" x="149"/>
        <item m="1" x="241"/>
        <item m="1" x="92"/>
        <item m="1" x="137"/>
        <item m="1" x="223"/>
        <item x="34"/>
        <item m="1" x="174"/>
        <item m="1" x="173"/>
        <item m="1" x="258"/>
        <item m="1" x="58"/>
        <item m="1" x="168"/>
        <item x="31"/>
        <item m="1" x="82"/>
        <item x="30"/>
        <item x="14"/>
        <item m="1" x="218"/>
        <item m="1" x="97"/>
        <item m="1" x="266"/>
        <item m="1" x="238"/>
        <item m="1" x="203"/>
        <item m="1" x="152"/>
        <item m="1" x="116"/>
        <item m="1" x="125"/>
        <item m="1" x="94"/>
        <item m="1" x="93"/>
        <item m="1" x="215"/>
        <item m="1" x="155"/>
        <item m="1" x="101"/>
        <item m="1" x="265"/>
        <item m="1" x="65"/>
        <item m="1" x="108"/>
        <item x="18"/>
        <item m="1" x="104"/>
        <item m="1" x="250"/>
        <item m="1" x="143"/>
        <item m="1" x="252"/>
        <item x="40"/>
        <item m="1" x="151"/>
        <item m="1" x="71"/>
        <item m="1" x="60"/>
        <item m="1" x="233"/>
        <item m="1" x="255"/>
        <item m="1" x="66"/>
        <item m="1" x="228"/>
        <item m="1" x="79"/>
        <item m="1" x="229"/>
        <item m="1" x="211"/>
        <item x="28"/>
        <item m="1" x="63"/>
        <item m="1" x="119"/>
        <item m="1" x="269"/>
        <item m="1" x="140"/>
        <item m="1" x="176"/>
        <item m="1" x="259"/>
        <item m="1" x="126"/>
        <item m="1" x="234"/>
        <item x="27"/>
        <item m="1" x="53"/>
        <item m="1" x="217"/>
        <item m="1" x="221"/>
        <item m="1" x="120"/>
        <item m="1" x="193"/>
        <item x="2"/>
        <item m="1" x="156"/>
        <item m="1" x="219"/>
        <item m="1" x="159"/>
        <item m="1" x="127"/>
        <item m="1" x="106"/>
        <item m="1" x="199"/>
        <item m="1" x="90"/>
        <item m="1" x="177"/>
        <item m="1" x="56"/>
        <item m="1" x="232"/>
        <item m="1" x="214"/>
        <item m="1" x="175"/>
        <item m="1" x="118"/>
        <item m="1" x="73"/>
        <item m="1" x="88"/>
        <item m="1" x="165"/>
        <item m="1" x="192"/>
        <item m="1" x="198"/>
        <item m="1" x="231"/>
        <item m="1" x="78"/>
        <item m="1" x="147"/>
        <item m="1" x="190"/>
        <item m="1" x="170"/>
        <item m="1" x="131"/>
        <item m="1" x="167"/>
        <item m="1" x="117"/>
        <item m="1" x="158"/>
        <item m="1" x="271"/>
        <item m="1" x="110"/>
        <item m="1" x="95"/>
        <item m="1" x="243"/>
        <item x="25"/>
        <item m="1" x="182"/>
        <item m="1" x="166"/>
        <item m="1" x="114"/>
        <item m="1" x="226"/>
        <item m="1" x="195"/>
        <item m="1" x="242"/>
        <item m="1" x="187"/>
        <item m="1" x="112"/>
        <item m="1" x="256"/>
        <item m="1" x="138"/>
        <item m="1" x="196"/>
        <item m="1" x="144"/>
        <item m="1" x="67"/>
        <item x="0"/>
        <item m="1" x="51"/>
        <item m="1" x="161"/>
        <item m="1" x="77"/>
        <item x="1"/>
        <item x="4"/>
        <item x="7"/>
        <item x="15"/>
        <item x="17"/>
        <item x="20"/>
        <item x="21"/>
        <item x="22"/>
        <item x="23"/>
        <item x="24"/>
        <item x="29"/>
        <item x="35"/>
        <item x="37"/>
        <item x="38"/>
        <item x="42"/>
        <item x="44"/>
        <item x="45"/>
        <item x="46"/>
        <item x="47"/>
        <item t="default"/>
      </items>
    </pivotField>
    <pivotField axis="axisPage" compact="0" outline="0" subtotalTop="0" showAll="0" includeNewItemsInFilter="1">
      <items count="14">
        <item x="0"/>
        <item x="1"/>
        <item m="1" x="12"/>
        <item m="1" x="4"/>
        <item m="1" x="3"/>
        <item h="1" x="2"/>
        <item m="1" x="11"/>
        <item m="1" x="10"/>
        <item m="1" x="8"/>
        <item m="1" x="9"/>
        <item m="1" x="7"/>
        <item m="1" x="5"/>
        <item m="1" x="6"/>
        <item t="default"/>
      </items>
    </pivotField>
    <pivotField axis="axisPage" compact="0" outline="0" subtotalTop="0" showAll="0" includeNewItemsInFilter="1" defaultSubtotal="0">
      <items count="12">
        <item x="0"/>
        <item x="3"/>
        <item x="1"/>
        <item h="1" x="5"/>
        <item x="4"/>
        <item m="1" x="11"/>
        <item x="2"/>
        <item m="1" x="9"/>
        <item m="1" x="10"/>
        <item m="1" x="8"/>
        <item m="1" x="6"/>
        <item h="1" m="1" x="7"/>
      </items>
    </pivotField>
    <pivotField axis="axisPage" compact="0" outline="0" subtotalTop="0" showAll="0" includeNewItemsInFilter="1" defaultSubtotal="0">
      <items count="14">
        <item h="1" x="1"/>
        <item m="1" x="5"/>
        <item h="1" x="0"/>
        <item h="1" x="2"/>
        <item h="1" x="3"/>
        <item h="1" m="1" x="4"/>
        <item h="1" m="1" x="6"/>
        <item h="1" m="1" x="13"/>
        <item h="1" m="1" x="12"/>
        <item h="1" m="1" x="10"/>
        <item h="1" m="1" x="11"/>
        <item h="1" m="1" x="9"/>
        <item m="1" x="7"/>
        <item m="1" x="8"/>
      </items>
    </pivotField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axis="axisPage" compact="0" outline="0" subtotalTop="0" showAll="0" includeNewItemsInFilter="1">
      <items count="28">
        <item m="1" x="14"/>
        <item m="1" x="17"/>
        <item m="1" x="7"/>
        <item m="1" x="8"/>
        <item x="6"/>
        <item m="1" x="12"/>
        <item m="1" x="16"/>
        <item m="1" x="23"/>
        <item m="1" x="11"/>
        <item m="1" x="18"/>
        <item m="1" x="26"/>
        <item m="1" x="21"/>
        <item m="1" x="20"/>
        <item m="1" x="24"/>
        <item m="1" x="22"/>
        <item m="1" x="19"/>
        <item m="1" x="15"/>
        <item m="1" x="10"/>
        <item m="1" x="25"/>
        <item m="1" x="13"/>
        <item m="1" x="9"/>
        <item x="0"/>
        <item x="1"/>
        <item x="2"/>
        <item x="3"/>
        <item x="4"/>
        <item x="5"/>
        <item t="default"/>
      </items>
    </pivotField>
  </pivotFields>
  <rowFields count="2">
    <field x="1"/>
    <field x="4"/>
  </rowFields>
  <rowItems count="1"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4">
    <pageField fld="5" hier="0"/>
    <pageField fld="6" hier="0"/>
    <pageField fld="7" hier="0"/>
    <pageField fld="17" hier="0"/>
  </pageFields>
  <dataFields count="4">
    <dataField name="Количество по полю Вакансия" fld="4" subtotal="count" baseField="0" baseItem="0"/>
    <dataField name="Сумма по полю Срок закрытия плановый" fld="12" baseField="4" baseItem="99"/>
    <dataField name="Сумма по полю Количество дней в работе" fld="11" baseField="4" baseItem="17"/>
    <dataField name="Сумма по полю Отклонения от срока" fld="13" baseField="4" baseItem="99"/>
  </dataFields>
  <formats count="17"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dataOnly="0" labelOnly="1" grandRow="1" outline="0" fieldPosition="0"/>
    </format>
    <format dxfId="35">
      <pivotArea field="4" grandRow="1" outline="0" axis="axisRow" fieldPosition="1">
        <references count="1">
          <reference field="4294967294" count="1" selected="0">
            <x v="0"/>
          </reference>
        </references>
      </pivotArea>
    </format>
    <format dxfId="34">
      <pivotArea dataOnly="0" labelOnly="1" grandRow="1" outline="0" fieldPosition="0"/>
    </format>
    <format dxfId="33">
      <pivotArea type="all" dataOnly="0" outline="0" fieldPosition="0"/>
    </format>
    <format dxfId="32">
      <pivotArea outline="0" fieldPosition="0"/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">
      <pivotArea field="1" type="button" dataOnly="0" labelOnly="1" outline="0" axis="axisRow" fieldPosition="0"/>
    </format>
    <format dxfId="28">
      <pivotArea field="4" type="button" dataOnly="0" labelOnly="1" outline="0" axis="axisRow" fieldPosition="1"/>
    </format>
    <format dxfId="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6">
      <pivotArea field="1" type="button" dataOnly="0" labelOnly="1" outline="0" axis="axisRow" fieldPosition="0"/>
    </format>
    <format dxfId="25">
      <pivotArea field="4" type="button" dataOnly="0" labelOnly="1" outline="0" axis="axisRow" fieldPosition="1"/>
    </format>
    <format dxfId="2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">
      <pivotArea field="1" type="button" dataOnly="0" labelOnly="1" outline="0" axis="axisRow" fieldPosition="0"/>
    </format>
    <format dxfId="22">
      <pivotArea field="4" type="button" dataOnly="0" labelOnly="1" outline="0" axis="axisRow" fieldPosition="1"/>
    </format>
    <format dxfId="2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СводнаяТаблица1" cacheId="1" applyNumberFormats="0" applyBorderFormats="0" applyFontFormats="0" applyPatternFormats="0" applyAlignmentFormats="0" applyWidthHeightFormats="1" dataCaption="Данные" updatedVersion="5" minRefreshableVersion="3" showMultipleLabel="0" showMemberPropertyTips="0" useAutoFormatting="1" itemPrintTitles="1" createdVersion="1" indent="0" compact="0" compactData="0" gridDropZones="1">
  <location ref="A5:F41" firstHeaderRow="1" firstDataRow="2" firstDataCol="2" rowPageCount="3" colPageCount="1"/>
  <pivotFields count="18">
    <pivotField compact="0" outline="0" subtotalTop="0" showAll="0" includeNewItemsInFilter="1"/>
    <pivotField axis="axisRow" compact="0" outline="0" subtotalTop="0" showAll="0" includeNewItemsInFilter="1" defaultSubtotal="0">
      <items count="30">
        <item x="24"/>
        <item x="6"/>
        <item x="15"/>
        <item x="20"/>
        <item x="1"/>
        <item x="16"/>
        <item x="22"/>
        <item x="12"/>
        <item x="17"/>
        <item x="23"/>
        <item m="1" x="26"/>
        <item x="18"/>
        <item m="1" x="28"/>
        <item x="19"/>
        <item x="2"/>
        <item x="14"/>
        <item m="1" x="25"/>
        <item x="0"/>
        <item m="1" x="27"/>
        <item x="21"/>
        <item x="13"/>
        <item m="1" x="29"/>
        <item x="3"/>
        <item x="4"/>
        <item x="5"/>
        <item x="7"/>
        <item x="8"/>
        <item x="9"/>
        <item x="10"/>
        <item x="11"/>
      </items>
    </pivotField>
    <pivotField compact="0" outline="0" subtotalTop="0" showAll="0" includeNewItemsInFilter="1" defaultSubtotal="0"/>
    <pivotField compact="0" outline="0" subtotalTop="0" showAll="0" includeNewItemsInFilter="1"/>
    <pivotField axis="axisRow" dataField="1" compact="0" outline="0" subtotalTop="0" showAll="0" includeNewItemsInFilter="1">
      <items count="128">
        <item m="1" x="117"/>
        <item x="12"/>
        <item m="1" x="71"/>
        <item m="1" x="94"/>
        <item m="1" x="81"/>
        <item x="33"/>
        <item x="39"/>
        <item m="1" x="114"/>
        <item x="19"/>
        <item x="3"/>
        <item x="49"/>
        <item x="41"/>
        <item m="1" x="111"/>
        <item m="1" x="77"/>
        <item m="1" x="80"/>
        <item m="1" x="126"/>
        <item x="28"/>
        <item m="1" x="66"/>
        <item x="6"/>
        <item x="32"/>
        <item x="8"/>
        <item m="1" x="107"/>
        <item x="43"/>
        <item x="11"/>
        <item m="1" x="96"/>
        <item m="1" x="75"/>
        <item m="1" x="87"/>
        <item m="1" x="101"/>
        <item m="1" x="120"/>
        <item m="1" x="61"/>
        <item m="1" x="125"/>
        <item x="5"/>
        <item m="1" x="54"/>
        <item m="1" x="89"/>
        <item m="1" x="73"/>
        <item m="1" x="93"/>
        <item m="1" x="57"/>
        <item x="14"/>
        <item m="1" x="82"/>
        <item m="1" x="84"/>
        <item x="18"/>
        <item m="1" x="121"/>
        <item m="1" x="78"/>
        <item m="1" x="122"/>
        <item m="1" x="72"/>
        <item m="1" x="62"/>
        <item m="1" x="105"/>
        <item m="1" x="59"/>
        <item m="1" x="116"/>
        <item m="1" x="85"/>
        <item m="1" x="124"/>
        <item m="1" x="108"/>
        <item m="1" x="109"/>
        <item m="1" x="97"/>
        <item m="1" x="68"/>
        <item m="1" x="53"/>
        <item m="1" x="110"/>
        <item m="1" x="70"/>
        <item m="1" x="58"/>
        <item m="1" x="90"/>
        <item m="1" x="102"/>
        <item m="1" x="115"/>
        <item x="2"/>
        <item m="1" x="69"/>
        <item m="1" x="56"/>
        <item m="1" x="100"/>
        <item m="1" x="95"/>
        <item m="1" x="74"/>
        <item m="1" x="92"/>
        <item m="1" x="67"/>
        <item m="1" x="86"/>
        <item m="1" x="60"/>
        <item m="1" x="63"/>
        <item m="1" x="119"/>
        <item x="25"/>
        <item m="1" x="98"/>
        <item m="1" x="91"/>
        <item m="1" x="65"/>
        <item m="1" x="103"/>
        <item m="1" x="112"/>
        <item m="1" x="118"/>
        <item m="1" x="99"/>
        <item x="27"/>
        <item m="1" x="64"/>
        <item m="1" x="106"/>
        <item m="1" x="123"/>
        <item m="1" x="76"/>
        <item m="1" x="104"/>
        <item m="1" x="79"/>
        <item x="40"/>
        <item m="1" x="51"/>
        <item m="1" x="52"/>
        <item x="16"/>
        <item x="0"/>
        <item m="1" x="113"/>
        <item m="1" x="83"/>
        <item m="1" x="50"/>
        <item m="1" x="88"/>
        <item m="1" x="55"/>
        <item x="1"/>
        <item x="4"/>
        <item x="7"/>
        <item x="9"/>
        <item x="10"/>
        <item x="13"/>
        <item x="15"/>
        <item x="17"/>
        <item x="20"/>
        <item x="21"/>
        <item x="22"/>
        <item x="23"/>
        <item x="24"/>
        <item x="26"/>
        <item x="29"/>
        <item x="30"/>
        <item x="31"/>
        <item x="34"/>
        <item x="35"/>
        <item x="36"/>
        <item x="37"/>
        <item x="38"/>
        <item x="42"/>
        <item x="44"/>
        <item x="45"/>
        <item x="46"/>
        <item x="47"/>
        <item x="48"/>
        <item t="default"/>
      </items>
    </pivotField>
    <pivotField axis="axisPage" compact="0" outline="0" subtotalTop="0" showAll="0" includeNewItemsInFilter="1">
      <items count="14">
        <item m="1" x="6"/>
        <item x="0"/>
        <item m="1" x="7"/>
        <item x="1"/>
        <item m="1" x="12"/>
        <item m="1" x="4"/>
        <item m="1" x="5"/>
        <item h="1" x="2"/>
        <item m="1" x="11"/>
        <item m="1" x="9"/>
        <item m="1" x="3"/>
        <item m="1" x="10"/>
        <item m="1" x="8"/>
        <item t="default"/>
      </items>
    </pivotField>
    <pivotField axis="axisPage" compact="0" outline="0" subtotalTop="0" showAll="0" includeNewItemsInFilter="1" defaultSubtotal="0">
      <items count="11">
        <item x="0"/>
        <item x="3"/>
        <item x="1"/>
        <item x="5"/>
        <item x="4"/>
        <item m="1" x="10"/>
        <item x="2"/>
        <item h="1" m="1" x="6"/>
        <item m="1" x="8"/>
        <item m="1" x="9"/>
        <item m="1" x="7"/>
      </items>
    </pivotField>
    <pivotField axis="axisPage" compact="0" outline="0" subtotalTop="0" showAll="0" includeNewItemsInFilter="1" defaultSubtotal="0">
      <items count="12">
        <item x="1"/>
        <item h="1" x="0"/>
        <item h="1" x="2"/>
        <item h="1" x="3"/>
        <item m="1" x="5"/>
        <item m="1" x="4"/>
        <item m="1" x="11"/>
        <item m="1" x="10"/>
        <item m="1" x="8"/>
        <item m="1" x="9"/>
        <item m="1" x="7"/>
        <item m="1" x="6"/>
      </items>
    </pivotField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/>
  </pivotFields>
  <rowFields count="2">
    <field x="1"/>
    <field x="4"/>
  </rowFields>
  <rowItems count="35">
    <i>
      <x v="1"/>
      <x v="5"/>
    </i>
    <i r="1">
      <x v="20"/>
    </i>
    <i r="1">
      <x v="102"/>
    </i>
    <i r="1">
      <x v="103"/>
    </i>
    <i>
      <x v="2"/>
      <x v="16"/>
    </i>
    <i r="1">
      <x v="40"/>
    </i>
    <i>
      <x v="3"/>
      <x v="114"/>
    </i>
    <i r="1">
      <x v="115"/>
    </i>
    <i>
      <x v="4"/>
      <x v="31"/>
    </i>
    <i r="1">
      <x v="100"/>
    </i>
    <i r="1">
      <x v="109"/>
    </i>
    <i r="1">
      <x v="110"/>
    </i>
    <i r="1">
      <x v="119"/>
    </i>
    <i r="1">
      <x v="120"/>
    </i>
    <i r="1">
      <x v="122"/>
    </i>
    <i>
      <x v="6"/>
      <x v="6"/>
    </i>
    <i r="1">
      <x v="89"/>
    </i>
    <i>
      <x v="7"/>
      <x v="37"/>
    </i>
    <i r="1">
      <x v="111"/>
    </i>
    <i r="1">
      <x v="121"/>
    </i>
    <i r="1">
      <x v="126"/>
    </i>
    <i>
      <x v="8"/>
      <x v="108"/>
    </i>
    <i>
      <x v="9"/>
      <x v="22"/>
    </i>
    <i>
      <x v="11"/>
      <x v="74"/>
    </i>
    <i>
      <x v="13"/>
      <x v="112"/>
    </i>
    <i r="1">
      <x v="118"/>
    </i>
    <i>
      <x v="14"/>
      <x v="9"/>
    </i>
    <i>
      <x v="17"/>
      <x v="9"/>
    </i>
    <i r="1">
      <x v="123"/>
    </i>
    <i r="1">
      <x v="124"/>
    </i>
    <i r="1">
      <x v="125"/>
    </i>
    <i>
      <x v="19"/>
      <x v="117"/>
    </i>
    <i>
      <x v="20"/>
      <x v="8"/>
    </i>
    <i r="1">
      <x v="1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5" hier="0"/>
    <pageField fld="6" hier="0"/>
    <pageField fld="7" hier="0"/>
  </pageFields>
  <dataFields count="4">
    <dataField name="Количество по полю Вакансия" fld="4" subtotal="count" baseField="0" baseItem="0"/>
    <dataField name="Сумма по полю Срок закрытия плановый" fld="12" baseField="0" baseItem="0"/>
    <dataField name="Сумма по полю Количество дней в работе" fld="11" baseField="0" baseItem="0"/>
    <dataField name="Сумма по полю Отклонения от срока" fld="13" baseField="0" baseItem="0"/>
  </dataFields>
  <formats count="21">
    <format dxfId="2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9">
      <pivotArea dataOnly="0" labelOnly="1" grandRow="1" outline="0" fieldPosition="0"/>
    </format>
    <format dxfId="18">
      <pivotArea field="4" grandRow="1" outline="0" axis="axisRow" fieldPosition="1">
        <references count="1">
          <reference field="4294967294" count="1" selected="0">
            <x v="0"/>
          </reference>
        </references>
      </pivotArea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fieldPosition="0"/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2">
      <pivotArea outline="0" fieldPosition="0">
        <references count="2">
          <reference field="4294967294" count="1" selected="0">
            <x v="3"/>
          </reference>
          <reference field="4" count="1" selected="0">
            <x v="15"/>
          </reference>
        </references>
      </pivotArea>
    </format>
    <format dxfId="11">
      <pivotArea outline="0" fieldPosition="0">
        <references count="2">
          <reference field="4294967294" count="1" selected="0">
            <x v="3"/>
          </reference>
          <reference field="4" count="2" selected="0">
            <x v="6"/>
            <x v="8"/>
          </reference>
        </references>
      </pivotArea>
    </format>
    <format dxfId="10">
      <pivotArea outline="0" fieldPosition="0">
        <references count="1">
          <reference field="4" count="2" selected="0">
            <x v="2"/>
            <x v="20"/>
          </reference>
        </references>
      </pivotArea>
    </format>
    <format dxfId="9">
      <pivotArea dataOnly="0" labelOnly="1" outline="0" fieldPosition="0">
        <references count="1">
          <reference field="4" count="2">
            <x v="2"/>
            <x v="20"/>
          </reference>
        </references>
      </pivotArea>
    </format>
    <format dxfId="8">
      <pivotArea field="1" type="button" dataOnly="0" labelOnly="1" outline="0" axis="axisRow" fieldPosition="0"/>
    </format>
    <format dxfId="7">
      <pivotArea field="4" type="button" dataOnly="0" labelOnly="1" outline="0" axis="axisRow" fieldPosition="1"/>
    </format>
    <format dxfId="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">
      <pivotArea field="1" type="button" dataOnly="0" labelOnly="1" outline="0" axis="axisRow" fieldPosition="0"/>
    </format>
    <format dxfId="4">
      <pivotArea field="4" type="button" dataOnly="0" labelOnly="1" outline="0" axis="axisRow" fieldPosition="1"/>
    </format>
    <format dxfId="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">
      <pivotArea field="1" type="button" dataOnly="0" labelOnly="1" outline="0" axis="axisRow" fieldPosition="0"/>
    </format>
    <format dxfId="1">
      <pivotArea field="4" type="button" dataOnly="0" labelOnly="1" outline="0" axis="axisRow" fieldPosition="1"/>
    </format>
    <format dxfId="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">
    <tabColor indexed="51"/>
    <pageSetUpPr fitToPage="1"/>
  </sheetPr>
  <dimension ref="A1:C137"/>
  <sheetViews>
    <sheetView workbookViewId="0">
      <pane ySplit="2" topLeftCell="A173" activePane="bottomLeft" state="frozen"/>
      <selection pane="bottomLeft" activeCell="C8" sqref="C8:C232"/>
    </sheetView>
  </sheetViews>
  <sheetFormatPr defaultRowHeight="12.75" outlineLevelRow="1" x14ac:dyDescent="0.2"/>
  <cols>
    <col min="1" max="1" width="42.140625" style="1" customWidth="1"/>
    <col min="2" max="2" width="38" style="2" customWidth="1"/>
    <col min="3" max="3" width="31.140625" style="3" customWidth="1"/>
    <col min="4" max="16384" width="9.140625" style="3"/>
  </cols>
  <sheetData>
    <row r="1" spans="1:3" ht="12.75" customHeight="1" x14ac:dyDescent="0.2">
      <c r="A1" s="616" t="s">
        <v>0</v>
      </c>
      <c r="B1" s="616"/>
      <c r="C1" s="616"/>
    </row>
    <row r="2" spans="1:3" x14ac:dyDescent="0.2">
      <c r="A2" s="616"/>
      <c r="B2" s="616"/>
      <c r="C2" s="616"/>
    </row>
    <row r="3" spans="1:3" ht="11.25" customHeight="1" x14ac:dyDescent="0.2">
      <c r="A3" s="4"/>
      <c r="B3" s="4"/>
      <c r="C3" s="4"/>
    </row>
    <row r="4" spans="1:3" ht="39" customHeight="1" x14ac:dyDescent="0.2">
      <c r="A4" s="617" t="s">
        <v>1</v>
      </c>
      <c r="B4" s="617"/>
      <c r="C4" s="4"/>
    </row>
    <row r="5" spans="1:3" ht="39.75" customHeight="1" x14ac:dyDescent="0.2">
      <c r="A5" s="618" t="s">
        <v>2</v>
      </c>
      <c r="B5" s="618"/>
      <c r="C5" s="4"/>
    </row>
    <row r="6" spans="1:3" ht="41.25" customHeight="1" x14ac:dyDescent="0.2">
      <c r="A6" s="617" t="s">
        <v>3</v>
      </c>
      <c r="B6" s="617"/>
      <c r="C6" s="4"/>
    </row>
    <row r="7" spans="1:3" x14ac:dyDescent="0.2">
      <c r="B7" s="5"/>
    </row>
    <row r="8" spans="1:3" ht="53.25" customHeight="1" x14ac:dyDescent="0.2">
      <c r="A8" s="6" t="s">
        <v>4</v>
      </c>
      <c r="B8" s="7" t="s">
        <v>5</v>
      </c>
    </row>
    <row r="9" spans="1:3" ht="14.25" hidden="1" customHeight="1" outlineLevel="1" x14ac:dyDescent="0.25">
      <c r="A9" t="s">
        <v>6</v>
      </c>
      <c r="B9" s="5"/>
    </row>
    <row r="10" spans="1:3" ht="14.25" hidden="1" customHeight="1" outlineLevel="1" x14ac:dyDescent="0.25">
      <c r="A10" s="8" t="s">
        <v>7</v>
      </c>
      <c r="B10" s="5"/>
    </row>
    <row r="11" spans="1:3" ht="14.25" hidden="1" customHeight="1" outlineLevel="1" x14ac:dyDescent="0.2">
      <c r="A11" s="9" t="s">
        <v>8</v>
      </c>
      <c r="B11" s="5"/>
    </row>
    <row r="12" spans="1:3" ht="14.25" hidden="1" customHeight="1" outlineLevel="1" x14ac:dyDescent="0.2">
      <c r="A12" s="9" t="s">
        <v>9</v>
      </c>
      <c r="B12" s="5"/>
    </row>
    <row r="13" spans="1:3" ht="14.25" hidden="1" customHeight="1" outlineLevel="1" x14ac:dyDescent="0.2">
      <c r="A13" s="9" t="s">
        <v>10</v>
      </c>
      <c r="B13" s="5"/>
    </row>
    <row r="14" spans="1:3" ht="14.25" hidden="1" customHeight="1" outlineLevel="1" x14ac:dyDescent="0.2">
      <c r="A14" s="9" t="s">
        <v>11</v>
      </c>
      <c r="B14" s="5"/>
    </row>
    <row r="15" spans="1:3" ht="14.25" hidden="1" customHeight="1" outlineLevel="1" x14ac:dyDescent="0.2">
      <c r="A15" s="9" t="s">
        <v>12</v>
      </c>
      <c r="B15" s="5"/>
    </row>
    <row r="16" spans="1:3" ht="14.25" hidden="1" customHeight="1" outlineLevel="1" x14ac:dyDescent="0.2">
      <c r="A16" s="10" t="s">
        <v>13</v>
      </c>
      <c r="B16" s="5"/>
    </row>
    <row r="17" spans="1:2" s="12" customFormat="1" ht="31.5" hidden="1" outlineLevel="1" x14ac:dyDescent="0.25">
      <c r="A17" s="11" t="s">
        <v>14</v>
      </c>
      <c r="B17" s="11" t="s">
        <v>15</v>
      </c>
    </row>
    <row r="18" spans="1:2" ht="27.75" hidden="1" customHeight="1" outlineLevel="1" x14ac:dyDescent="0.2">
      <c r="A18" s="13" t="s">
        <v>16</v>
      </c>
      <c r="B18" s="14" t="s">
        <v>17</v>
      </c>
    </row>
    <row r="19" spans="1:2" ht="27.75" hidden="1" customHeight="1" outlineLevel="1" x14ac:dyDescent="0.2">
      <c r="A19" s="13" t="s">
        <v>18</v>
      </c>
      <c r="B19" s="14" t="s">
        <v>19</v>
      </c>
    </row>
    <row r="20" spans="1:2" ht="27.75" hidden="1" customHeight="1" outlineLevel="1" x14ac:dyDescent="0.2">
      <c r="A20" s="13" t="s">
        <v>20</v>
      </c>
      <c r="B20" s="14" t="s">
        <v>21</v>
      </c>
    </row>
    <row r="21" spans="1:2" ht="27.75" hidden="1" customHeight="1" outlineLevel="1" x14ac:dyDescent="0.2">
      <c r="A21" s="15" t="s">
        <v>22</v>
      </c>
      <c r="B21" s="14" t="s">
        <v>23</v>
      </c>
    </row>
    <row r="22" spans="1:2" ht="27.75" hidden="1" customHeight="1" outlineLevel="1" x14ac:dyDescent="0.2">
      <c r="A22" s="15" t="s">
        <v>24</v>
      </c>
      <c r="B22" s="14" t="s">
        <v>25</v>
      </c>
    </row>
    <row r="23" spans="1:2" ht="27.75" hidden="1" customHeight="1" outlineLevel="1" x14ac:dyDescent="0.2">
      <c r="A23" s="13" t="s">
        <v>26</v>
      </c>
      <c r="B23" s="14" t="s">
        <v>27</v>
      </c>
    </row>
    <row r="24" spans="1:2" ht="27.75" hidden="1" customHeight="1" outlineLevel="1" x14ac:dyDescent="0.2">
      <c r="A24" s="13" t="s">
        <v>28</v>
      </c>
      <c r="B24" s="14" t="s">
        <v>29</v>
      </c>
    </row>
    <row r="25" spans="1:2" ht="27.75" hidden="1" customHeight="1" outlineLevel="1" x14ac:dyDescent="0.2">
      <c r="A25" s="13" t="s">
        <v>30</v>
      </c>
      <c r="B25" s="14" t="s">
        <v>30</v>
      </c>
    </row>
    <row r="26" spans="1:2" ht="27.75" hidden="1" customHeight="1" outlineLevel="1" x14ac:dyDescent="0.2">
      <c r="A26" s="13" t="s">
        <v>32</v>
      </c>
      <c r="B26" s="16" t="s">
        <v>33</v>
      </c>
    </row>
    <row r="27" spans="1:2" ht="27.75" hidden="1" customHeight="1" outlineLevel="1" x14ac:dyDescent="0.2">
      <c r="A27" s="13" t="s">
        <v>35</v>
      </c>
      <c r="B27" s="14" t="s">
        <v>36</v>
      </c>
    </row>
    <row r="28" spans="1:2" ht="27.75" hidden="1" customHeight="1" outlineLevel="1" x14ac:dyDescent="0.2">
      <c r="A28" s="13" t="s">
        <v>37</v>
      </c>
      <c r="B28" s="14" t="s">
        <v>38</v>
      </c>
    </row>
    <row r="29" spans="1:2" ht="27.75" hidden="1" customHeight="1" outlineLevel="1" x14ac:dyDescent="0.2">
      <c r="A29" s="13" t="s">
        <v>39</v>
      </c>
      <c r="B29" s="14" t="s">
        <v>40</v>
      </c>
    </row>
    <row r="30" spans="1:2" ht="27.75" hidden="1" customHeight="1" outlineLevel="1" x14ac:dyDescent="0.2">
      <c r="A30" s="13" t="s">
        <v>41</v>
      </c>
      <c r="B30" s="14" t="s">
        <v>42</v>
      </c>
    </row>
    <row r="31" spans="1:2" ht="27.75" hidden="1" customHeight="1" outlineLevel="1" x14ac:dyDescent="0.2">
      <c r="A31" s="13" t="s">
        <v>43</v>
      </c>
      <c r="B31" s="14"/>
    </row>
    <row r="32" spans="1:2" ht="27.75" hidden="1" customHeight="1" outlineLevel="1" x14ac:dyDescent="0.2">
      <c r="A32" s="13" t="s">
        <v>44</v>
      </c>
      <c r="B32" s="14" t="s">
        <v>45</v>
      </c>
    </row>
    <row r="33" spans="1:2" ht="27.75" hidden="1" customHeight="1" outlineLevel="1" x14ac:dyDescent="0.2">
      <c r="A33" s="17" t="s">
        <v>46</v>
      </c>
      <c r="B33" s="14" t="s">
        <v>47</v>
      </c>
    </row>
    <row r="34" spans="1:2" ht="27.75" hidden="1" customHeight="1" outlineLevel="1" x14ac:dyDescent="0.2">
      <c r="A34" s="13" t="s">
        <v>48</v>
      </c>
      <c r="B34" s="14" t="s">
        <v>49</v>
      </c>
    </row>
    <row r="35" spans="1:2" ht="27.75" hidden="1" customHeight="1" outlineLevel="1" x14ac:dyDescent="0.2">
      <c r="A35" s="13" t="s">
        <v>50</v>
      </c>
      <c r="B35" s="18"/>
    </row>
    <row r="36" spans="1:2" ht="39.75" hidden="1" customHeight="1" outlineLevel="1" x14ac:dyDescent="0.2">
      <c r="A36" s="13" t="s">
        <v>51</v>
      </c>
      <c r="B36" s="14" t="s">
        <v>52</v>
      </c>
    </row>
    <row r="37" spans="1:2" ht="27.75" hidden="1" customHeight="1" outlineLevel="1" x14ac:dyDescent="0.2">
      <c r="A37" s="19" t="s">
        <v>53</v>
      </c>
      <c r="B37" s="14" t="s">
        <v>53</v>
      </c>
    </row>
    <row r="38" spans="1:2" collapsed="1" x14ac:dyDescent="0.2">
      <c r="A38" s="5"/>
      <c r="B38" s="5"/>
    </row>
    <row r="39" spans="1:2" ht="48" customHeight="1" x14ac:dyDescent="0.2">
      <c r="A39" s="6" t="s">
        <v>54</v>
      </c>
      <c r="B39" s="7" t="s">
        <v>5</v>
      </c>
    </row>
    <row r="40" spans="1:2" ht="31.5" hidden="1" outlineLevel="1" x14ac:dyDescent="0.2">
      <c r="A40" s="11" t="s">
        <v>55</v>
      </c>
      <c r="B40" s="11" t="s">
        <v>15</v>
      </c>
    </row>
    <row r="41" spans="1:2" ht="33" hidden="1" customHeight="1" outlineLevel="1" x14ac:dyDescent="0.2">
      <c r="A41" s="13" t="s">
        <v>56</v>
      </c>
      <c r="B41" s="2" t="s">
        <v>17</v>
      </c>
    </row>
    <row r="42" spans="1:2" ht="33" hidden="1" customHeight="1" outlineLevel="1" x14ac:dyDescent="0.2">
      <c r="A42" s="13" t="s">
        <v>18</v>
      </c>
      <c r="B42" s="2" t="s">
        <v>19</v>
      </c>
    </row>
    <row r="43" spans="1:2" ht="33" hidden="1" customHeight="1" outlineLevel="1" x14ac:dyDescent="0.2">
      <c r="A43" s="13" t="s">
        <v>26</v>
      </c>
      <c r="B43" s="14" t="s">
        <v>29</v>
      </c>
    </row>
    <row r="44" spans="1:2" ht="33" hidden="1" customHeight="1" outlineLevel="1" x14ac:dyDescent="0.2">
      <c r="A44" s="13" t="s">
        <v>28</v>
      </c>
      <c r="B44" s="2" t="s">
        <v>42</v>
      </c>
    </row>
    <row r="45" spans="1:2" ht="33" hidden="1" customHeight="1" outlineLevel="1" x14ac:dyDescent="0.2">
      <c r="A45" s="13" t="s">
        <v>46</v>
      </c>
      <c r="B45" s="2" t="s">
        <v>57</v>
      </c>
    </row>
    <row r="46" spans="1:2" ht="33" hidden="1" customHeight="1" outlineLevel="1" x14ac:dyDescent="0.2">
      <c r="A46" s="13" t="s">
        <v>41</v>
      </c>
      <c r="B46" s="14" t="s">
        <v>42</v>
      </c>
    </row>
    <row r="47" spans="1:2" s="20" customFormat="1" ht="33" hidden="1" customHeight="1" outlineLevel="1" x14ac:dyDescent="0.2">
      <c r="A47" s="13" t="s">
        <v>58</v>
      </c>
      <c r="B47" s="14" t="s">
        <v>58</v>
      </c>
    </row>
    <row r="48" spans="1:2" s="20" customFormat="1" ht="33" hidden="1" customHeight="1" outlineLevel="1" x14ac:dyDescent="0.2">
      <c r="A48" s="13" t="s">
        <v>59</v>
      </c>
      <c r="B48" s="16" t="s">
        <v>33</v>
      </c>
    </row>
    <row r="49" spans="1:2" s="20" customFormat="1" ht="33" hidden="1" customHeight="1" outlineLevel="1" x14ac:dyDescent="0.2">
      <c r="A49" s="13" t="s">
        <v>60</v>
      </c>
      <c r="B49" s="2" t="s">
        <v>61</v>
      </c>
    </row>
    <row r="50" spans="1:2" s="20" customFormat="1" ht="33" hidden="1" customHeight="1" outlineLevel="1" x14ac:dyDescent="0.2">
      <c r="A50" s="13" t="s">
        <v>62</v>
      </c>
      <c r="B50" s="2" t="s">
        <v>63</v>
      </c>
    </row>
    <row r="51" spans="1:2" s="20" customFormat="1" ht="33" hidden="1" customHeight="1" outlineLevel="1" x14ac:dyDescent="0.2">
      <c r="A51" s="13" t="s">
        <v>64</v>
      </c>
      <c r="B51" s="2" t="s">
        <v>64</v>
      </c>
    </row>
    <row r="52" spans="1:2" s="20" customFormat="1" ht="33" hidden="1" customHeight="1" outlineLevel="1" x14ac:dyDescent="0.2">
      <c r="A52" s="13" t="s">
        <v>65</v>
      </c>
      <c r="B52" s="2" t="s">
        <v>66</v>
      </c>
    </row>
    <row r="53" spans="1:2" s="20" customFormat="1" ht="33" hidden="1" customHeight="1" outlineLevel="1" x14ac:dyDescent="0.2">
      <c r="A53" s="13" t="s">
        <v>67</v>
      </c>
      <c r="B53" s="21" t="s">
        <v>68</v>
      </c>
    </row>
    <row r="54" spans="1:2" s="20" customFormat="1" ht="33" hidden="1" customHeight="1" outlineLevel="1" x14ac:dyDescent="0.2">
      <c r="A54" s="13" t="s">
        <v>69</v>
      </c>
      <c r="B54" s="14" t="s">
        <v>23</v>
      </c>
    </row>
    <row r="55" spans="1:2" s="20" customFormat="1" ht="33" hidden="1" customHeight="1" outlineLevel="1" x14ac:dyDescent="0.2">
      <c r="A55" s="13" t="s">
        <v>35</v>
      </c>
      <c r="B55" s="14" t="s">
        <v>36</v>
      </c>
    </row>
    <row r="56" spans="1:2" s="20" customFormat="1" ht="33" hidden="1" customHeight="1" outlineLevel="1" x14ac:dyDescent="0.2">
      <c r="A56" s="13" t="s">
        <v>70</v>
      </c>
      <c r="B56" s="2" t="s">
        <v>71</v>
      </c>
    </row>
    <row r="57" spans="1:2" s="20" customFormat="1" ht="33" hidden="1" customHeight="1" outlineLevel="1" x14ac:dyDescent="0.2">
      <c r="A57" s="13" t="s">
        <v>72</v>
      </c>
      <c r="B57" s="2" t="s">
        <v>69</v>
      </c>
    </row>
    <row r="58" spans="1:2" s="20" customFormat="1" ht="33" hidden="1" customHeight="1" outlineLevel="1" x14ac:dyDescent="0.2">
      <c r="A58" s="13" t="s">
        <v>73</v>
      </c>
      <c r="B58" s="2" t="s">
        <v>74</v>
      </c>
    </row>
    <row r="59" spans="1:2" s="20" customFormat="1" ht="33" hidden="1" customHeight="1" outlineLevel="1" x14ac:dyDescent="0.2">
      <c r="A59" s="13" t="s">
        <v>75</v>
      </c>
      <c r="B59" s="2" t="s">
        <v>30</v>
      </c>
    </row>
    <row r="60" spans="1:2" s="20" customFormat="1" ht="33" hidden="1" customHeight="1" outlineLevel="1" x14ac:dyDescent="0.2">
      <c r="A60" s="13" t="s">
        <v>53</v>
      </c>
      <c r="B60" s="2" t="s">
        <v>53</v>
      </c>
    </row>
    <row r="61" spans="1:2" s="20" customFormat="1" ht="33" hidden="1" customHeight="1" outlineLevel="1" x14ac:dyDescent="0.2">
      <c r="A61" s="19" t="s">
        <v>76</v>
      </c>
      <c r="B61" s="2" t="s">
        <v>77</v>
      </c>
    </row>
    <row r="62" spans="1:2" s="20" customFormat="1" hidden="1" outlineLevel="1" x14ac:dyDescent="0.2">
      <c r="A62" s="5"/>
      <c r="B62" s="5"/>
    </row>
    <row r="63" spans="1:2" s="20" customFormat="1" collapsed="1" x14ac:dyDescent="0.2">
      <c r="A63" s="5"/>
      <c r="B63" s="5"/>
    </row>
    <row r="64" spans="1:2" s="20" customFormat="1" ht="50.25" customHeight="1" x14ac:dyDescent="0.2">
      <c r="A64" s="6" t="s">
        <v>78</v>
      </c>
      <c r="B64" s="7" t="s">
        <v>5</v>
      </c>
    </row>
    <row r="65" spans="1:2" s="20" customFormat="1" hidden="1" outlineLevel="1" x14ac:dyDescent="0.2"/>
    <row r="66" spans="1:2" s="20" customFormat="1" hidden="1" outlineLevel="1" x14ac:dyDescent="0.2">
      <c r="A66" s="22" t="s">
        <v>79</v>
      </c>
      <c r="B66" s="5"/>
    </row>
    <row r="67" spans="1:2" s="20" customFormat="1" ht="15" hidden="1" outlineLevel="1" x14ac:dyDescent="0.25">
      <c r="A67" t="s">
        <v>80</v>
      </c>
      <c r="B67" s="5"/>
    </row>
    <row r="68" spans="1:2" s="20" customFormat="1" hidden="1" outlineLevel="1" x14ac:dyDescent="0.2">
      <c r="A68" s="23"/>
      <c r="B68" s="24" t="s">
        <v>81</v>
      </c>
    </row>
    <row r="69" spans="1:2" s="20" customFormat="1" hidden="1" outlineLevel="1" x14ac:dyDescent="0.2">
      <c r="A69" s="25"/>
      <c r="B69" s="24" t="s">
        <v>82</v>
      </c>
    </row>
    <row r="70" spans="1:2" s="20" customFormat="1" hidden="1" outlineLevel="1" x14ac:dyDescent="0.2">
      <c r="A70" s="5"/>
      <c r="B70" s="5"/>
    </row>
    <row r="71" spans="1:2" s="20" customFormat="1" collapsed="1" x14ac:dyDescent="0.2">
      <c r="A71" s="5"/>
      <c r="B71" s="5"/>
    </row>
    <row r="72" spans="1:2" s="20" customFormat="1" ht="50.25" customHeight="1" x14ac:dyDescent="0.2">
      <c r="A72" s="6" t="s">
        <v>83</v>
      </c>
      <c r="B72" s="7" t="s">
        <v>5</v>
      </c>
    </row>
    <row r="73" spans="1:2" ht="17.25" hidden="1" customHeight="1" outlineLevel="1" x14ac:dyDescent="0.25">
      <c r="A73" t="s">
        <v>84</v>
      </c>
      <c r="B73" s="5"/>
    </row>
    <row r="74" spans="1:2" ht="15.75" hidden="1" customHeight="1" outlineLevel="1" x14ac:dyDescent="0.25">
      <c r="A74" s="8" t="s">
        <v>7</v>
      </c>
      <c r="B74" s="5"/>
    </row>
    <row r="75" spans="1:2" ht="13.5" hidden="1" customHeight="1" outlineLevel="1" x14ac:dyDescent="0.2">
      <c r="A75" s="9" t="s">
        <v>8</v>
      </c>
      <c r="B75" s="5"/>
    </row>
    <row r="76" spans="1:2" ht="13.5" hidden="1" customHeight="1" outlineLevel="1" x14ac:dyDescent="0.2">
      <c r="A76" s="9" t="s">
        <v>9</v>
      </c>
      <c r="B76" s="5"/>
    </row>
    <row r="77" spans="1:2" ht="13.5" hidden="1" customHeight="1" outlineLevel="1" x14ac:dyDescent="0.2">
      <c r="A77" s="9" t="s">
        <v>10</v>
      </c>
      <c r="B77" s="5"/>
    </row>
    <row r="78" spans="1:2" ht="13.5" hidden="1" customHeight="1" outlineLevel="1" x14ac:dyDescent="0.2">
      <c r="A78" s="9" t="s">
        <v>11</v>
      </c>
      <c r="B78" s="5"/>
    </row>
    <row r="79" spans="1:2" ht="13.5" hidden="1" customHeight="1" outlineLevel="1" x14ac:dyDescent="0.2">
      <c r="A79" s="9" t="s">
        <v>12</v>
      </c>
      <c r="B79" s="5"/>
    </row>
    <row r="80" spans="1:2" ht="13.5" hidden="1" customHeight="1" outlineLevel="1" x14ac:dyDescent="0.2"/>
    <row r="81" spans="1:2" ht="13.5" hidden="1" customHeight="1" outlineLevel="1" x14ac:dyDescent="0.25">
      <c r="A81" t="s">
        <v>85</v>
      </c>
      <c r="B81" s="5"/>
    </row>
    <row r="82" spans="1:2" ht="13.5" hidden="1" customHeight="1" outlineLevel="1" x14ac:dyDescent="0.25">
      <c r="A82"/>
      <c r="B82" s="5"/>
    </row>
    <row r="83" spans="1:2" ht="13.5" hidden="1" customHeight="1" outlineLevel="1" x14ac:dyDescent="0.2">
      <c r="A83" s="26" t="s">
        <v>86</v>
      </c>
      <c r="B83" s="5"/>
    </row>
    <row r="84" spans="1:2" s="20" customFormat="1" collapsed="1" x14ac:dyDescent="0.2">
      <c r="A84" s="5"/>
      <c r="B84" s="5"/>
    </row>
    <row r="85" spans="1:2" s="20" customFormat="1" ht="50.25" customHeight="1" x14ac:dyDescent="0.2">
      <c r="A85" s="6" t="s">
        <v>87</v>
      </c>
      <c r="B85" s="7" t="s">
        <v>5</v>
      </c>
    </row>
    <row r="86" spans="1:2" s="20" customFormat="1" hidden="1" outlineLevel="1" x14ac:dyDescent="0.2">
      <c r="A86" s="5"/>
      <c r="B86" s="5"/>
    </row>
    <row r="87" spans="1:2" s="20" customFormat="1" hidden="1" outlineLevel="1" x14ac:dyDescent="0.2">
      <c r="A87" s="22" t="s">
        <v>79</v>
      </c>
      <c r="B87" s="5"/>
    </row>
    <row r="88" spans="1:2" s="20" customFormat="1" ht="15" hidden="1" outlineLevel="1" x14ac:dyDescent="0.25">
      <c r="A88" t="s">
        <v>88</v>
      </c>
      <c r="B88" s="5"/>
    </row>
    <row r="89" spans="1:2" s="20" customFormat="1" hidden="1" outlineLevel="1" x14ac:dyDescent="0.2">
      <c r="A89" s="23"/>
      <c r="B89" s="24" t="s">
        <v>89</v>
      </c>
    </row>
    <row r="90" spans="1:2" s="20" customFormat="1" hidden="1" outlineLevel="1" x14ac:dyDescent="0.2">
      <c r="A90" s="25"/>
      <c r="B90" s="24" t="s">
        <v>90</v>
      </c>
    </row>
    <row r="91" spans="1:2" s="28" customFormat="1" hidden="1" outlineLevel="1" x14ac:dyDescent="0.2">
      <c r="A91" s="5"/>
      <c r="B91" s="27"/>
    </row>
    <row r="92" spans="1:2" s="28" customFormat="1" ht="38.25" hidden="1" outlineLevel="1" x14ac:dyDescent="0.2">
      <c r="A92" s="5" t="s">
        <v>91</v>
      </c>
      <c r="B92" s="27"/>
    </row>
    <row r="93" spans="1:2" s="20" customFormat="1" ht="51" hidden="1" outlineLevel="1" x14ac:dyDescent="0.2">
      <c r="A93" s="5" t="s">
        <v>92</v>
      </c>
      <c r="B93" s="5"/>
    </row>
    <row r="94" spans="1:2" s="20" customFormat="1" collapsed="1" x14ac:dyDescent="0.2">
      <c r="A94" s="5"/>
      <c r="B94" s="5"/>
    </row>
    <row r="95" spans="1:2" s="20" customFormat="1" ht="50.25" customHeight="1" x14ac:dyDescent="0.2">
      <c r="A95" s="6" t="s">
        <v>93</v>
      </c>
      <c r="B95" s="7" t="s">
        <v>5</v>
      </c>
    </row>
    <row r="96" spans="1:2" s="20" customFormat="1" hidden="1" outlineLevel="1" x14ac:dyDescent="0.2"/>
    <row r="97" spans="1:2" s="20" customFormat="1" hidden="1" outlineLevel="1" x14ac:dyDescent="0.2">
      <c r="A97" s="22" t="s">
        <v>79</v>
      </c>
      <c r="B97" s="5"/>
    </row>
    <row r="98" spans="1:2" s="20" customFormat="1" ht="15" hidden="1" outlineLevel="1" x14ac:dyDescent="0.25">
      <c r="A98" t="s">
        <v>94</v>
      </c>
      <c r="B98" s="5"/>
    </row>
    <row r="99" spans="1:2" s="20" customFormat="1" hidden="1" outlineLevel="1" x14ac:dyDescent="0.2">
      <c r="A99" s="23"/>
      <c r="B99" s="24" t="s">
        <v>95</v>
      </c>
    </row>
    <row r="100" spans="1:2" s="20" customFormat="1" hidden="1" outlineLevel="1" x14ac:dyDescent="0.2">
      <c r="A100" s="25"/>
      <c r="B100" s="24" t="s">
        <v>96</v>
      </c>
    </row>
    <row r="101" spans="1:2" s="28" customFormat="1" ht="25.5" hidden="1" outlineLevel="1" x14ac:dyDescent="0.2">
      <c r="A101" s="5" t="s">
        <v>97</v>
      </c>
      <c r="B101" s="27"/>
    </row>
    <row r="102" spans="1:2" s="28" customFormat="1" hidden="1" outlineLevel="1" x14ac:dyDescent="0.2">
      <c r="A102" s="5"/>
      <c r="B102" s="27"/>
    </row>
    <row r="103" spans="1:2" s="20" customFormat="1" hidden="1" outlineLevel="1" x14ac:dyDescent="0.2">
      <c r="A103" s="5"/>
      <c r="B103" s="5"/>
    </row>
    <row r="104" spans="1:2" s="20" customFormat="1" collapsed="1" x14ac:dyDescent="0.2">
      <c r="A104" s="5"/>
      <c r="B104" s="5"/>
    </row>
    <row r="105" spans="1:2" s="20" customFormat="1" ht="50.25" customHeight="1" x14ac:dyDescent="0.2">
      <c r="A105" s="6" t="s">
        <v>98</v>
      </c>
      <c r="B105" s="7" t="s">
        <v>5</v>
      </c>
    </row>
    <row r="106" spans="1:2" s="20" customFormat="1" hidden="1" outlineLevel="1" x14ac:dyDescent="0.2">
      <c r="A106" s="5"/>
      <c r="B106" s="5"/>
    </row>
    <row r="107" spans="1:2" s="20" customFormat="1" ht="15" hidden="1" outlineLevel="1" x14ac:dyDescent="0.25">
      <c r="A107" s="29" t="s">
        <v>99</v>
      </c>
      <c r="B107" s="30"/>
    </row>
    <row r="108" spans="1:2" s="20" customFormat="1" collapsed="1" x14ac:dyDescent="0.2">
      <c r="A108" s="5"/>
      <c r="B108" s="5"/>
    </row>
    <row r="109" spans="1:2" s="20" customFormat="1" ht="50.25" customHeight="1" x14ac:dyDescent="0.2">
      <c r="A109" s="6" t="s">
        <v>100</v>
      </c>
      <c r="B109" s="7" t="s">
        <v>5</v>
      </c>
    </row>
    <row r="110" spans="1:2" s="20" customFormat="1" outlineLevel="1" x14ac:dyDescent="0.2">
      <c r="A110" s="5"/>
      <c r="B110" s="5"/>
    </row>
    <row r="111" spans="1:2" s="20" customFormat="1" ht="15" outlineLevel="1" x14ac:dyDescent="0.25">
      <c r="A111" s="29" t="s">
        <v>101</v>
      </c>
      <c r="B111" s="30"/>
    </row>
    <row r="113" spans="1:2" s="20" customFormat="1" ht="50.25" customHeight="1" x14ac:dyDescent="0.2">
      <c r="A113" s="6" t="s">
        <v>102</v>
      </c>
      <c r="B113" s="7" t="s">
        <v>5</v>
      </c>
    </row>
    <row r="114" spans="1:2" s="20" customFormat="1" hidden="1" outlineLevel="1" x14ac:dyDescent="0.2">
      <c r="A114" s="5"/>
      <c r="B114" s="5"/>
    </row>
    <row r="115" spans="1:2" s="20" customFormat="1" ht="15" hidden="1" outlineLevel="1" x14ac:dyDescent="0.25">
      <c r="A115" s="29" t="s">
        <v>103</v>
      </c>
      <c r="B115" s="30"/>
    </row>
    <row r="116" spans="1:2" s="20" customFormat="1" ht="15" hidden="1" outlineLevel="1" x14ac:dyDescent="0.25">
      <c r="A116" s="29" t="s">
        <v>104</v>
      </c>
      <c r="B116" s="30"/>
    </row>
    <row r="117" spans="1:2" s="20" customFormat="1" ht="15" hidden="1" outlineLevel="1" x14ac:dyDescent="0.25">
      <c r="A117" s="29" t="s">
        <v>105</v>
      </c>
      <c r="B117" s="30"/>
    </row>
    <row r="118" spans="1:2" s="20" customFormat="1" ht="15" collapsed="1" x14ac:dyDescent="0.25">
      <c r="A118" s="29"/>
      <c r="B118" s="5"/>
    </row>
    <row r="119" spans="1:2" s="20" customFormat="1" ht="48" customHeight="1" x14ac:dyDescent="0.2">
      <c r="A119" s="31" t="s">
        <v>106</v>
      </c>
      <c r="B119" s="7" t="s">
        <v>107</v>
      </c>
    </row>
    <row r="120" spans="1:2" s="20" customFormat="1" ht="21" hidden="1" customHeight="1" outlineLevel="1" x14ac:dyDescent="0.25">
      <c r="A120" t="s">
        <v>108</v>
      </c>
      <c r="B120" s="5"/>
    </row>
    <row r="121" spans="1:2" s="20" customFormat="1" ht="15" hidden="1" outlineLevel="1" x14ac:dyDescent="0.2">
      <c r="A121" s="32" t="s">
        <v>109</v>
      </c>
      <c r="B121" s="5"/>
    </row>
    <row r="122" spans="1:2" s="20" customFormat="1" ht="15" hidden="1" outlineLevel="1" x14ac:dyDescent="0.25">
      <c r="A122" s="32" t="s">
        <v>110</v>
      </c>
      <c r="B122"/>
    </row>
    <row r="123" spans="1:2" s="20" customFormat="1" ht="15" hidden="1" outlineLevel="1" x14ac:dyDescent="0.25">
      <c r="A123" s="32" t="s">
        <v>111</v>
      </c>
      <c r="B123"/>
    </row>
    <row r="124" spans="1:2" s="20" customFormat="1" ht="15" hidden="1" outlineLevel="1" x14ac:dyDescent="0.2">
      <c r="A124" s="32" t="s">
        <v>112</v>
      </c>
      <c r="B124" s="24"/>
    </row>
    <row r="125" spans="1:2" s="20" customFormat="1" ht="15" hidden="1" outlineLevel="1" x14ac:dyDescent="0.2">
      <c r="A125" s="32" t="s">
        <v>113</v>
      </c>
      <c r="B125" s="24"/>
    </row>
    <row r="126" spans="1:2" s="20" customFormat="1" ht="15" hidden="1" customHeight="1" outlineLevel="1" x14ac:dyDescent="0.2">
      <c r="A126" s="32" t="s">
        <v>114</v>
      </c>
      <c r="B126" s="5"/>
    </row>
    <row r="127" spans="1:2" s="20" customFormat="1" ht="15" hidden="1" outlineLevel="1" x14ac:dyDescent="0.2">
      <c r="A127" s="32" t="s">
        <v>115</v>
      </c>
      <c r="B127" s="5"/>
    </row>
    <row r="128" spans="1:2" s="20" customFormat="1" hidden="1" outlineLevel="1" x14ac:dyDescent="0.2"/>
    <row r="129" spans="1:2" s="20" customFormat="1" collapsed="1" x14ac:dyDescent="0.2"/>
    <row r="130" spans="1:2" s="20" customFormat="1" ht="48" customHeight="1" x14ac:dyDescent="0.2">
      <c r="A130" s="31" t="s">
        <v>116</v>
      </c>
      <c r="B130" s="7" t="s">
        <v>117</v>
      </c>
    </row>
    <row r="131" spans="1:2" s="20" customFormat="1" ht="21" hidden="1" customHeight="1" outlineLevel="1" x14ac:dyDescent="0.25">
      <c r="A131" t="s">
        <v>118</v>
      </c>
      <c r="B131" s="5"/>
    </row>
    <row r="132" spans="1:2" s="20" customFormat="1" hidden="1" outlineLevel="1" x14ac:dyDescent="0.2">
      <c r="A132" s="5"/>
      <c r="B132" s="5"/>
    </row>
    <row r="133" spans="1:2" s="20" customFormat="1" collapsed="1" x14ac:dyDescent="0.2">
      <c r="A133" s="5"/>
      <c r="B133" s="5"/>
    </row>
    <row r="134" spans="1:2" s="20" customFormat="1" ht="48" customHeight="1" x14ac:dyDescent="0.2">
      <c r="A134" s="31" t="s">
        <v>119</v>
      </c>
      <c r="B134" s="7" t="s">
        <v>117</v>
      </c>
    </row>
    <row r="135" spans="1:2" s="20" customFormat="1" ht="21" hidden="1" customHeight="1" outlineLevel="1" x14ac:dyDescent="0.25">
      <c r="A135" t="s">
        <v>120</v>
      </c>
      <c r="B135" s="5"/>
    </row>
    <row r="136" spans="1:2" s="20" customFormat="1" hidden="1" outlineLevel="1" x14ac:dyDescent="0.2"/>
    <row r="137" spans="1:2" s="20" customFormat="1" collapsed="1" x14ac:dyDescent="0.2"/>
  </sheetData>
  <sheetProtection selectLockedCells="1" selectUnlockedCells="1"/>
  <mergeCells count="4">
    <mergeCell ref="A1:C2"/>
    <mergeCell ref="A4:B4"/>
    <mergeCell ref="A5:B5"/>
    <mergeCell ref="A6:B6"/>
  </mergeCells>
  <hyperlinks>
    <hyperlink ref="B26" location="Справочник!A1" display="Категория персонала: см.лист &quot;Справочник&quot;"/>
    <hyperlink ref="B48" location="Справочник!A1" display="Категория персонала: см.лист &quot;Справочник&quot;"/>
    <hyperlink ref="B53" location="Текучесть!A1" display="включаем или не включаем в увольнения на лист &quot;Текучесть&quot;"/>
  </hyperlinks>
  <pageMargins left="0.25" right="0.25" top="0.75" bottom="0.75" header="0.51180555555555551" footer="0.51180555555555551"/>
  <pageSetup paperSize="9" firstPageNumber="0" fitToHeight="0" orientation="landscape" horizontalDpi="300" verticalDpi="30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indexed="40"/>
    <pageSetUpPr fitToPage="1"/>
  </sheetPr>
  <dimension ref="A1:H3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A1:C65536"/>
    </sheetView>
  </sheetViews>
  <sheetFormatPr defaultRowHeight="15" x14ac:dyDescent="0.25"/>
  <cols>
    <col min="1" max="1" width="30.140625" style="33" customWidth="1"/>
    <col min="2" max="2" width="32.7109375" style="33" customWidth="1"/>
    <col min="3" max="3" width="19.5703125" style="33" customWidth="1"/>
    <col min="4" max="4" width="17" style="33" customWidth="1"/>
    <col min="5" max="5" width="17.5703125" style="33" customWidth="1"/>
    <col min="6" max="6" width="16.42578125" style="33" customWidth="1"/>
    <col min="7" max="7" width="9.140625" style="55"/>
    <col min="8" max="8" width="34.28515625" style="55" customWidth="1"/>
    <col min="9" max="16384" width="9.140625" style="33"/>
  </cols>
  <sheetData>
    <row r="1" spans="1:8" s="34" customFormat="1" ht="29.25" customHeight="1" x14ac:dyDescent="0.25">
      <c r="A1" s="81" t="s">
        <v>26</v>
      </c>
      <c r="B1" s="82" t="s">
        <v>28</v>
      </c>
      <c r="C1" s="82" t="s">
        <v>32</v>
      </c>
      <c r="D1" s="82" t="s">
        <v>121</v>
      </c>
      <c r="E1" s="82" t="s">
        <v>46</v>
      </c>
      <c r="F1" s="82" t="s">
        <v>444</v>
      </c>
      <c r="G1" s="82" t="s">
        <v>669</v>
      </c>
      <c r="H1" s="82" t="s">
        <v>696</v>
      </c>
    </row>
    <row r="2" spans="1:8" s="35" customFormat="1" ht="15" customHeight="1" x14ac:dyDescent="0.25">
      <c r="A2" s="62" t="s">
        <v>128</v>
      </c>
      <c r="B2" s="62" t="s">
        <v>483</v>
      </c>
      <c r="C2" s="78" t="s">
        <v>130</v>
      </c>
      <c r="D2" s="78" t="s">
        <v>124</v>
      </c>
      <c r="E2" s="78" t="s">
        <v>131</v>
      </c>
      <c r="F2" s="78" t="s">
        <v>253</v>
      </c>
      <c r="G2" s="93" t="s">
        <v>684</v>
      </c>
      <c r="H2" s="114" t="s">
        <v>819</v>
      </c>
    </row>
    <row r="3" spans="1:8" s="35" customFormat="1" ht="15" customHeight="1" x14ac:dyDescent="0.25">
      <c r="A3" s="75" t="s">
        <v>568</v>
      </c>
      <c r="B3" s="75" t="s">
        <v>165</v>
      </c>
      <c r="C3" s="78" t="s">
        <v>166</v>
      </c>
      <c r="D3" s="78" t="s">
        <v>124</v>
      </c>
      <c r="E3" s="78" t="s">
        <v>131</v>
      </c>
      <c r="F3" s="78" t="s">
        <v>253</v>
      </c>
      <c r="G3" s="93" t="s">
        <v>670</v>
      </c>
      <c r="H3" s="114" t="s">
        <v>762</v>
      </c>
    </row>
    <row r="4" spans="1:8" s="35" customFormat="1" ht="15" customHeight="1" x14ac:dyDescent="0.25">
      <c r="A4" s="62" t="s">
        <v>134</v>
      </c>
      <c r="B4" s="62" t="s">
        <v>122</v>
      </c>
      <c r="C4" s="78" t="s">
        <v>123</v>
      </c>
      <c r="D4" s="78" t="s">
        <v>127</v>
      </c>
      <c r="E4" s="78" t="s">
        <v>125</v>
      </c>
      <c r="F4" s="78" t="s">
        <v>273</v>
      </c>
      <c r="G4" s="93" t="s">
        <v>682</v>
      </c>
      <c r="H4" s="56" t="s">
        <v>809</v>
      </c>
    </row>
    <row r="5" spans="1:8" s="35" customFormat="1" ht="15" customHeight="1" x14ac:dyDescent="0.25">
      <c r="A5" s="62" t="s">
        <v>134</v>
      </c>
      <c r="B5" s="62" t="s">
        <v>137</v>
      </c>
      <c r="C5" s="78" t="s">
        <v>135</v>
      </c>
      <c r="D5" s="78" t="s">
        <v>127</v>
      </c>
      <c r="E5" s="78" t="s">
        <v>125</v>
      </c>
      <c r="F5" s="78" t="s">
        <v>273</v>
      </c>
      <c r="G5" s="93" t="s">
        <v>681</v>
      </c>
      <c r="H5" s="56" t="s">
        <v>809</v>
      </c>
    </row>
    <row r="6" spans="1:8" s="35" customFormat="1" ht="15" customHeight="1" x14ac:dyDescent="0.25">
      <c r="A6" s="62" t="s">
        <v>136</v>
      </c>
      <c r="B6" s="62" t="s">
        <v>137</v>
      </c>
      <c r="C6" s="78" t="s">
        <v>135</v>
      </c>
      <c r="D6" s="78" t="s">
        <v>127</v>
      </c>
      <c r="E6" s="78" t="s">
        <v>125</v>
      </c>
      <c r="F6" s="78" t="s">
        <v>280</v>
      </c>
      <c r="G6" s="93" t="s">
        <v>681</v>
      </c>
      <c r="H6" s="56" t="s">
        <v>809</v>
      </c>
    </row>
    <row r="7" spans="1:8" s="35" customFormat="1" ht="15" customHeight="1" x14ac:dyDescent="0.25">
      <c r="A7" s="62" t="s">
        <v>136</v>
      </c>
      <c r="B7" s="62" t="s">
        <v>126</v>
      </c>
      <c r="C7" s="78" t="s">
        <v>130</v>
      </c>
      <c r="D7" s="78" t="s">
        <v>127</v>
      </c>
      <c r="E7" s="78" t="s">
        <v>125</v>
      </c>
      <c r="F7" s="78" t="s">
        <v>280</v>
      </c>
      <c r="G7" s="93" t="s">
        <v>682</v>
      </c>
      <c r="H7" s="56" t="s">
        <v>809</v>
      </c>
    </row>
    <row r="8" spans="1:8" s="35" customFormat="1" ht="15" customHeight="1" x14ac:dyDescent="0.25">
      <c r="A8" s="62" t="s">
        <v>138</v>
      </c>
      <c r="B8" s="62" t="s">
        <v>122</v>
      </c>
      <c r="C8" s="78" t="s">
        <v>123</v>
      </c>
      <c r="D8" s="78" t="s">
        <v>127</v>
      </c>
      <c r="E8" s="78" t="s">
        <v>125</v>
      </c>
      <c r="F8" s="78" t="s">
        <v>289</v>
      </c>
      <c r="G8" s="93" t="s">
        <v>682</v>
      </c>
      <c r="H8" s="56" t="s">
        <v>809</v>
      </c>
    </row>
    <row r="9" spans="1:8" s="35" customFormat="1" ht="15" customHeight="1" x14ac:dyDescent="0.25">
      <c r="A9" s="62" t="s">
        <v>138</v>
      </c>
      <c r="B9" s="62" t="s">
        <v>137</v>
      </c>
      <c r="C9" s="78" t="s">
        <v>135</v>
      </c>
      <c r="D9" s="78" t="s">
        <v>127</v>
      </c>
      <c r="E9" s="78" t="s">
        <v>125</v>
      </c>
      <c r="F9" s="78" t="s">
        <v>289</v>
      </c>
      <c r="G9" s="93" t="s">
        <v>681</v>
      </c>
      <c r="H9" s="56" t="s">
        <v>809</v>
      </c>
    </row>
    <row r="10" spans="1:8" s="35" customFormat="1" ht="15" customHeight="1" x14ac:dyDescent="0.25">
      <c r="A10" s="91" t="s">
        <v>139</v>
      </c>
      <c r="B10" s="91" t="s">
        <v>637</v>
      </c>
      <c r="C10" s="80" t="s">
        <v>141</v>
      </c>
      <c r="D10" s="80" t="s">
        <v>124</v>
      </c>
      <c r="E10" s="79" t="s">
        <v>131</v>
      </c>
      <c r="F10" s="80" t="s">
        <v>253</v>
      </c>
      <c r="G10" s="93" t="s">
        <v>679</v>
      </c>
      <c r="H10" s="168" t="s">
        <v>812</v>
      </c>
    </row>
    <row r="11" spans="1:8" s="35" customFormat="1" ht="15" customHeight="1" x14ac:dyDescent="0.25">
      <c r="A11" s="62" t="s">
        <v>139</v>
      </c>
      <c r="B11" s="62" t="s">
        <v>514</v>
      </c>
      <c r="C11" s="78" t="s">
        <v>141</v>
      </c>
      <c r="D11" s="78" t="s">
        <v>124</v>
      </c>
      <c r="E11" s="78" t="s">
        <v>131</v>
      </c>
      <c r="F11" s="78" t="s">
        <v>253</v>
      </c>
      <c r="G11" s="93" t="s">
        <v>680</v>
      </c>
      <c r="H11" s="168" t="s">
        <v>812</v>
      </c>
    </row>
    <row r="12" spans="1:8" s="35" customFormat="1" ht="15" customHeight="1" x14ac:dyDescent="0.25">
      <c r="A12" s="62" t="s">
        <v>139</v>
      </c>
      <c r="B12" s="88" t="s">
        <v>589</v>
      </c>
      <c r="C12" s="78" t="s">
        <v>123</v>
      </c>
      <c r="D12" s="80" t="s">
        <v>124</v>
      </c>
      <c r="E12" s="80" t="s">
        <v>131</v>
      </c>
      <c r="F12" s="80" t="s">
        <v>253</v>
      </c>
      <c r="G12" s="93" t="s">
        <v>679</v>
      </c>
      <c r="H12" s="168" t="s">
        <v>812</v>
      </c>
    </row>
    <row r="13" spans="1:8" s="35" customFormat="1" ht="15" customHeight="1" x14ac:dyDescent="0.25">
      <c r="A13" s="83" t="s">
        <v>518</v>
      </c>
      <c r="B13" s="83" t="s">
        <v>140</v>
      </c>
      <c r="C13" s="78" t="s">
        <v>141</v>
      </c>
      <c r="D13" s="78" t="s">
        <v>124</v>
      </c>
      <c r="E13" s="78" t="s">
        <v>131</v>
      </c>
      <c r="F13" s="78" t="s">
        <v>253</v>
      </c>
      <c r="G13" s="93" t="s">
        <v>679</v>
      </c>
      <c r="H13" s="168" t="s">
        <v>812</v>
      </c>
    </row>
    <row r="14" spans="1:8" s="35" customFormat="1" ht="15" customHeight="1" x14ac:dyDescent="0.25">
      <c r="A14" s="83" t="s">
        <v>518</v>
      </c>
      <c r="B14" s="83" t="s">
        <v>525</v>
      </c>
      <c r="C14" s="78" t="s">
        <v>141</v>
      </c>
      <c r="D14" s="78" t="s">
        <v>124</v>
      </c>
      <c r="E14" s="78" t="s">
        <v>131</v>
      </c>
      <c r="F14" s="78" t="s">
        <v>253</v>
      </c>
      <c r="G14" s="93" t="s">
        <v>679</v>
      </c>
      <c r="H14" s="168" t="s">
        <v>812</v>
      </c>
    </row>
    <row r="15" spans="1:8" ht="15" customHeight="1" x14ac:dyDescent="0.25">
      <c r="A15" s="83" t="s">
        <v>518</v>
      </c>
      <c r="B15" s="83" t="s">
        <v>142</v>
      </c>
      <c r="C15" s="78" t="s">
        <v>135</v>
      </c>
      <c r="D15" s="78" t="s">
        <v>124</v>
      </c>
      <c r="E15" s="78" t="s">
        <v>131</v>
      </c>
      <c r="F15" s="78" t="s">
        <v>253</v>
      </c>
      <c r="G15" s="93" t="s">
        <v>678</v>
      </c>
      <c r="H15" s="168" t="s">
        <v>812</v>
      </c>
    </row>
    <row r="16" spans="1:8" ht="15" customHeight="1" x14ac:dyDescent="0.25">
      <c r="A16" s="62" t="s">
        <v>143</v>
      </c>
      <c r="B16" s="62" t="s">
        <v>122</v>
      </c>
      <c r="C16" s="78" t="s">
        <v>123</v>
      </c>
      <c r="D16" s="78" t="s">
        <v>127</v>
      </c>
      <c r="E16" s="78" t="s">
        <v>125</v>
      </c>
      <c r="F16" s="78" t="s">
        <v>295</v>
      </c>
      <c r="G16" s="93" t="s">
        <v>682</v>
      </c>
      <c r="H16" s="56" t="s">
        <v>809</v>
      </c>
    </row>
    <row r="17" spans="1:8" ht="15" customHeight="1" x14ac:dyDescent="0.25">
      <c r="A17" s="62" t="s">
        <v>143</v>
      </c>
      <c r="B17" s="62" t="s">
        <v>137</v>
      </c>
      <c r="C17" s="78" t="s">
        <v>135</v>
      </c>
      <c r="D17" s="78" t="s">
        <v>127</v>
      </c>
      <c r="E17" s="78" t="s">
        <v>125</v>
      </c>
      <c r="F17" s="78" t="s">
        <v>295</v>
      </c>
      <c r="G17" s="93" t="s">
        <v>681</v>
      </c>
      <c r="H17" s="56" t="s">
        <v>809</v>
      </c>
    </row>
    <row r="18" spans="1:8" ht="15" customHeight="1" x14ac:dyDescent="0.25">
      <c r="A18" s="62" t="s">
        <v>519</v>
      </c>
      <c r="B18" s="62" t="s">
        <v>520</v>
      </c>
      <c r="C18" s="78" t="s">
        <v>135</v>
      </c>
      <c r="D18" s="78" t="s">
        <v>124</v>
      </c>
      <c r="E18" s="78" t="s">
        <v>131</v>
      </c>
      <c r="F18" s="78" t="s">
        <v>253</v>
      </c>
      <c r="G18" s="93" t="s">
        <v>680</v>
      </c>
      <c r="H18" s="56" t="s">
        <v>817</v>
      </c>
    </row>
    <row r="19" spans="1:8" ht="15" customHeight="1" x14ac:dyDescent="0.25">
      <c r="A19" s="62" t="s">
        <v>144</v>
      </c>
      <c r="B19" s="62" t="s">
        <v>122</v>
      </c>
      <c r="C19" s="78" t="s">
        <v>123</v>
      </c>
      <c r="D19" s="78" t="s">
        <v>127</v>
      </c>
      <c r="E19" s="78" t="s">
        <v>125</v>
      </c>
      <c r="F19" s="78" t="s">
        <v>300</v>
      </c>
      <c r="G19" s="93" t="s">
        <v>682</v>
      </c>
      <c r="H19" s="56" t="s">
        <v>809</v>
      </c>
    </row>
    <row r="20" spans="1:8" ht="15" customHeight="1" x14ac:dyDescent="0.25">
      <c r="A20" s="62" t="s">
        <v>144</v>
      </c>
      <c r="B20" s="62" t="s">
        <v>137</v>
      </c>
      <c r="C20" s="78" t="s">
        <v>135</v>
      </c>
      <c r="D20" s="78" t="s">
        <v>127</v>
      </c>
      <c r="E20" s="78" t="s">
        <v>125</v>
      </c>
      <c r="F20" s="78" t="s">
        <v>300</v>
      </c>
      <c r="G20" s="93" t="s">
        <v>681</v>
      </c>
      <c r="H20" s="56" t="s">
        <v>809</v>
      </c>
    </row>
    <row r="21" spans="1:8" ht="15" customHeight="1" x14ac:dyDescent="0.25">
      <c r="A21" s="62" t="s">
        <v>144</v>
      </c>
      <c r="B21" s="62" t="s">
        <v>126</v>
      </c>
      <c r="C21" s="78" t="s">
        <v>130</v>
      </c>
      <c r="D21" s="78" t="s">
        <v>127</v>
      </c>
      <c r="E21" s="78" t="s">
        <v>125</v>
      </c>
      <c r="F21" s="78" t="s">
        <v>300</v>
      </c>
      <c r="G21" s="93" t="s">
        <v>682</v>
      </c>
      <c r="H21" s="56" t="s">
        <v>809</v>
      </c>
    </row>
    <row r="22" spans="1:8" ht="15" customHeight="1" x14ac:dyDescent="0.25">
      <c r="A22" s="94" t="s">
        <v>674</v>
      </c>
      <c r="B22" s="79" t="s">
        <v>676</v>
      </c>
      <c r="C22" s="80" t="s">
        <v>135</v>
      </c>
      <c r="D22" s="80" t="s">
        <v>127</v>
      </c>
      <c r="E22" s="80" t="s">
        <v>170</v>
      </c>
      <c r="F22" s="80" t="s">
        <v>253</v>
      </c>
      <c r="G22" s="93" t="s">
        <v>677</v>
      </c>
      <c r="H22" s="56" t="s">
        <v>821</v>
      </c>
    </row>
    <row r="23" spans="1:8" ht="15" customHeight="1" x14ac:dyDescent="0.25">
      <c r="A23" s="94" t="s">
        <v>674</v>
      </c>
      <c r="B23" s="95" t="s">
        <v>592</v>
      </c>
      <c r="C23" s="80" t="s">
        <v>132</v>
      </c>
      <c r="D23" s="80" t="s">
        <v>127</v>
      </c>
      <c r="E23" s="80" t="s">
        <v>170</v>
      </c>
      <c r="F23" s="80" t="s">
        <v>253</v>
      </c>
      <c r="G23" s="93" t="s">
        <v>675</v>
      </c>
      <c r="H23" s="56" t="s">
        <v>821</v>
      </c>
    </row>
    <row r="24" spans="1:8" ht="15" customHeight="1" x14ac:dyDescent="0.25">
      <c r="A24" s="62" t="s">
        <v>415</v>
      </c>
      <c r="B24" s="88" t="s">
        <v>594</v>
      </c>
      <c r="C24" s="78" t="s">
        <v>141</v>
      </c>
      <c r="D24" s="80" t="s">
        <v>124</v>
      </c>
      <c r="E24" s="80" t="s">
        <v>131</v>
      </c>
      <c r="F24" s="80" t="s">
        <v>253</v>
      </c>
      <c r="G24" s="93" t="s">
        <v>679</v>
      </c>
      <c r="H24" s="56" t="s">
        <v>811</v>
      </c>
    </row>
    <row r="25" spans="1:8" ht="15" customHeight="1" x14ac:dyDescent="0.25">
      <c r="A25" s="62" t="s">
        <v>415</v>
      </c>
      <c r="B25" s="62" t="s">
        <v>148</v>
      </c>
      <c r="C25" s="78" t="s">
        <v>141</v>
      </c>
      <c r="D25" s="78" t="s">
        <v>124</v>
      </c>
      <c r="E25" s="78" t="s">
        <v>131</v>
      </c>
      <c r="F25" s="78" t="s">
        <v>253</v>
      </c>
      <c r="G25" s="93" t="s">
        <v>679</v>
      </c>
      <c r="H25" s="56" t="s">
        <v>811</v>
      </c>
    </row>
    <row r="26" spans="1:8" ht="15" customHeight="1" x14ac:dyDescent="0.25">
      <c r="A26" s="62" t="s">
        <v>415</v>
      </c>
      <c r="B26" s="62" t="s">
        <v>194</v>
      </c>
      <c r="C26" s="78" t="s">
        <v>141</v>
      </c>
      <c r="D26" s="78" t="s">
        <v>124</v>
      </c>
      <c r="E26" s="78" t="s">
        <v>131</v>
      </c>
      <c r="F26" s="78" t="s">
        <v>253</v>
      </c>
      <c r="G26" s="93" t="s">
        <v>679</v>
      </c>
      <c r="H26" s="56" t="s">
        <v>811</v>
      </c>
    </row>
    <row r="27" spans="1:8" s="36" customFormat="1" ht="15" customHeight="1" x14ac:dyDescent="0.25">
      <c r="A27" s="62" t="s">
        <v>415</v>
      </c>
      <c r="B27" s="62" t="s">
        <v>185</v>
      </c>
      <c r="C27" s="78" t="s">
        <v>141</v>
      </c>
      <c r="D27" s="78" t="s">
        <v>124</v>
      </c>
      <c r="E27" s="78" t="s">
        <v>131</v>
      </c>
      <c r="F27" s="78" t="s">
        <v>253</v>
      </c>
      <c r="G27" s="93" t="s">
        <v>679</v>
      </c>
      <c r="H27" s="56" t="s">
        <v>811</v>
      </c>
    </row>
    <row r="28" spans="1:8" s="36" customFormat="1" ht="15" customHeight="1" x14ac:dyDescent="0.25">
      <c r="A28" s="62" t="s">
        <v>415</v>
      </c>
      <c r="B28" s="62" t="s">
        <v>186</v>
      </c>
      <c r="C28" s="78" t="s">
        <v>141</v>
      </c>
      <c r="D28" s="78" t="s">
        <v>124</v>
      </c>
      <c r="E28" s="78" t="s">
        <v>131</v>
      </c>
      <c r="F28" s="78" t="s">
        <v>253</v>
      </c>
      <c r="G28" s="93" t="s">
        <v>679</v>
      </c>
      <c r="H28" s="56" t="s">
        <v>811</v>
      </c>
    </row>
    <row r="29" spans="1:8" s="36" customFormat="1" ht="15" customHeight="1" x14ac:dyDescent="0.25">
      <c r="A29" s="91" t="s">
        <v>415</v>
      </c>
      <c r="B29" s="91" t="s">
        <v>646</v>
      </c>
      <c r="C29" s="79" t="s">
        <v>141</v>
      </c>
      <c r="D29" s="79" t="s">
        <v>124</v>
      </c>
      <c r="E29" s="79" t="s">
        <v>131</v>
      </c>
      <c r="F29" s="80" t="s">
        <v>253</v>
      </c>
      <c r="G29" s="93" t="s">
        <v>679</v>
      </c>
      <c r="H29" s="56" t="s">
        <v>811</v>
      </c>
    </row>
    <row r="30" spans="1:8" s="36" customFormat="1" ht="15" customHeight="1" x14ac:dyDescent="0.25">
      <c r="A30" s="62" t="s">
        <v>415</v>
      </c>
      <c r="B30" s="62" t="s">
        <v>554</v>
      </c>
      <c r="C30" s="78" t="s">
        <v>135</v>
      </c>
      <c r="D30" s="78" t="s">
        <v>124</v>
      </c>
      <c r="E30" s="78" t="s">
        <v>131</v>
      </c>
      <c r="F30" s="78" t="s">
        <v>253</v>
      </c>
      <c r="G30" s="93" t="s">
        <v>678</v>
      </c>
      <c r="H30" s="56" t="s">
        <v>811</v>
      </c>
    </row>
    <row r="31" spans="1:8" s="36" customFormat="1" ht="15" customHeight="1" x14ac:dyDescent="0.25">
      <c r="A31" s="91" t="s">
        <v>415</v>
      </c>
      <c r="B31" s="91" t="s">
        <v>648</v>
      </c>
      <c r="C31" s="80" t="s">
        <v>135</v>
      </c>
      <c r="D31" s="79" t="s">
        <v>124</v>
      </c>
      <c r="E31" s="80" t="s">
        <v>131</v>
      </c>
      <c r="F31" s="80" t="s">
        <v>253</v>
      </c>
      <c r="G31" s="93" t="s">
        <v>678</v>
      </c>
      <c r="H31" s="56" t="s">
        <v>811</v>
      </c>
    </row>
    <row r="32" spans="1:8" s="36" customFormat="1" ht="15" customHeight="1" x14ac:dyDescent="0.25">
      <c r="A32" s="91" t="s">
        <v>415</v>
      </c>
      <c r="B32" s="91" t="s">
        <v>649</v>
      </c>
      <c r="C32" s="80" t="s">
        <v>135</v>
      </c>
      <c r="D32" s="79" t="s">
        <v>124</v>
      </c>
      <c r="E32" s="80" t="s">
        <v>131</v>
      </c>
      <c r="F32" s="80" t="s">
        <v>253</v>
      </c>
      <c r="G32" s="93" t="s">
        <v>678</v>
      </c>
      <c r="H32" s="56" t="s">
        <v>811</v>
      </c>
    </row>
    <row r="33" spans="1:8" s="36" customFormat="1" ht="15" customHeight="1" x14ac:dyDescent="0.25">
      <c r="A33" s="62" t="s">
        <v>415</v>
      </c>
      <c r="B33" s="62" t="s">
        <v>145</v>
      </c>
      <c r="C33" s="78" t="s">
        <v>141</v>
      </c>
      <c r="D33" s="78" t="s">
        <v>124</v>
      </c>
      <c r="E33" s="78" t="s">
        <v>131</v>
      </c>
      <c r="F33" s="78" t="s">
        <v>253</v>
      </c>
      <c r="G33" s="93" t="s">
        <v>679</v>
      </c>
      <c r="H33" s="56" t="s">
        <v>811</v>
      </c>
    </row>
    <row r="34" spans="1:8" s="36" customFormat="1" ht="15" customHeight="1" x14ac:dyDescent="0.25">
      <c r="A34" s="62" t="s">
        <v>415</v>
      </c>
      <c r="B34" s="62" t="s">
        <v>146</v>
      </c>
      <c r="C34" s="78" t="s">
        <v>141</v>
      </c>
      <c r="D34" s="78" t="s">
        <v>124</v>
      </c>
      <c r="E34" s="78" t="s">
        <v>131</v>
      </c>
      <c r="F34" s="78" t="s">
        <v>253</v>
      </c>
      <c r="G34" s="93" t="s">
        <v>679</v>
      </c>
      <c r="H34" s="56" t="s">
        <v>811</v>
      </c>
    </row>
    <row r="35" spans="1:8" s="36" customFormat="1" ht="15" customHeight="1" x14ac:dyDescent="0.25">
      <c r="A35" s="62" t="s">
        <v>415</v>
      </c>
      <c r="B35" s="62" t="s">
        <v>566</v>
      </c>
      <c r="C35" s="78" t="s">
        <v>141</v>
      </c>
      <c r="D35" s="78" t="s">
        <v>124</v>
      </c>
      <c r="E35" s="78" t="s">
        <v>131</v>
      </c>
      <c r="F35" s="78" t="s">
        <v>253</v>
      </c>
      <c r="G35" s="93" t="s">
        <v>679</v>
      </c>
      <c r="H35" s="56" t="s">
        <v>811</v>
      </c>
    </row>
    <row r="36" spans="1:8" s="36" customFormat="1" ht="15" customHeight="1" x14ac:dyDescent="0.25">
      <c r="A36" s="62" t="s">
        <v>415</v>
      </c>
      <c r="B36" s="62" t="s">
        <v>174</v>
      </c>
      <c r="C36" s="78" t="s">
        <v>141</v>
      </c>
      <c r="D36" s="78" t="s">
        <v>124</v>
      </c>
      <c r="E36" s="78" t="s">
        <v>131</v>
      </c>
      <c r="F36" s="78" t="s">
        <v>253</v>
      </c>
      <c r="G36" s="93" t="s">
        <v>679</v>
      </c>
      <c r="H36" s="56" t="s">
        <v>811</v>
      </c>
    </row>
    <row r="37" spans="1:8" s="36" customFormat="1" ht="15" customHeight="1" x14ac:dyDescent="0.25">
      <c r="A37" s="62" t="s">
        <v>415</v>
      </c>
      <c r="B37" s="88" t="s">
        <v>591</v>
      </c>
      <c r="C37" s="78" t="s">
        <v>141</v>
      </c>
      <c r="D37" s="80" t="s">
        <v>124</v>
      </c>
      <c r="E37" s="80" t="s">
        <v>131</v>
      </c>
      <c r="F37" s="80" t="s">
        <v>253</v>
      </c>
      <c r="G37" s="93" t="s">
        <v>679</v>
      </c>
      <c r="H37" s="56" t="s">
        <v>811</v>
      </c>
    </row>
    <row r="38" spans="1:8" s="36" customFormat="1" ht="15" customHeight="1" x14ac:dyDescent="0.25">
      <c r="A38" s="62" t="s">
        <v>415</v>
      </c>
      <c r="B38" s="62" t="s">
        <v>175</v>
      </c>
      <c r="C38" s="78" t="s">
        <v>141</v>
      </c>
      <c r="D38" s="78" t="s">
        <v>124</v>
      </c>
      <c r="E38" s="78" t="s">
        <v>131</v>
      </c>
      <c r="F38" s="78" t="s">
        <v>253</v>
      </c>
      <c r="G38" s="93" t="s">
        <v>679</v>
      </c>
      <c r="H38" s="56" t="s">
        <v>811</v>
      </c>
    </row>
    <row r="39" spans="1:8" s="36" customFormat="1" ht="15" customHeight="1" x14ac:dyDescent="0.25">
      <c r="A39" s="62" t="s">
        <v>415</v>
      </c>
      <c r="B39" s="62" t="s">
        <v>216</v>
      </c>
      <c r="C39" s="78" t="s">
        <v>141</v>
      </c>
      <c r="D39" s="78" t="s">
        <v>124</v>
      </c>
      <c r="E39" s="78" t="s">
        <v>131</v>
      </c>
      <c r="F39" s="78" t="s">
        <v>253</v>
      </c>
      <c r="G39" s="93" t="s">
        <v>679</v>
      </c>
      <c r="H39" s="56" t="s">
        <v>811</v>
      </c>
    </row>
    <row r="40" spans="1:8" s="36" customFormat="1" ht="15" customHeight="1" x14ac:dyDescent="0.25">
      <c r="A40" s="62" t="s">
        <v>415</v>
      </c>
      <c r="B40" s="62" t="s">
        <v>564</v>
      </c>
      <c r="C40" s="78" t="s">
        <v>141</v>
      </c>
      <c r="D40" s="78" t="s">
        <v>124</v>
      </c>
      <c r="E40" s="78" t="s">
        <v>131</v>
      </c>
      <c r="F40" s="78" t="s">
        <v>253</v>
      </c>
      <c r="G40" s="93" t="s">
        <v>679</v>
      </c>
      <c r="H40" s="56" t="s">
        <v>811</v>
      </c>
    </row>
    <row r="41" spans="1:8" s="36" customFormat="1" ht="15" customHeight="1" x14ac:dyDescent="0.25">
      <c r="A41" s="62" t="s">
        <v>415</v>
      </c>
      <c r="B41" s="62" t="s">
        <v>551</v>
      </c>
      <c r="C41" s="78" t="s">
        <v>141</v>
      </c>
      <c r="D41" s="78" t="s">
        <v>124</v>
      </c>
      <c r="E41" s="78" t="s">
        <v>131</v>
      </c>
      <c r="F41" s="78" t="s">
        <v>253</v>
      </c>
      <c r="G41" s="93" t="s">
        <v>679</v>
      </c>
      <c r="H41" s="56" t="s">
        <v>811</v>
      </c>
    </row>
    <row r="42" spans="1:8" s="36" customFormat="1" ht="15" customHeight="1" x14ac:dyDescent="0.25">
      <c r="A42" s="91" t="s">
        <v>415</v>
      </c>
      <c r="B42" s="91" t="s">
        <v>647</v>
      </c>
      <c r="C42" s="79" t="s">
        <v>141</v>
      </c>
      <c r="D42" s="79" t="s">
        <v>124</v>
      </c>
      <c r="E42" s="79" t="s">
        <v>131</v>
      </c>
      <c r="F42" s="80" t="s">
        <v>253</v>
      </c>
      <c r="G42" s="93" t="s">
        <v>679</v>
      </c>
      <c r="H42" s="56" t="s">
        <v>811</v>
      </c>
    </row>
    <row r="43" spans="1:8" s="36" customFormat="1" ht="15" customHeight="1" x14ac:dyDescent="0.25">
      <c r="A43" s="62" t="s">
        <v>415</v>
      </c>
      <c r="B43" s="62" t="s">
        <v>553</v>
      </c>
      <c r="C43" s="78" t="s">
        <v>141</v>
      </c>
      <c r="D43" s="78" t="s">
        <v>124</v>
      </c>
      <c r="E43" s="78" t="s">
        <v>131</v>
      </c>
      <c r="F43" s="78" t="s">
        <v>253</v>
      </c>
      <c r="G43" s="93" t="s">
        <v>679</v>
      </c>
      <c r="H43" s="56" t="s">
        <v>811</v>
      </c>
    </row>
    <row r="44" spans="1:8" s="36" customFormat="1" ht="15" customHeight="1" x14ac:dyDescent="0.25">
      <c r="A44" s="62" t="s">
        <v>415</v>
      </c>
      <c r="B44" s="62" t="s">
        <v>481</v>
      </c>
      <c r="C44" s="78" t="s">
        <v>141</v>
      </c>
      <c r="D44" s="78" t="s">
        <v>124</v>
      </c>
      <c r="E44" s="78" t="s">
        <v>131</v>
      </c>
      <c r="F44" s="78" t="s">
        <v>253</v>
      </c>
      <c r="G44" s="93" t="s">
        <v>679</v>
      </c>
      <c r="H44" s="56" t="s">
        <v>811</v>
      </c>
    </row>
    <row r="45" spans="1:8" s="36" customFormat="1" ht="15.75" customHeight="1" x14ac:dyDescent="0.25">
      <c r="A45" s="62" t="s">
        <v>415</v>
      </c>
      <c r="B45" s="62" t="s">
        <v>187</v>
      </c>
      <c r="C45" s="78" t="s">
        <v>141</v>
      </c>
      <c r="D45" s="78" t="s">
        <v>124</v>
      </c>
      <c r="E45" s="78" t="s">
        <v>131</v>
      </c>
      <c r="F45" s="78" t="s">
        <v>253</v>
      </c>
      <c r="G45" s="93" t="s">
        <v>679</v>
      </c>
      <c r="H45" s="56" t="s">
        <v>811</v>
      </c>
    </row>
    <row r="46" spans="1:8" s="36" customFormat="1" ht="15.75" customHeight="1" x14ac:dyDescent="0.25">
      <c r="A46" s="62" t="s">
        <v>415</v>
      </c>
      <c r="B46" s="84" t="s">
        <v>217</v>
      </c>
      <c r="C46" s="78" t="s">
        <v>141</v>
      </c>
      <c r="D46" s="78" t="s">
        <v>124</v>
      </c>
      <c r="E46" s="78" t="s">
        <v>131</v>
      </c>
      <c r="F46" s="78" t="s">
        <v>253</v>
      </c>
      <c r="G46" s="93" t="s">
        <v>679</v>
      </c>
      <c r="H46" s="56" t="s">
        <v>811</v>
      </c>
    </row>
    <row r="47" spans="1:8" s="36" customFormat="1" ht="16.5" customHeight="1" x14ac:dyDescent="0.25">
      <c r="A47" s="62" t="s">
        <v>415</v>
      </c>
      <c r="B47" s="88" t="s">
        <v>590</v>
      </c>
      <c r="C47" s="78" t="s">
        <v>141</v>
      </c>
      <c r="D47" s="80" t="s">
        <v>124</v>
      </c>
      <c r="E47" s="80" t="s">
        <v>131</v>
      </c>
      <c r="F47" s="80" t="s">
        <v>253</v>
      </c>
      <c r="G47" s="93" t="s">
        <v>679</v>
      </c>
      <c r="H47" s="56" t="s">
        <v>811</v>
      </c>
    </row>
    <row r="48" spans="1:8" s="36" customFormat="1" ht="16.5" customHeight="1" x14ac:dyDescent="0.25">
      <c r="A48" s="62" t="s">
        <v>415</v>
      </c>
      <c r="B48" s="62" t="s">
        <v>215</v>
      </c>
      <c r="C48" s="78" t="s">
        <v>141</v>
      </c>
      <c r="D48" s="78" t="s">
        <v>124</v>
      </c>
      <c r="E48" s="78" t="s">
        <v>131</v>
      </c>
      <c r="F48" s="78" t="s">
        <v>253</v>
      </c>
      <c r="G48" s="93" t="s">
        <v>679</v>
      </c>
      <c r="H48" s="56" t="s">
        <v>811</v>
      </c>
    </row>
    <row r="49" spans="1:8" s="36" customFormat="1" ht="15" customHeight="1" x14ac:dyDescent="0.25">
      <c r="A49" s="62" t="s">
        <v>415</v>
      </c>
      <c r="B49" s="62" t="s">
        <v>214</v>
      </c>
      <c r="C49" s="78" t="s">
        <v>141</v>
      </c>
      <c r="D49" s="78" t="s">
        <v>124</v>
      </c>
      <c r="E49" s="78" t="s">
        <v>131</v>
      </c>
      <c r="F49" s="78" t="s">
        <v>253</v>
      </c>
      <c r="G49" s="93" t="s">
        <v>679</v>
      </c>
      <c r="H49" s="56" t="s">
        <v>811</v>
      </c>
    </row>
    <row r="50" spans="1:8" ht="15" customHeight="1" x14ac:dyDescent="0.25">
      <c r="A50" s="63" t="s">
        <v>598</v>
      </c>
      <c r="B50" s="89" t="s">
        <v>596</v>
      </c>
      <c r="C50" s="78" t="s">
        <v>141</v>
      </c>
      <c r="D50" s="80" t="s">
        <v>124</v>
      </c>
      <c r="E50" s="80" t="s">
        <v>131</v>
      </c>
      <c r="F50" s="80" t="s">
        <v>253</v>
      </c>
      <c r="G50" s="93" t="s">
        <v>679</v>
      </c>
      <c r="H50" s="56" t="s">
        <v>811</v>
      </c>
    </row>
    <row r="51" spans="1:8" ht="15" customHeight="1" x14ac:dyDescent="0.25">
      <c r="A51" s="63" t="s">
        <v>598</v>
      </c>
      <c r="B51" s="89" t="s">
        <v>597</v>
      </c>
      <c r="C51" s="80" t="s">
        <v>132</v>
      </c>
      <c r="D51" s="80" t="s">
        <v>124</v>
      </c>
      <c r="E51" s="79" t="s">
        <v>131</v>
      </c>
      <c r="F51" s="80" t="s">
        <v>253</v>
      </c>
      <c r="G51" s="93" t="s">
        <v>672</v>
      </c>
      <c r="H51" s="56" t="s">
        <v>811</v>
      </c>
    </row>
    <row r="52" spans="1:8" ht="15" customHeight="1" x14ac:dyDescent="0.25">
      <c r="A52" s="91" t="s">
        <v>633</v>
      </c>
      <c r="B52" s="91" t="s">
        <v>625</v>
      </c>
      <c r="C52" s="79" t="s">
        <v>141</v>
      </c>
      <c r="D52" s="79" t="s">
        <v>124</v>
      </c>
      <c r="E52" s="79" t="s">
        <v>131</v>
      </c>
      <c r="F52" s="80" t="s">
        <v>253</v>
      </c>
      <c r="G52" s="93" t="s">
        <v>679</v>
      </c>
      <c r="H52" s="56" t="s">
        <v>811</v>
      </c>
    </row>
    <row r="53" spans="1:8" ht="15" customHeight="1" x14ac:dyDescent="0.25">
      <c r="A53" s="91" t="s">
        <v>633</v>
      </c>
      <c r="B53" s="91" t="s">
        <v>651</v>
      </c>
      <c r="C53" s="79" t="s">
        <v>141</v>
      </c>
      <c r="D53" s="79" t="s">
        <v>124</v>
      </c>
      <c r="E53" s="79" t="s">
        <v>131</v>
      </c>
      <c r="F53" s="80" t="s">
        <v>253</v>
      </c>
      <c r="G53" s="93" t="s">
        <v>679</v>
      </c>
      <c r="H53" s="56" t="s">
        <v>811</v>
      </c>
    </row>
    <row r="54" spans="1:8" ht="15" customHeight="1" x14ac:dyDescent="0.25">
      <c r="A54" s="91" t="s">
        <v>633</v>
      </c>
      <c r="B54" s="91" t="s">
        <v>650</v>
      </c>
      <c r="C54" s="79" t="s">
        <v>141</v>
      </c>
      <c r="D54" s="79" t="s">
        <v>124</v>
      </c>
      <c r="E54" s="79" t="s">
        <v>131</v>
      </c>
      <c r="F54" s="80" t="s">
        <v>253</v>
      </c>
      <c r="G54" s="93" t="s">
        <v>679</v>
      </c>
      <c r="H54" s="56" t="s">
        <v>811</v>
      </c>
    </row>
    <row r="55" spans="1:8" ht="15" customHeight="1" x14ac:dyDescent="0.25">
      <c r="A55" s="62" t="s">
        <v>147</v>
      </c>
      <c r="B55" s="62" t="s">
        <v>148</v>
      </c>
      <c r="C55" s="78" t="s">
        <v>141</v>
      </c>
      <c r="D55" s="78" t="s">
        <v>127</v>
      </c>
      <c r="E55" s="80" t="s">
        <v>153</v>
      </c>
      <c r="F55" s="78" t="s">
        <v>253</v>
      </c>
      <c r="G55" s="93" t="s">
        <v>685</v>
      </c>
      <c r="H55" s="56" t="s">
        <v>810</v>
      </c>
    </row>
    <row r="56" spans="1:8" ht="15" customHeight="1" x14ac:dyDescent="0.25">
      <c r="A56" s="91" t="s">
        <v>147</v>
      </c>
      <c r="B56" s="91" t="s">
        <v>645</v>
      </c>
      <c r="C56" s="80" t="s">
        <v>135</v>
      </c>
      <c r="D56" s="79" t="s">
        <v>124</v>
      </c>
      <c r="E56" s="80" t="s">
        <v>153</v>
      </c>
      <c r="F56" s="80" t="s">
        <v>253</v>
      </c>
      <c r="G56" s="93" t="s">
        <v>677</v>
      </c>
      <c r="H56" s="56" t="s">
        <v>810</v>
      </c>
    </row>
    <row r="57" spans="1:8" ht="15" customHeight="1" x14ac:dyDescent="0.25">
      <c r="A57" s="62" t="s">
        <v>147</v>
      </c>
      <c r="B57" s="62" t="s">
        <v>934</v>
      </c>
      <c r="C57" s="80" t="s">
        <v>135</v>
      </c>
      <c r="D57" s="78" t="s">
        <v>127</v>
      </c>
      <c r="E57" s="80" t="s">
        <v>153</v>
      </c>
      <c r="F57" s="78" t="s">
        <v>253</v>
      </c>
      <c r="G57" s="93" t="s">
        <v>681</v>
      </c>
      <c r="H57" s="56" t="s">
        <v>810</v>
      </c>
    </row>
    <row r="58" spans="1:8" ht="15" customHeight="1" x14ac:dyDescent="0.25">
      <c r="A58" s="62" t="s">
        <v>147</v>
      </c>
      <c r="B58" s="62" t="s">
        <v>149</v>
      </c>
      <c r="C58" s="78" t="s">
        <v>123</v>
      </c>
      <c r="D58" s="78" t="s">
        <v>127</v>
      </c>
      <c r="E58" s="80" t="s">
        <v>131</v>
      </c>
      <c r="F58" s="78" t="s">
        <v>253</v>
      </c>
      <c r="G58" s="93" t="s">
        <v>684</v>
      </c>
      <c r="H58" s="56" t="s">
        <v>810</v>
      </c>
    </row>
    <row r="59" spans="1:8" ht="15" customHeight="1" x14ac:dyDescent="0.25">
      <c r="A59" s="62" t="s">
        <v>147</v>
      </c>
      <c r="B59" s="62" t="s">
        <v>150</v>
      </c>
      <c r="C59" s="78" t="s">
        <v>141</v>
      </c>
      <c r="D59" s="78" t="s">
        <v>127</v>
      </c>
      <c r="E59" s="80" t="s">
        <v>153</v>
      </c>
      <c r="F59" s="78" t="s">
        <v>253</v>
      </c>
      <c r="G59" s="93" t="s">
        <v>685</v>
      </c>
      <c r="H59" s="56" t="s">
        <v>810</v>
      </c>
    </row>
    <row r="60" spans="1:8" ht="15" customHeight="1" x14ac:dyDescent="0.25">
      <c r="A60" s="62" t="s">
        <v>151</v>
      </c>
      <c r="B60" s="62" t="s">
        <v>152</v>
      </c>
      <c r="C60" s="78" t="s">
        <v>130</v>
      </c>
      <c r="D60" s="78" t="s">
        <v>124</v>
      </c>
      <c r="E60" s="78" t="s">
        <v>131</v>
      </c>
      <c r="F60" s="78" t="s">
        <v>253</v>
      </c>
      <c r="G60" s="93" t="s">
        <v>684</v>
      </c>
      <c r="H60" s="56" t="s">
        <v>807</v>
      </c>
    </row>
    <row r="61" spans="1:8" ht="15" customHeight="1" x14ac:dyDescent="0.25">
      <c r="A61" s="62" t="s">
        <v>151</v>
      </c>
      <c r="B61" s="62" t="s">
        <v>208</v>
      </c>
      <c r="C61" s="78" t="s">
        <v>141</v>
      </c>
      <c r="D61" s="78" t="s">
        <v>124</v>
      </c>
      <c r="E61" s="78" t="s">
        <v>153</v>
      </c>
      <c r="F61" s="78" t="s">
        <v>253</v>
      </c>
      <c r="G61" s="93" t="s">
        <v>679</v>
      </c>
      <c r="H61" s="56" t="s">
        <v>807</v>
      </c>
    </row>
    <row r="62" spans="1:8" ht="15" customHeight="1" x14ac:dyDescent="0.25">
      <c r="A62" s="62" t="s">
        <v>418</v>
      </c>
      <c r="B62" s="62" t="s">
        <v>515</v>
      </c>
      <c r="C62" s="78" t="s">
        <v>123</v>
      </c>
      <c r="D62" s="78" t="s">
        <v>124</v>
      </c>
      <c r="E62" s="78" t="s">
        <v>153</v>
      </c>
      <c r="F62" s="78" t="s">
        <v>253</v>
      </c>
      <c r="G62" s="93" t="s">
        <v>684</v>
      </c>
      <c r="H62" s="56" t="s">
        <v>807</v>
      </c>
    </row>
    <row r="63" spans="1:8" ht="15" customHeight="1" x14ac:dyDescent="0.25">
      <c r="A63" s="154" t="s">
        <v>418</v>
      </c>
      <c r="B63" s="154" t="s">
        <v>744</v>
      </c>
      <c r="C63" s="78" t="s">
        <v>135</v>
      </c>
      <c r="D63" s="78" t="s">
        <v>124</v>
      </c>
      <c r="E63" s="78" t="s">
        <v>153</v>
      </c>
      <c r="F63" s="78" t="s">
        <v>253</v>
      </c>
      <c r="G63" s="93" t="s">
        <v>680</v>
      </c>
      <c r="H63" s="56" t="s">
        <v>807</v>
      </c>
    </row>
    <row r="64" spans="1:8" ht="15" customHeight="1" x14ac:dyDescent="0.25">
      <c r="A64" s="62" t="s">
        <v>418</v>
      </c>
      <c r="B64" s="62" t="s">
        <v>160</v>
      </c>
      <c r="C64" s="78" t="s">
        <v>130</v>
      </c>
      <c r="D64" s="78" t="s">
        <v>124</v>
      </c>
      <c r="E64" s="78" t="s">
        <v>131</v>
      </c>
      <c r="F64" s="78" t="s">
        <v>253</v>
      </c>
      <c r="G64" s="93" t="s">
        <v>684</v>
      </c>
      <c r="H64" s="56" t="s">
        <v>807</v>
      </c>
    </row>
    <row r="65" spans="1:8" ht="15" customHeight="1" x14ac:dyDescent="0.25">
      <c r="A65" s="62" t="s">
        <v>418</v>
      </c>
      <c r="B65" s="62" t="s">
        <v>157</v>
      </c>
      <c r="C65" s="78" t="s">
        <v>130</v>
      </c>
      <c r="D65" s="78" t="s">
        <v>124</v>
      </c>
      <c r="E65" s="78" t="s">
        <v>131</v>
      </c>
      <c r="F65" s="78" t="s">
        <v>253</v>
      </c>
      <c r="G65" s="93" t="s">
        <v>684</v>
      </c>
      <c r="H65" s="56" t="s">
        <v>807</v>
      </c>
    </row>
    <row r="66" spans="1:8" ht="15" customHeight="1" x14ac:dyDescent="0.25">
      <c r="A66" s="62" t="s">
        <v>501</v>
      </c>
      <c r="B66" s="62" t="s">
        <v>511</v>
      </c>
      <c r="C66" s="78" t="s">
        <v>130</v>
      </c>
      <c r="D66" s="78" t="s">
        <v>127</v>
      </c>
      <c r="E66" s="78" t="s">
        <v>153</v>
      </c>
      <c r="F66" s="78" t="s">
        <v>253</v>
      </c>
      <c r="G66" s="93" t="s">
        <v>682</v>
      </c>
      <c r="H66" s="56" t="s">
        <v>807</v>
      </c>
    </row>
    <row r="67" spans="1:8" ht="15" customHeight="1" x14ac:dyDescent="0.25">
      <c r="A67" s="62" t="s">
        <v>501</v>
      </c>
      <c r="B67" s="62" t="s">
        <v>184</v>
      </c>
      <c r="C67" s="78" t="s">
        <v>130</v>
      </c>
      <c r="D67" s="78" t="s">
        <v>127</v>
      </c>
      <c r="E67" s="78" t="s">
        <v>153</v>
      </c>
      <c r="F67" s="78" t="s">
        <v>253</v>
      </c>
      <c r="G67" s="93" t="s">
        <v>682</v>
      </c>
      <c r="H67" s="56" t="s">
        <v>807</v>
      </c>
    </row>
    <row r="68" spans="1:8" ht="15" customHeight="1" x14ac:dyDescent="0.25">
      <c r="A68" s="62" t="s">
        <v>163</v>
      </c>
      <c r="B68" s="62" t="s">
        <v>122</v>
      </c>
      <c r="C68" s="78" t="s">
        <v>123</v>
      </c>
      <c r="D68" s="78" t="s">
        <v>127</v>
      </c>
      <c r="E68" s="78" t="s">
        <v>125</v>
      </c>
      <c r="F68" s="78" t="s">
        <v>307</v>
      </c>
      <c r="G68" s="93" t="s">
        <v>682</v>
      </c>
      <c r="H68" s="56" t="s">
        <v>809</v>
      </c>
    </row>
    <row r="69" spans="1:8" ht="15" customHeight="1" x14ac:dyDescent="0.25">
      <c r="A69" s="62" t="s">
        <v>163</v>
      </c>
      <c r="B69" s="62" t="s">
        <v>137</v>
      </c>
      <c r="C69" s="78" t="s">
        <v>135</v>
      </c>
      <c r="D69" s="78" t="s">
        <v>127</v>
      </c>
      <c r="E69" s="78" t="s">
        <v>125</v>
      </c>
      <c r="F69" s="78" t="s">
        <v>307</v>
      </c>
      <c r="G69" s="93" t="s">
        <v>681</v>
      </c>
      <c r="H69" s="56" t="s">
        <v>809</v>
      </c>
    </row>
    <row r="70" spans="1:8" ht="15" customHeight="1" x14ac:dyDescent="0.25">
      <c r="A70" s="77" t="s">
        <v>663</v>
      </c>
      <c r="B70" s="77" t="s">
        <v>546</v>
      </c>
      <c r="C70" s="79" t="s">
        <v>123</v>
      </c>
      <c r="D70" s="79" t="s">
        <v>127</v>
      </c>
      <c r="E70" s="79" t="s">
        <v>170</v>
      </c>
      <c r="F70" s="80" t="s">
        <v>253</v>
      </c>
      <c r="G70" s="93" t="s">
        <v>682</v>
      </c>
      <c r="H70" s="56" t="s">
        <v>762</v>
      </c>
    </row>
    <row r="71" spans="1:8" ht="15" customHeight="1" x14ac:dyDescent="0.25">
      <c r="A71" s="77" t="s">
        <v>664</v>
      </c>
      <c r="B71" s="77" t="s">
        <v>546</v>
      </c>
      <c r="C71" s="79" t="s">
        <v>123</v>
      </c>
      <c r="D71" s="79" t="s">
        <v>127</v>
      </c>
      <c r="E71" s="79" t="s">
        <v>170</v>
      </c>
      <c r="F71" s="80" t="s">
        <v>253</v>
      </c>
      <c r="G71" s="93" t="s">
        <v>682</v>
      </c>
      <c r="H71" s="56" t="s">
        <v>762</v>
      </c>
    </row>
    <row r="72" spans="1:8" ht="15" customHeight="1" x14ac:dyDescent="0.25">
      <c r="A72" s="77" t="s">
        <v>662</v>
      </c>
      <c r="B72" s="77" t="s">
        <v>546</v>
      </c>
      <c r="C72" s="79" t="s">
        <v>123</v>
      </c>
      <c r="D72" s="79" t="s">
        <v>127</v>
      </c>
      <c r="E72" s="79" t="s">
        <v>170</v>
      </c>
      <c r="F72" s="80" t="s">
        <v>253</v>
      </c>
      <c r="G72" s="93" t="s">
        <v>682</v>
      </c>
      <c r="H72" s="56" t="s">
        <v>762</v>
      </c>
    </row>
    <row r="73" spans="1:8" ht="15" customHeight="1" x14ac:dyDescent="0.25">
      <c r="A73" s="62" t="s">
        <v>164</v>
      </c>
      <c r="B73" s="62" t="s">
        <v>488</v>
      </c>
      <c r="C73" s="78" t="s">
        <v>141</v>
      </c>
      <c r="D73" s="78" t="s">
        <v>124</v>
      </c>
      <c r="E73" s="78" t="s">
        <v>131</v>
      </c>
      <c r="F73" s="78" t="s">
        <v>253</v>
      </c>
      <c r="G73" s="93" t="s">
        <v>679</v>
      </c>
      <c r="H73" s="56" t="s">
        <v>812</v>
      </c>
    </row>
    <row r="74" spans="1:8" ht="15" customHeight="1" x14ac:dyDescent="0.25">
      <c r="A74" s="62" t="s">
        <v>164</v>
      </c>
      <c r="B74" s="62" t="s">
        <v>203</v>
      </c>
      <c r="C74" s="78" t="s">
        <v>141</v>
      </c>
      <c r="D74" s="78" t="s">
        <v>124</v>
      </c>
      <c r="E74" s="78" t="s">
        <v>131</v>
      </c>
      <c r="F74" s="78" t="s">
        <v>253</v>
      </c>
      <c r="G74" s="93" t="s">
        <v>679</v>
      </c>
      <c r="H74" s="56" t="s">
        <v>809</v>
      </c>
    </row>
    <row r="75" spans="1:8" ht="15" customHeight="1" x14ac:dyDescent="0.25">
      <c r="A75" s="62" t="s">
        <v>164</v>
      </c>
      <c r="B75" s="83" t="s">
        <v>142</v>
      </c>
      <c r="C75" s="78" t="s">
        <v>135</v>
      </c>
      <c r="D75" s="78" t="s">
        <v>124</v>
      </c>
      <c r="E75" s="78" t="s">
        <v>131</v>
      </c>
      <c r="F75" s="78" t="s">
        <v>253</v>
      </c>
      <c r="G75" s="93" t="s">
        <v>678</v>
      </c>
      <c r="H75" s="56" t="s">
        <v>819</v>
      </c>
    </row>
    <row r="76" spans="1:8" ht="15" customHeight="1" x14ac:dyDescent="0.25">
      <c r="A76" s="62" t="s">
        <v>164</v>
      </c>
      <c r="B76" s="62" t="s">
        <v>165</v>
      </c>
      <c r="C76" s="78" t="s">
        <v>166</v>
      </c>
      <c r="D76" s="78" t="s">
        <v>124</v>
      </c>
      <c r="E76" s="78" t="s">
        <v>131</v>
      </c>
      <c r="F76" s="78" t="s">
        <v>253</v>
      </c>
      <c r="G76" s="93" t="s">
        <v>670</v>
      </c>
      <c r="H76" s="56" t="s">
        <v>809</v>
      </c>
    </row>
    <row r="77" spans="1:8" ht="15" customHeight="1" x14ac:dyDescent="0.25">
      <c r="A77" s="62" t="s">
        <v>164</v>
      </c>
      <c r="B77" s="62" t="s">
        <v>559</v>
      </c>
      <c r="C77" s="78" t="s">
        <v>135</v>
      </c>
      <c r="D77" s="78" t="s">
        <v>124</v>
      </c>
      <c r="E77" s="78" t="s">
        <v>131</v>
      </c>
      <c r="F77" s="78" t="s">
        <v>253</v>
      </c>
      <c r="G77" s="93" t="s">
        <v>678</v>
      </c>
      <c r="H77" s="56" t="s">
        <v>809</v>
      </c>
    </row>
    <row r="78" spans="1:8" ht="15" customHeight="1" x14ac:dyDescent="0.25">
      <c r="A78" s="62" t="s">
        <v>601</v>
      </c>
      <c r="B78" s="89" t="s">
        <v>593</v>
      </c>
      <c r="C78" s="80" t="s">
        <v>141</v>
      </c>
      <c r="D78" s="80" t="s">
        <v>124</v>
      </c>
      <c r="E78" s="79" t="s">
        <v>131</v>
      </c>
      <c r="F78" s="80" t="s">
        <v>253</v>
      </c>
      <c r="G78" s="93" t="s">
        <v>679</v>
      </c>
      <c r="H78" s="56" t="s">
        <v>809</v>
      </c>
    </row>
    <row r="79" spans="1:8" ht="15" customHeight="1" x14ac:dyDescent="0.25">
      <c r="A79" s="62" t="s">
        <v>167</v>
      </c>
      <c r="B79" s="62" t="s">
        <v>168</v>
      </c>
      <c r="C79" s="78" t="s">
        <v>123</v>
      </c>
      <c r="D79" s="78" t="s">
        <v>124</v>
      </c>
      <c r="E79" s="78" t="s">
        <v>131</v>
      </c>
      <c r="F79" s="78" t="s">
        <v>253</v>
      </c>
      <c r="G79" s="93" t="s">
        <v>684</v>
      </c>
      <c r="H79" s="56" t="s">
        <v>815</v>
      </c>
    </row>
    <row r="80" spans="1:8" ht="15" customHeight="1" x14ac:dyDescent="0.25">
      <c r="A80" s="91" t="s">
        <v>620</v>
      </c>
      <c r="B80" s="91" t="s">
        <v>636</v>
      </c>
      <c r="C80" s="79" t="s">
        <v>141</v>
      </c>
      <c r="D80" s="79" t="s">
        <v>127</v>
      </c>
      <c r="E80" s="79" t="s">
        <v>170</v>
      </c>
      <c r="F80" s="80" t="s">
        <v>253</v>
      </c>
      <c r="G80" s="93" t="s">
        <v>685</v>
      </c>
      <c r="H80" s="56" t="s">
        <v>821</v>
      </c>
    </row>
    <row r="81" spans="1:8" ht="15" customHeight="1" x14ac:dyDescent="0.25">
      <c r="A81" s="62" t="s">
        <v>620</v>
      </c>
      <c r="B81" s="74" t="s">
        <v>636</v>
      </c>
      <c r="C81" s="79" t="s">
        <v>141</v>
      </c>
      <c r="D81" s="80" t="s">
        <v>127</v>
      </c>
      <c r="E81" s="80" t="s">
        <v>170</v>
      </c>
      <c r="F81" s="80" t="s">
        <v>253</v>
      </c>
      <c r="G81" s="93" t="s">
        <v>685</v>
      </c>
      <c r="H81" s="56" t="s">
        <v>821</v>
      </c>
    </row>
    <row r="82" spans="1:8" ht="15" customHeight="1" x14ac:dyDescent="0.25">
      <c r="A82" s="91" t="s">
        <v>616</v>
      </c>
      <c r="B82" s="91" t="s">
        <v>178</v>
      </c>
      <c r="C82" s="79" t="s">
        <v>141</v>
      </c>
      <c r="D82" s="79" t="s">
        <v>124</v>
      </c>
      <c r="E82" s="79" t="s">
        <v>170</v>
      </c>
      <c r="F82" s="80" t="s">
        <v>253</v>
      </c>
      <c r="G82" s="93" t="s">
        <v>685</v>
      </c>
      <c r="H82" s="56" t="s">
        <v>821</v>
      </c>
    </row>
    <row r="83" spans="1:8" ht="15" customHeight="1" x14ac:dyDescent="0.25">
      <c r="A83" s="91" t="s">
        <v>616</v>
      </c>
      <c r="B83" s="91" t="s">
        <v>549</v>
      </c>
      <c r="C83" s="79" t="s">
        <v>141</v>
      </c>
      <c r="D83" s="79" t="s">
        <v>124</v>
      </c>
      <c r="E83" s="79" t="s">
        <v>170</v>
      </c>
      <c r="F83" s="80" t="s">
        <v>253</v>
      </c>
      <c r="G83" s="93" t="s">
        <v>685</v>
      </c>
      <c r="H83" s="56" t="s">
        <v>821</v>
      </c>
    </row>
    <row r="84" spans="1:8" ht="15" customHeight="1" x14ac:dyDescent="0.25">
      <c r="A84" s="91" t="s">
        <v>616</v>
      </c>
      <c r="B84" s="91" t="s">
        <v>584</v>
      </c>
      <c r="C84" s="79" t="s">
        <v>135</v>
      </c>
      <c r="D84" s="79" t="s">
        <v>124</v>
      </c>
      <c r="E84" s="80" t="s">
        <v>170</v>
      </c>
      <c r="F84" s="80" t="s">
        <v>253</v>
      </c>
      <c r="G84" s="93" t="s">
        <v>681</v>
      </c>
      <c r="H84" s="56" t="s">
        <v>821</v>
      </c>
    </row>
    <row r="85" spans="1:8" ht="15" customHeight="1" x14ac:dyDescent="0.25">
      <c r="A85" s="91" t="s">
        <v>638</v>
      </c>
      <c r="B85" s="91" t="s">
        <v>584</v>
      </c>
      <c r="C85" s="79" t="s">
        <v>135</v>
      </c>
      <c r="D85" s="79" t="s">
        <v>124</v>
      </c>
      <c r="E85" s="80" t="s">
        <v>131</v>
      </c>
      <c r="F85" s="80" t="s">
        <v>253</v>
      </c>
      <c r="G85" s="93" t="s">
        <v>680</v>
      </c>
      <c r="H85" s="56" t="s">
        <v>815</v>
      </c>
    </row>
    <row r="86" spans="1:8" ht="15" customHeight="1" x14ac:dyDescent="0.25">
      <c r="A86" s="91" t="s">
        <v>638</v>
      </c>
      <c r="B86" s="91" t="s">
        <v>168</v>
      </c>
      <c r="C86" s="79" t="s">
        <v>123</v>
      </c>
      <c r="D86" s="79" t="s">
        <v>124</v>
      </c>
      <c r="E86" s="79" t="s">
        <v>131</v>
      </c>
      <c r="F86" s="80" t="s">
        <v>253</v>
      </c>
      <c r="G86" s="93" t="s">
        <v>684</v>
      </c>
      <c r="H86" s="56" t="s">
        <v>815</v>
      </c>
    </row>
    <row r="87" spans="1:8" ht="15" customHeight="1" x14ac:dyDescent="0.25">
      <c r="A87" s="62" t="s">
        <v>173</v>
      </c>
      <c r="B87" s="62" t="s">
        <v>179</v>
      </c>
      <c r="C87" s="78" t="s">
        <v>123</v>
      </c>
      <c r="D87" s="78" t="s">
        <v>124</v>
      </c>
      <c r="E87" s="78" t="s">
        <v>131</v>
      </c>
      <c r="F87" s="78" t="s">
        <v>253</v>
      </c>
      <c r="G87" s="93" t="s">
        <v>684</v>
      </c>
      <c r="H87" s="56" t="s">
        <v>811</v>
      </c>
    </row>
    <row r="88" spans="1:8" ht="15" customHeight="1" x14ac:dyDescent="0.25">
      <c r="A88" s="62" t="s">
        <v>173</v>
      </c>
      <c r="B88" s="62" t="s">
        <v>529</v>
      </c>
      <c r="C88" s="78" t="s">
        <v>135</v>
      </c>
      <c r="D88" s="78" t="s">
        <v>124</v>
      </c>
      <c r="E88" s="78" t="s">
        <v>131</v>
      </c>
      <c r="F88" s="78" t="s">
        <v>253</v>
      </c>
      <c r="G88" s="93" t="s">
        <v>680</v>
      </c>
      <c r="H88" s="56" t="s">
        <v>811</v>
      </c>
    </row>
    <row r="89" spans="1:8" ht="15" customHeight="1" x14ac:dyDescent="0.25">
      <c r="A89" s="62" t="s">
        <v>572</v>
      </c>
      <c r="B89" s="62" t="s">
        <v>576</v>
      </c>
      <c r="C89" s="78" t="s">
        <v>141</v>
      </c>
      <c r="D89" s="78" t="s">
        <v>124</v>
      </c>
      <c r="E89" s="78" t="s">
        <v>479</v>
      </c>
      <c r="F89" s="78" t="s">
        <v>253</v>
      </c>
      <c r="G89" s="93" t="s">
        <v>679</v>
      </c>
      <c r="H89" s="56" t="s">
        <v>762</v>
      </c>
    </row>
    <row r="90" spans="1:8" ht="15" customHeight="1" x14ac:dyDescent="0.25">
      <c r="A90" s="62" t="s">
        <v>572</v>
      </c>
      <c r="B90" s="62" t="s">
        <v>573</v>
      </c>
      <c r="C90" s="78" t="s">
        <v>135</v>
      </c>
      <c r="D90" s="78" t="s">
        <v>124</v>
      </c>
      <c r="E90" s="78" t="s">
        <v>479</v>
      </c>
      <c r="F90" s="78" t="s">
        <v>253</v>
      </c>
      <c r="G90" s="93" t="s">
        <v>680</v>
      </c>
      <c r="H90" s="56" t="s">
        <v>762</v>
      </c>
    </row>
    <row r="91" spans="1:8" ht="15" customHeight="1" x14ac:dyDescent="0.25">
      <c r="A91" s="62" t="s">
        <v>674</v>
      </c>
      <c r="B91" s="62" t="s">
        <v>567</v>
      </c>
      <c r="C91" s="78" t="s">
        <v>141</v>
      </c>
      <c r="D91" s="78" t="s">
        <v>124</v>
      </c>
      <c r="E91" s="78" t="s">
        <v>170</v>
      </c>
      <c r="F91" s="78" t="s">
        <v>253</v>
      </c>
      <c r="G91" s="93" t="s">
        <v>679</v>
      </c>
      <c r="H91" s="56" t="s">
        <v>821</v>
      </c>
    </row>
    <row r="92" spans="1:8" ht="15" customHeight="1" x14ac:dyDescent="0.25">
      <c r="A92" s="62" t="s">
        <v>674</v>
      </c>
      <c r="B92" s="62" t="s">
        <v>176</v>
      </c>
      <c r="C92" s="78" t="s">
        <v>141</v>
      </c>
      <c r="D92" s="78" t="s">
        <v>124</v>
      </c>
      <c r="E92" s="78" t="s">
        <v>170</v>
      </c>
      <c r="F92" s="78" t="s">
        <v>253</v>
      </c>
      <c r="G92" s="93" t="s">
        <v>679</v>
      </c>
      <c r="H92" s="56" t="s">
        <v>821</v>
      </c>
    </row>
    <row r="93" spans="1:8" ht="15" customHeight="1" x14ac:dyDescent="0.25">
      <c r="A93" s="62" t="s">
        <v>674</v>
      </c>
      <c r="B93" s="91" t="s">
        <v>584</v>
      </c>
      <c r="C93" s="78" t="s">
        <v>135</v>
      </c>
      <c r="D93" s="78" t="s">
        <v>124</v>
      </c>
      <c r="E93" s="78" t="s">
        <v>170</v>
      </c>
      <c r="F93" s="78" t="s">
        <v>253</v>
      </c>
      <c r="G93" s="93" t="s">
        <v>681</v>
      </c>
      <c r="H93" s="56" t="s">
        <v>821</v>
      </c>
    </row>
    <row r="94" spans="1:8" ht="15" customHeight="1" x14ac:dyDescent="0.25">
      <c r="A94" s="62" t="s">
        <v>674</v>
      </c>
      <c r="B94" s="91" t="s">
        <v>623</v>
      </c>
      <c r="C94" s="79" t="s">
        <v>141</v>
      </c>
      <c r="D94" s="79" t="s">
        <v>124</v>
      </c>
      <c r="E94" s="79" t="s">
        <v>170</v>
      </c>
      <c r="F94" s="80" t="s">
        <v>253</v>
      </c>
      <c r="G94" s="93" t="s">
        <v>679</v>
      </c>
      <c r="H94" s="56" t="s">
        <v>821</v>
      </c>
    </row>
    <row r="95" spans="1:8" ht="15" customHeight="1" x14ac:dyDescent="0.25">
      <c r="A95" s="62" t="s">
        <v>674</v>
      </c>
      <c r="B95" s="91" t="s">
        <v>635</v>
      </c>
      <c r="C95" s="79" t="s">
        <v>141</v>
      </c>
      <c r="D95" s="79" t="s">
        <v>124</v>
      </c>
      <c r="E95" s="79" t="s">
        <v>170</v>
      </c>
      <c r="F95" s="80" t="s">
        <v>253</v>
      </c>
      <c r="G95" s="93" t="s">
        <v>679</v>
      </c>
      <c r="H95" s="56" t="s">
        <v>821</v>
      </c>
    </row>
    <row r="96" spans="1:8" ht="15" customHeight="1" x14ac:dyDescent="0.25">
      <c r="A96" s="62" t="s">
        <v>674</v>
      </c>
      <c r="B96" s="90" t="s">
        <v>604</v>
      </c>
      <c r="C96" s="80" t="s">
        <v>141</v>
      </c>
      <c r="D96" s="80" t="s">
        <v>124</v>
      </c>
      <c r="E96" s="79" t="s">
        <v>170</v>
      </c>
      <c r="F96" s="80" t="s">
        <v>253</v>
      </c>
      <c r="G96" s="93" t="s">
        <v>679</v>
      </c>
      <c r="H96" s="56" t="s">
        <v>821</v>
      </c>
    </row>
    <row r="97" spans="1:8" ht="15" customHeight="1" x14ac:dyDescent="0.25">
      <c r="A97" s="62" t="s">
        <v>177</v>
      </c>
      <c r="B97" s="62" t="s">
        <v>178</v>
      </c>
      <c r="C97" s="78" t="s">
        <v>141</v>
      </c>
      <c r="D97" s="78" t="s">
        <v>124</v>
      </c>
      <c r="E97" s="78" t="s">
        <v>131</v>
      </c>
      <c r="F97" s="78" t="s">
        <v>253</v>
      </c>
      <c r="G97" s="93" t="s">
        <v>679</v>
      </c>
      <c r="H97" s="56" t="s">
        <v>819</v>
      </c>
    </row>
    <row r="98" spans="1:8" ht="15" customHeight="1" x14ac:dyDescent="0.25">
      <c r="A98" s="62" t="s">
        <v>177</v>
      </c>
      <c r="B98" s="62" t="s">
        <v>180</v>
      </c>
      <c r="C98" s="78" t="s">
        <v>141</v>
      </c>
      <c r="D98" s="78" t="s">
        <v>124</v>
      </c>
      <c r="E98" s="78" t="s">
        <v>131</v>
      </c>
      <c r="F98" s="78" t="s">
        <v>253</v>
      </c>
      <c r="G98" s="93" t="s">
        <v>679</v>
      </c>
      <c r="H98" s="56" t="s">
        <v>819</v>
      </c>
    </row>
    <row r="99" spans="1:8" ht="15" customHeight="1" x14ac:dyDescent="0.25">
      <c r="A99" s="62" t="s">
        <v>177</v>
      </c>
      <c r="B99" s="62" t="s">
        <v>526</v>
      </c>
      <c r="C99" s="78" t="s">
        <v>135</v>
      </c>
      <c r="D99" s="78" t="s">
        <v>124</v>
      </c>
      <c r="E99" s="78" t="s">
        <v>131</v>
      </c>
      <c r="F99" s="78" t="s">
        <v>253</v>
      </c>
      <c r="G99" s="93" t="s">
        <v>680</v>
      </c>
      <c r="H99" s="56" t="s">
        <v>819</v>
      </c>
    </row>
    <row r="100" spans="1:8" ht="15" customHeight="1" x14ac:dyDescent="0.25">
      <c r="A100" s="62" t="s">
        <v>177</v>
      </c>
      <c r="B100" s="62" t="s">
        <v>181</v>
      </c>
      <c r="C100" s="78" t="s">
        <v>123</v>
      </c>
      <c r="D100" s="78" t="s">
        <v>124</v>
      </c>
      <c r="E100" s="78" t="s">
        <v>131</v>
      </c>
      <c r="F100" s="78" t="s">
        <v>253</v>
      </c>
      <c r="G100" s="93" t="s">
        <v>684</v>
      </c>
      <c r="H100" s="56" t="s">
        <v>819</v>
      </c>
    </row>
    <row r="101" spans="1:8" ht="15" customHeight="1" x14ac:dyDescent="0.25">
      <c r="A101" s="91" t="s">
        <v>617</v>
      </c>
      <c r="B101" s="91" t="s">
        <v>624</v>
      </c>
      <c r="C101" s="80" t="s">
        <v>141</v>
      </c>
      <c r="D101" s="79" t="s">
        <v>124</v>
      </c>
      <c r="E101" s="80" t="s">
        <v>131</v>
      </c>
      <c r="F101" s="80" t="s">
        <v>253</v>
      </c>
      <c r="G101" s="93" t="s">
        <v>679</v>
      </c>
      <c r="H101" s="56" t="s">
        <v>817</v>
      </c>
    </row>
    <row r="102" spans="1:8" ht="15" customHeight="1" x14ac:dyDescent="0.25">
      <c r="A102" s="91" t="s">
        <v>652</v>
      </c>
      <c r="B102" s="91" t="s">
        <v>150</v>
      </c>
      <c r="C102" s="79" t="s">
        <v>141</v>
      </c>
      <c r="D102" s="79" t="s">
        <v>127</v>
      </c>
      <c r="E102" s="79" t="s">
        <v>131</v>
      </c>
      <c r="F102" s="80" t="s">
        <v>253</v>
      </c>
      <c r="G102" s="93" t="s">
        <v>679</v>
      </c>
      <c r="H102" s="56" t="s">
        <v>811</v>
      </c>
    </row>
    <row r="103" spans="1:8" ht="15" customHeight="1" x14ac:dyDescent="0.25">
      <c r="A103" s="91" t="s">
        <v>652</v>
      </c>
      <c r="B103" s="91" t="s">
        <v>584</v>
      </c>
      <c r="C103" s="79" t="s">
        <v>135</v>
      </c>
      <c r="D103" s="79" t="s">
        <v>124</v>
      </c>
      <c r="E103" s="80" t="s">
        <v>131</v>
      </c>
      <c r="F103" s="80" t="s">
        <v>253</v>
      </c>
      <c r="G103" s="93" t="s">
        <v>680</v>
      </c>
      <c r="H103" s="56" t="s">
        <v>811</v>
      </c>
    </row>
    <row r="104" spans="1:8" ht="15" customHeight="1" x14ac:dyDescent="0.25">
      <c r="A104" s="91" t="s">
        <v>618</v>
      </c>
      <c r="B104" s="92" t="s">
        <v>668</v>
      </c>
      <c r="C104" s="79" t="s">
        <v>141</v>
      </c>
      <c r="D104" s="79" t="s">
        <v>127</v>
      </c>
      <c r="E104" s="79" t="s">
        <v>170</v>
      </c>
      <c r="F104" s="80" t="s">
        <v>253</v>
      </c>
      <c r="G104" s="93" t="s">
        <v>685</v>
      </c>
      <c r="H104" s="56" t="s">
        <v>821</v>
      </c>
    </row>
    <row r="105" spans="1:8" ht="15" customHeight="1" x14ac:dyDescent="0.25">
      <c r="A105" s="91" t="s">
        <v>658</v>
      </c>
      <c r="B105" s="91" t="s">
        <v>584</v>
      </c>
      <c r="C105" s="79" t="s">
        <v>135</v>
      </c>
      <c r="D105" s="79" t="s">
        <v>124</v>
      </c>
      <c r="E105" s="79" t="s">
        <v>131</v>
      </c>
      <c r="F105" s="80" t="s">
        <v>253</v>
      </c>
      <c r="G105" s="93" t="s">
        <v>680</v>
      </c>
      <c r="H105" s="114" t="s">
        <v>808</v>
      </c>
    </row>
    <row r="106" spans="1:8" ht="15" customHeight="1" x14ac:dyDescent="0.25">
      <c r="A106" s="91" t="s">
        <v>658</v>
      </c>
      <c r="B106" s="91" t="s">
        <v>492</v>
      </c>
      <c r="C106" s="79" t="s">
        <v>141</v>
      </c>
      <c r="D106" s="79" t="s">
        <v>124</v>
      </c>
      <c r="E106" s="79" t="s">
        <v>131</v>
      </c>
      <c r="F106" s="80" t="s">
        <v>253</v>
      </c>
      <c r="G106" s="93" t="s">
        <v>679</v>
      </c>
      <c r="H106" s="114" t="s">
        <v>808</v>
      </c>
    </row>
    <row r="107" spans="1:8" ht="15" customHeight="1" x14ac:dyDescent="0.25">
      <c r="A107" s="62" t="s">
        <v>484</v>
      </c>
      <c r="B107" s="62" t="s">
        <v>577</v>
      </c>
      <c r="C107" s="78" t="s">
        <v>141</v>
      </c>
      <c r="D107" s="78" t="s">
        <v>127</v>
      </c>
      <c r="E107" s="78" t="s">
        <v>170</v>
      </c>
      <c r="F107" s="78" t="s">
        <v>253</v>
      </c>
      <c r="G107" s="93" t="s">
        <v>685</v>
      </c>
      <c r="H107" s="56" t="s">
        <v>762</v>
      </c>
    </row>
    <row r="108" spans="1:8" ht="15" customHeight="1" x14ac:dyDescent="0.25">
      <c r="A108" s="83" t="s">
        <v>484</v>
      </c>
      <c r="B108" s="83" t="s">
        <v>536</v>
      </c>
      <c r="C108" s="78" t="s">
        <v>141</v>
      </c>
      <c r="D108" s="78" t="s">
        <v>127</v>
      </c>
      <c r="E108" s="78" t="s">
        <v>170</v>
      </c>
      <c r="F108" s="78" t="s">
        <v>253</v>
      </c>
      <c r="G108" s="93" t="s">
        <v>685</v>
      </c>
      <c r="H108" s="56" t="s">
        <v>762</v>
      </c>
    </row>
    <row r="109" spans="1:8" ht="15" customHeight="1" x14ac:dyDescent="0.25">
      <c r="A109" s="85" t="s">
        <v>484</v>
      </c>
      <c r="B109" s="86" t="s">
        <v>570</v>
      </c>
      <c r="C109" s="78" t="s">
        <v>135</v>
      </c>
      <c r="D109" s="78" t="s">
        <v>127</v>
      </c>
      <c r="E109" s="78" t="s">
        <v>170</v>
      </c>
      <c r="F109" s="78" t="s">
        <v>253</v>
      </c>
      <c r="G109" s="93" t="s">
        <v>681</v>
      </c>
      <c r="H109" s="56" t="s">
        <v>762</v>
      </c>
    </row>
    <row r="110" spans="1:8" ht="15" customHeight="1" x14ac:dyDescent="0.25">
      <c r="A110" s="62" t="s">
        <v>484</v>
      </c>
      <c r="B110" s="62" t="s">
        <v>574</v>
      </c>
      <c r="C110" s="78" t="s">
        <v>135</v>
      </c>
      <c r="D110" s="78" t="s">
        <v>127</v>
      </c>
      <c r="E110" s="78" t="s">
        <v>170</v>
      </c>
      <c r="F110" s="78" t="s">
        <v>253</v>
      </c>
      <c r="G110" s="93" t="s">
        <v>681</v>
      </c>
      <c r="H110" s="56" t="s">
        <v>762</v>
      </c>
    </row>
    <row r="111" spans="1:8" ht="15" customHeight="1" x14ac:dyDescent="0.25">
      <c r="A111" s="83" t="s">
        <v>484</v>
      </c>
      <c r="B111" s="83" t="s">
        <v>543</v>
      </c>
      <c r="C111" s="78" t="s">
        <v>141</v>
      </c>
      <c r="D111" s="78" t="s">
        <v>127</v>
      </c>
      <c r="E111" s="78" t="s">
        <v>170</v>
      </c>
      <c r="F111" s="78" t="s">
        <v>253</v>
      </c>
      <c r="G111" s="93" t="s">
        <v>685</v>
      </c>
      <c r="H111" s="56" t="s">
        <v>762</v>
      </c>
    </row>
    <row r="112" spans="1:8" ht="15" customHeight="1" x14ac:dyDescent="0.25">
      <c r="A112" s="62" t="s">
        <v>609</v>
      </c>
      <c r="B112" s="62" t="s">
        <v>172</v>
      </c>
      <c r="C112" s="78" t="s">
        <v>141</v>
      </c>
      <c r="D112" s="78" t="s">
        <v>127</v>
      </c>
      <c r="E112" s="78" t="s">
        <v>170</v>
      </c>
      <c r="F112" s="78" t="s">
        <v>253</v>
      </c>
      <c r="G112" s="93" t="s">
        <v>685</v>
      </c>
      <c r="H112" s="56" t="s">
        <v>821</v>
      </c>
    </row>
    <row r="113" spans="1:8" ht="15" customHeight="1" x14ac:dyDescent="0.25">
      <c r="A113" s="91" t="s">
        <v>619</v>
      </c>
      <c r="B113" s="91" t="s">
        <v>178</v>
      </c>
      <c r="C113" s="79" t="s">
        <v>141</v>
      </c>
      <c r="D113" s="79" t="s">
        <v>124</v>
      </c>
      <c r="E113" s="79" t="s">
        <v>170</v>
      </c>
      <c r="F113" s="80" t="s">
        <v>253</v>
      </c>
      <c r="G113" s="93" t="s">
        <v>685</v>
      </c>
      <c r="H113" s="56" t="s">
        <v>821</v>
      </c>
    </row>
    <row r="114" spans="1:8" ht="15" customHeight="1" x14ac:dyDescent="0.25">
      <c r="A114" s="91" t="s">
        <v>619</v>
      </c>
      <c r="B114" s="91" t="s">
        <v>549</v>
      </c>
      <c r="C114" s="79" t="s">
        <v>141</v>
      </c>
      <c r="D114" s="79" t="s">
        <v>124</v>
      </c>
      <c r="E114" s="79" t="s">
        <v>170</v>
      </c>
      <c r="F114" s="80" t="s">
        <v>253</v>
      </c>
      <c r="G114" s="93" t="s">
        <v>685</v>
      </c>
      <c r="H114" s="56" t="s">
        <v>821</v>
      </c>
    </row>
    <row r="115" spans="1:8" ht="15" customHeight="1" x14ac:dyDescent="0.25">
      <c r="A115" s="91" t="s">
        <v>619</v>
      </c>
      <c r="B115" s="91" t="s">
        <v>171</v>
      </c>
      <c r="C115" s="79" t="s">
        <v>141</v>
      </c>
      <c r="D115" s="79" t="s">
        <v>127</v>
      </c>
      <c r="E115" s="79" t="s">
        <v>170</v>
      </c>
      <c r="F115" s="80" t="s">
        <v>253</v>
      </c>
      <c r="G115" s="93" t="s">
        <v>685</v>
      </c>
      <c r="H115" s="56" t="s">
        <v>821</v>
      </c>
    </row>
    <row r="116" spans="1:8" ht="15" customHeight="1" x14ac:dyDescent="0.25">
      <c r="A116" s="84" t="s">
        <v>183</v>
      </c>
      <c r="B116" s="62" t="s">
        <v>169</v>
      </c>
      <c r="C116" s="78" t="s">
        <v>141</v>
      </c>
      <c r="D116" s="78" t="s">
        <v>127</v>
      </c>
      <c r="E116" s="78" t="s">
        <v>170</v>
      </c>
      <c r="F116" s="78" t="s">
        <v>253</v>
      </c>
      <c r="G116" s="93" t="s">
        <v>685</v>
      </c>
      <c r="H116" s="56" t="s">
        <v>821</v>
      </c>
    </row>
    <row r="117" spans="1:8" ht="15" customHeight="1" x14ac:dyDescent="0.25">
      <c r="A117" s="62" t="s">
        <v>183</v>
      </c>
      <c r="B117" s="88" t="s">
        <v>595</v>
      </c>
      <c r="C117" s="78" t="s">
        <v>141</v>
      </c>
      <c r="D117" s="80" t="s">
        <v>124</v>
      </c>
      <c r="E117" s="80" t="s">
        <v>170</v>
      </c>
      <c r="F117" s="80" t="s">
        <v>253</v>
      </c>
      <c r="G117" s="93" t="s">
        <v>685</v>
      </c>
      <c r="H117" s="56" t="s">
        <v>821</v>
      </c>
    </row>
    <row r="118" spans="1:8" ht="15" customHeight="1" x14ac:dyDescent="0.25">
      <c r="A118" s="84" t="s">
        <v>183</v>
      </c>
      <c r="B118" s="62" t="s">
        <v>182</v>
      </c>
      <c r="C118" s="78" t="s">
        <v>141</v>
      </c>
      <c r="D118" s="78" t="s">
        <v>127</v>
      </c>
      <c r="E118" s="78" t="s">
        <v>170</v>
      </c>
      <c r="F118" s="78" t="s">
        <v>253</v>
      </c>
      <c r="G118" s="93" t="s">
        <v>685</v>
      </c>
      <c r="H118" s="56" t="s">
        <v>821</v>
      </c>
    </row>
    <row r="119" spans="1:8" ht="15" customHeight="1" x14ac:dyDescent="0.25">
      <c r="A119" s="84" t="s">
        <v>183</v>
      </c>
      <c r="B119" s="62" t="s">
        <v>628</v>
      </c>
      <c r="C119" s="78" t="s">
        <v>135</v>
      </c>
      <c r="D119" s="78" t="s">
        <v>127</v>
      </c>
      <c r="E119" s="78" t="s">
        <v>170</v>
      </c>
      <c r="F119" s="78" t="s">
        <v>253</v>
      </c>
      <c r="G119" s="93" t="s">
        <v>681</v>
      </c>
      <c r="H119" s="56" t="s">
        <v>821</v>
      </c>
    </row>
    <row r="120" spans="1:8" ht="15" customHeight="1" x14ac:dyDescent="0.25">
      <c r="A120" s="83" t="s">
        <v>537</v>
      </c>
      <c r="B120" s="64" t="s">
        <v>569</v>
      </c>
      <c r="C120" s="78" t="s">
        <v>130</v>
      </c>
      <c r="D120" s="78" t="s">
        <v>127</v>
      </c>
      <c r="E120" s="78" t="s">
        <v>170</v>
      </c>
      <c r="F120" s="78" t="s">
        <v>253</v>
      </c>
      <c r="G120" s="93" t="s">
        <v>682</v>
      </c>
      <c r="H120" s="56" t="s">
        <v>821</v>
      </c>
    </row>
    <row r="121" spans="1:8" ht="15" customHeight="1" x14ac:dyDescent="0.25">
      <c r="A121" s="62" t="s">
        <v>188</v>
      </c>
      <c r="B121" s="62" t="s">
        <v>169</v>
      </c>
      <c r="C121" s="78" t="s">
        <v>141</v>
      </c>
      <c r="D121" s="78" t="s">
        <v>124</v>
      </c>
      <c r="E121" s="78" t="s">
        <v>131</v>
      </c>
      <c r="F121" s="78" t="s">
        <v>253</v>
      </c>
      <c r="G121" s="93" t="s">
        <v>679</v>
      </c>
      <c r="H121" s="114" t="s">
        <v>896</v>
      </c>
    </row>
    <row r="122" spans="1:8" ht="15" customHeight="1" x14ac:dyDescent="0.25">
      <c r="A122" s="62" t="s">
        <v>188</v>
      </c>
      <c r="B122" s="62" t="s">
        <v>189</v>
      </c>
      <c r="C122" s="78" t="s">
        <v>135</v>
      </c>
      <c r="D122" s="78" t="s">
        <v>124</v>
      </c>
      <c r="E122" s="78" t="s">
        <v>131</v>
      </c>
      <c r="F122" s="78" t="s">
        <v>253</v>
      </c>
      <c r="G122" s="93" t="s">
        <v>680</v>
      </c>
      <c r="H122" s="114" t="s">
        <v>896</v>
      </c>
    </row>
    <row r="123" spans="1:8" ht="15" customHeight="1" x14ac:dyDescent="0.25">
      <c r="A123" s="62" t="s">
        <v>188</v>
      </c>
      <c r="B123" s="97" t="s">
        <v>689</v>
      </c>
      <c r="C123" s="78" t="s">
        <v>141</v>
      </c>
      <c r="D123" s="78" t="s">
        <v>124</v>
      </c>
      <c r="E123" s="78" t="s">
        <v>131</v>
      </c>
      <c r="F123" s="78" t="s">
        <v>253</v>
      </c>
      <c r="G123" s="93" t="s">
        <v>679</v>
      </c>
      <c r="H123" s="114" t="s">
        <v>896</v>
      </c>
    </row>
    <row r="124" spans="1:8" ht="15" customHeight="1" x14ac:dyDescent="0.25">
      <c r="A124" s="91" t="s">
        <v>655</v>
      </c>
      <c r="B124" s="91" t="s">
        <v>169</v>
      </c>
      <c r="C124" s="79" t="s">
        <v>141</v>
      </c>
      <c r="D124" s="79" t="s">
        <v>124</v>
      </c>
      <c r="E124" s="79" t="s">
        <v>131</v>
      </c>
      <c r="F124" s="80" t="s">
        <v>253</v>
      </c>
      <c r="G124" s="93" t="s">
        <v>679</v>
      </c>
      <c r="H124" s="114" t="s">
        <v>896</v>
      </c>
    </row>
    <row r="125" spans="1:8" ht="15" customHeight="1" x14ac:dyDescent="0.25">
      <c r="A125" s="91" t="s">
        <v>655</v>
      </c>
      <c r="B125" s="91" t="s">
        <v>584</v>
      </c>
      <c r="C125" s="79" t="s">
        <v>135</v>
      </c>
      <c r="D125" s="79" t="s">
        <v>124</v>
      </c>
      <c r="E125" s="80" t="s">
        <v>131</v>
      </c>
      <c r="F125" s="80" t="s">
        <v>253</v>
      </c>
      <c r="G125" s="93" t="s">
        <v>680</v>
      </c>
      <c r="H125" s="114" t="s">
        <v>896</v>
      </c>
    </row>
    <row r="126" spans="1:8" ht="15" customHeight="1" x14ac:dyDescent="0.25">
      <c r="A126" s="91" t="s">
        <v>655</v>
      </c>
      <c r="B126" s="91" t="s">
        <v>578</v>
      </c>
      <c r="C126" s="79" t="s">
        <v>141</v>
      </c>
      <c r="D126" s="79" t="s">
        <v>124</v>
      </c>
      <c r="E126" s="79" t="s">
        <v>131</v>
      </c>
      <c r="F126" s="80" t="s">
        <v>253</v>
      </c>
      <c r="G126" s="93" t="s">
        <v>679</v>
      </c>
      <c r="H126" s="114" t="s">
        <v>808</v>
      </c>
    </row>
    <row r="127" spans="1:8" ht="15" customHeight="1" x14ac:dyDescent="0.25">
      <c r="A127" s="91" t="s">
        <v>655</v>
      </c>
      <c r="B127" s="91" t="s">
        <v>550</v>
      </c>
      <c r="C127" s="79" t="s">
        <v>141</v>
      </c>
      <c r="D127" s="79" t="s">
        <v>124</v>
      </c>
      <c r="E127" s="79" t="s">
        <v>131</v>
      </c>
      <c r="F127" s="80" t="s">
        <v>253</v>
      </c>
      <c r="G127" s="93" t="s">
        <v>679</v>
      </c>
      <c r="H127" s="114" t="s">
        <v>896</v>
      </c>
    </row>
    <row r="128" spans="1:8" ht="15" customHeight="1" x14ac:dyDescent="0.25">
      <c r="A128" s="62" t="s">
        <v>674</v>
      </c>
      <c r="B128" s="62" t="s">
        <v>517</v>
      </c>
      <c r="C128" s="78" t="s">
        <v>141</v>
      </c>
      <c r="D128" s="78" t="s">
        <v>124</v>
      </c>
      <c r="E128" s="78" t="s">
        <v>170</v>
      </c>
      <c r="F128" s="78" t="s">
        <v>253</v>
      </c>
      <c r="G128" s="93" t="s">
        <v>685</v>
      </c>
      <c r="H128" s="56" t="s">
        <v>896</v>
      </c>
    </row>
    <row r="129" spans="1:8" ht="15" customHeight="1" x14ac:dyDescent="0.25">
      <c r="A129" s="62" t="s">
        <v>674</v>
      </c>
      <c r="B129" s="62" t="s">
        <v>190</v>
      </c>
      <c r="C129" s="78" t="s">
        <v>141</v>
      </c>
      <c r="D129" s="78" t="s">
        <v>124</v>
      </c>
      <c r="E129" s="78" t="s">
        <v>170</v>
      </c>
      <c r="F129" s="78" t="s">
        <v>253</v>
      </c>
      <c r="G129" s="93" t="s">
        <v>685</v>
      </c>
      <c r="H129" s="56" t="s">
        <v>896</v>
      </c>
    </row>
    <row r="130" spans="1:8" ht="15" customHeight="1" x14ac:dyDescent="0.25">
      <c r="A130" s="84" t="s">
        <v>485</v>
      </c>
      <c r="B130" s="62" t="s">
        <v>500</v>
      </c>
      <c r="C130" s="78" t="s">
        <v>141</v>
      </c>
      <c r="D130" s="78" t="s">
        <v>124</v>
      </c>
      <c r="E130" s="78" t="s">
        <v>153</v>
      </c>
      <c r="F130" s="78" t="s">
        <v>253</v>
      </c>
      <c r="G130" s="93" t="s">
        <v>679</v>
      </c>
      <c r="H130" s="56" t="s">
        <v>817</v>
      </c>
    </row>
    <row r="131" spans="1:8" ht="15" customHeight="1" x14ac:dyDescent="0.25">
      <c r="A131" s="84" t="s">
        <v>485</v>
      </c>
      <c r="B131" s="62" t="s">
        <v>207</v>
      </c>
      <c r="C131" s="78" t="s">
        <v>141</v>
      </c>
      <c r="D131" s="78" t="s">
        <v>124</v>
      </c>
      <c r="E131" s="78" t="s">
        <v>153</v>
      </c>
      <c r="F131" s="78" t="s">
        <v>253</v>
      </c>
      <c r="G131" s="93" t="s">
        <v>679</v>
      </c>
      <c r="H131" s="56" t="s">
        <v>817</v>
      </c>
    </row>
    <row r="132" spans="1:8" ht="15" customHeight="1" x14ac:dyDescent="0.25">
      <c r="A132" s="84" t="s">
        <v>485</v>
      </c>
      <c r="B132" s="62" t="s">
        <v>193</v>
      </c>
      <c r="C132" s="78" t="s">
        <v>135</v>
      </c>
      <c r="D132" s="78" t="s">
        <v>124</v>
      </c>
      <c r="E132" s="78" t="s">
        <v>153</v>
      </c>
      <c r="F132" s="78" t="s">
        <v>253</v>
      </c>
      <c r="G132" s="93" t="s">
        <v>680</v>
      </c>
      <c r="H132" s="56" t="s">
        <v>817</v>
      </c>
    </row>
    <row r="133" spans="1:8" ht="15" customHeight="1" x14ac:dyDescent="0.25">
      <c r="A133" s="84" t="s">
        <v>504</v>
      </c>
      <c r="B133" s="62" t="s">
        <v>558</v>
      </c>
      <c r="C133" s="78" t="s">
        <v>130</v>
      </c>
      <c r="D133" s="78" t="s">
        <v>127</v>
      </c>
      <c r="E133" s="78" t="s">
        <v>153</v>
      </c>
      <c r="F133" s="78" t="s">
        <v>253</v>
      </c>
      <c r="G133" s="93" t="s">
        <v>682</v>
      </c>
      <c r="H133" s="56" t="s">
        <v>814</v>
      </c>
    </row>
    <row r="134" spans="1:8" ht="15" customHeight="1" x14ac:dyDescent="0.25">
      <c r="A134" s="63" t="s">
        <v>504</v>
      </c>
      <c r="B134" s="88" t="s">
        <v>586</v>
      </c>
      <c r="C134" s="78" t="s">
        <v>141</v>
      </c>
      <c r="D134" s="78" t="s">
        <v>124</v>
      </c>
      <c r="E134" s="79" t="s">
        <v>153</v>
      </c>
      <c r="F134" s="80" t="s">
        <v>253</v>
      </c>
      <c r="G134" s="93" t="s">
        <v>679</v>
      </c>
      <c r="H134" s="56" t="s">
        <v>817</v>
      </c>
    </row>
    <row r="135" spans="1:8" ht="15" customHeight="1" x14ac:dyDescent="0.25">
      <c r="A135" s="84" t="s">
        <v>504</v>
      </c>
      <c r="B135" s="62" t="s">
        <v>561</v>
      </c>
      <c r="C135" s="78" t="s">
        <v>130</v>
      </c>
      <c r="D135" s="78" t="s">
        <v>127</v>
      </c>
      <c r="E135" s="78" t="s">
        <v>153</v>
      </c>
      <c r="F135" s="78" t="s">
        <v>253</v>
      </c>
      <c r="G135" s="93" t="s">
        <v>682</v>
      </c>
      <c r="H135" s="56" t="s">
        <v>817</v>
      </c>
    </row>
    <row r="136" spans="1:8" ht="15" customHeight="1" x14ac:dyDescent="0.25">
      <c r="A136" s="84" t="s">
        <v>504</v>
      </c>
      <c r="B136" s="62" t="s">
        <v>193</v>
      </c>
      <c r="C136" s="78" t="s">
        <v>135</v>
      </c>
      <c r="D136" s="78" t="s">
        <v>124</v>
      </c>
      <c r="E136" s="78" t="s">
        <v>153</v>
      </c>
      <c r="F136" s="78" t="s">
        <v>253</v>
      </c>
      <c r="G136" s="93" t="s">
        <v>680</v>
      </c>
      <c r="H136" s="56" t="s">
        <v>817</v>
      </c>
    </row>
    <row r="137" spans="1:8" ht="15" customHeight="1" x14ac:dyDescent="0.25">
      <c r="A137" s="62" t="s">
        <v>191</v>
      </c>
      <c r="B137" s="88" t="s">
        <v>588</v>
      </c>
      <c r="C137" s="78" t="s">
        <v>141</v>
      </c>
      <c r="D137" s="80" t="s">
        <v>124</v>
      </c>
      <c r="E137" s="80" t="s">
        <v>125</v>
      </c>
      <c r="F137" s="80" t="s">
        <v>253</v>
      </c>
      <c r="G137" s="93" t="s">
        <v>679</v>
      </c>
      <c r="H137" s="56" t="s">
        <v>818</v>
      </c>
    </row>
    <row r="138" spans="1:8" ht="15" customHeight="1" x14ac:dyDescent="0.25">
      <c r="A138" s="62" t="s">
        <v>191</v>
      </c>
      <c r="B138" s="62" t="s">
        <v>492</v>
      </c>
      <c r="C138" s="78" t="s">
        <v>141</v>
      </c>
      <c r="D138" s="78" t="s">
        <v>124</v>
      </c>
      <c r="E138" s="78" t="s">
        <v>131</v>
      </c>
      <c r="F138" s="78" t="s">
        <v>253</v>
      </c>
      <c r="G138" s="93" t="s">
        <v>679</v>
      </c>
      <c r="H138" s="56" t="s">
        <v>808</v>
      </c>
    </row>
    <row r="139" spans="1:8" ht="15" customHeight="1" x14ac:dyDescent="0.25">
      <c r="A139" s="62" t="s">
        <v>599</v>
      </c>
      <c r="B139" s="90" t="s">
        <v>603</v>
      </c>
      <c r="C139" s="80" t="s">
        <v>141</v>
      </c>
      <c r="D139" s="80" t="s">
        <v>124</v>
      </c>
      <c r="E139" s="79" t="s">
        <v>131</v>
      </c>
      <c r="F139" s="80" t="s">
        <v>253</v>
      </c>
      <c r="G139" s="93" t="s">
        <v>679</v>
      </c>
      <c r="H139" s="56" t="s">
        <v>818</v>
      </c>
    </row>
    <row r="140" spans="1:8" ht="15" customHeight="1" x14ac:dyDescent="0.25">
      <c r="A140" s="91" t="s">
        <v>643</v>
      </c>
      <c r="B140" s="91" t="s">
        <v>644</v>
      </c>
      <c r="C140" s="80" t="s">
        <v>135</v>
      </c>
      <c r="D140" s="79" t="s">
        <v>124</v>
      </c>
      <c r="E140" s="80" t="s">
        <v>153</v>
      </c>
      <c r="F140" s="80" t="s">
        <v>253</v>
      </c>
      <c r="G140" s="93" t="s">
        <v>680</v>
      </c>
      <c r="H140" s="56" t="s">
        <v>807</v>
      </c>
    </row>
    <row r="141" spans="1:8" ht="15" customHeight="1" x14ac:dyDescent="0.25">
      <c r="A141" s="62" t="s">
        <v>498</v>
      </c>
      <c r="B141" s="62" t="s">
        <v>229</v>
      </c>
      <c r="C141" s="78" t="s">
        <v>141</v>
      </c>
      <c r="D141" s="78" t="s">
        <v>124</v>
      </c>
      <c r="E141" s="78" t="s">
        <v>131</v>
      </c>
      <c r="F141" s="78" t="s">
        <v>253</v>
      </c>
      <c r="G141" s="93" t="s">
        <v>679</v>
      </c>
      <c r="H141" s="114" t="s">
        <v>811</v>
      </c>
    </row>
    <row r="142" spans="1:8" ht="15" customHeight="1" x14ac:dyDescent="0.25">
      <c r="A142" s="77" t="s">
        <v>661</v>
      </c>
      <c r="B142" s="77" t="s">
        <v>220</v>
      </c>
      <c r="C142" s="79" t="s">
        <v>130</v>
      </c>
      <c r="D142" s="79" t="s">
        <v>127</v>
      </c>
      <c r="E142" s="79" t="s">
        <v>153</v>
      </c>
      <c r="F142" s="80" t="s">
        <v>253</v>
      </c>
      <c r="G142" s="93" t="s">
        <v>682</v>
      </c>
      <c r="H142" s="56" t="s">
        <v>762</v>
      </c>
    </row>
    <row r="143" spans="1:8" ht="15" customHeight="1" x14ac:dyDescent="0.25">
      <c r="A143" s="77" t="s">
        <v>661</v>
      </c>
      <c r="B143" s="77" t="s">
        <v>544</v>
      </c>
      <c r="C143" s="79" t="s">
        <v>141</v>
      </c>
      <c r="D143" s="78" t="s">
        <v>124</v>
      </c>
      <c r="E143" s="79" t="s">
        <v>153</v>
      </c>
      <c r="F143" s="80" t="s">
        <v>253</v>
      </c>
      <c r="G143" s="93" t="s">
        <v>679</v>
      </c>
      <c r="H143" s="56" t="s">
        <v>762</v>
      </c>
    </row>
    <row r="144" spans="1:8" ht="15" customHeight="1" x14ac:dyDescent="0.25">
      <c r="A144" s="77" t="s">
        <v>661</v>
      </c>
      <c r="B144" s="77" t="s">
        <v>159</v>
      </c>
      <c r="C144" s="79" t="s">
        <v>130</v>
      </c>
      <c r="D144" s="79" t="s">
        <v>124</v>
      </c>
      <c r="E144" s="79" t="s">
        <v>153</v>
      </c>
      <c r="F144" s="80" t="s">
        <v>253</v>
      </c>
      <c r="G144" s="93" t="s">
        <v>682</v>
      </c>
      <c r="H144" s="56" t="s">
        <v>762</v>
      </c>
    </row>
    <row r="145" spans="1:8" ht="15" customHeight="1" x14ac:dyDescent="0.25">
      <c r="A145" s="77" t="s">
        <v>661</v>
      </c>
      <c r="B145" s="77" t="s">
        <v>199</v>
      </c>
      <c r="C145" s="79" t="s">
        <v>135</v>
      </c>
      <c r="D145" s="79" t="s">
        <v>124</v>
      </c>
      <c r="E145" s="80" t="s">
        <v>153</v>
      </c>
      <c r="F145" s="80" t="s">
        <v>253</v>
      </c>
      <c r="G145" s="93" t="s">
        <v>677</v>
      </c>
      <c r="H145" s="56" t="s">
        <v>762</v>
      </c>
    </row>
    <row r="146" spans="1:8" ht="15" customHeight="1" x14ac:dyDescent="0.25">
      <c r="A146" s="77" t="s">
        <v>661</v>
      </c>
      <c r="B146" s="77" t="s">
        <v>542</v>
      </c>
      <c r="C146" s="79" t="s">
        <v>130</v>
      </c>
      <c r="D146" s="79" t="s">
        <v>127</v>
      </c>
      <c r="E146" s="79" t="s">
        <v>153</v>
      </c>
      <c r="F146" s="80" t="s">
        <v>253</v>
      </c>
      <c r="G146" s="93" t="s">
        <v>682</v>
      </c>
      <c r="H146" s="56" t="s">
        <v>762</v>
      </c>
    </row>
    <row r="147" spans="1:8" ht="15" customHeight="1" x14ac:dyDescent="0.25">
      <c r="A147" s="77" t="s">
        <v>661</v>
      </c>
      <c r="B147" s="77" t="s">
        <v>483</v>
      </c>
      <c r="C147" s="79" t="s">
        <v>130</v>
      </c>
      <c r="D147" s="79" t="s">
        <v>124</v>
      </c>
      <c r="E147" s="79" t="s">
        <v>153</v>
      </c>
      <c r="F147" s="80" t="s">
        <v>253</v>
      </c>
      <c r="G147" s="93" t="s">
        <v>682</v>
      </c>
      <c r="H147" s="56" t="s">
        <v>762</v>
      </c>
    </row>
    <row r="148" spans="1:8" ht="15" customHeight="1" x14ac:dyDescent="0.25">
      <c r="A148" s="77" t="s">
        <v>661</v>
      </c>
      <c r="B148" s="77" t="s">
        <v>161</v>
      </c>
      <c r="C148" s="79" t="s">
        <v>130</v>
      </c>
      <c r="D148" s="79" t="s">
        <v>127</v>
      </c>
      <c r="E148" s="79" t="s">
        <v>153</v>
      </c>
      <c r="F148" s="80" t="s">
        <v>253</v>
      </c>
      <c r="G148" s="93" t="s">
        <v>682</v>
      </c>
      <c r="H148" s="56" t="s">
        <v>762</v>
      </c>
    </row>
    <row r="149" spans="1:8" ht="15" customHeight="1" x14ac:dyDescent="0.25">
      <c r="A149" s="62" t="s">
        <v>496</v>
      </c>
      <c r="B149" s="62" t="s">
        <v>516</v>
      </c>
      <c r="C149" s="78" t="s">
        <v>132</v>
      </c>
      <c r="D149" s="78" t="s">
        <v>124</v>
      </c>
      <c r="E149" s="78" t="s">
        <v>153</v>
      </c>
      <c r="F149" s="78" t="s">
        <v>253</v>
      </c>
      <c r="G149" s="93" t="s">
        <v>675</v>
      </c>
      <c r="H149" s="56" t="s">
        <v>807</v>
      </c>
    </row>
    <row r="150" spans="1:8" ht="15" customHeight="1" x14ac:dyDescent="0.25">
      <c r="A150" s="62" t="s">
        <v>496</v>
      </c>
      <c r="B150" s="62" t="s">
        <v>195</v>
      </c>
      <c r="C150" s="78" t="s">
        <v>123</v>
      </c>
      <c r="D150" s="78" t="s">
        <v>124</v>
      </c>
      <c r="E150" s="78" t="s">
        <v>153</v>
      </c>
      <c r="F150" s="78" t="s">
        <v>253</v>
      </c>
      <c r="G150" s="93" t="s">
        <v>684</v>
      </c>
      <c r="H150" s="56" t="s">
        <v>807</v>
      </c>
    </row>
    <row r="151" spans="1:8" ht="15" customHeight="1" x14ac:dyDescent="0.25">
      <c r="A151" s="62" t="s">
        <v>496</v>
      </c>
      <c r="B151" s="87" t="s">
        <v>580</v>
      </c>
      <c r="C151" s="78" t="s">
        <v>135</v>
      </c>
      <c r="D151" s="78" t="s">
        <v>124</v>
      </c>
      <c r="E151" s="78" t="s">
        <v>153</v>
      </c>
      <c r="F151" s="78" t="s">
        <v>253</v>
      </c>
      <c r="G151" s="93" t="s">
        <v>678</v>
      </c>
      <c r="H151" s="56" t="s">
        <v>807</v>
      </c>
    </row>
    <row r="152" spans="1:8" ht="15" customHeight="1" x14ac:dyDescent="0.25">
      <c r="A152" s="91" t="s">
        <v>496</v>
      </c>
      <c r="B152" s="91" t="s">
        <v>639</v>
      </c>
      <c r="C152" s="80" t="s">
        <v>135</v>
      </c>
      <c r="D152" s="79" t="s">
        <v>124</v>
      </c>
      <c r="E152" s="80" t="s">
        <v>131</v>
      </c>
      <c r="F152" s="80" t="s">
        <v>253</v>
      </c>
      <c r="G152" s="93" t="s">
        <v>680</v>
      </c>
      <c r="H152" s="56" t="s">
        <v>807</v>
      </c>
    </row>
    <row r="153" spans="1:8" ht="15" customHeight="1" x14ac:dyDescent="0.25">
      <c r="A153" s="63" t="s">
        <v>198</v>
      </c>
      <c r="B153" s="67" t="s">
        <v>606</v>
      </c>
      <c r="C153" s="80" t="s">
        <v>123</v>
      </c>
      <c r="D153" s="80" t="s">
        <v>124</v>
      </c>
      <c r="E153" s="79" t="s">
        <v>131</v>
      </c>
      <c r="F153" s="80" t="s">
        <v>253</v>
      </c>
      <c r="G153" s="93" t="s">
        <v>684</v>
      </c>
      <c r="H153" s="114" t="s">
        <v>808</v>
      </c>
    </row>
    <row r="154" spans="1:8" ht="15" customHeight="1" x14ac:dyDescent="0.25">
      <c r="A154" s="62" t="s">
        <v>198</v>
      </c>
      <c r="B154" s="62" t="s">
        <v>555</v>
      </c>
      <c r="C154" s="78" t="s">
        <v>135</v>
      </c>
      <c r="D154" s="78" t="s">
        <v>124</v>
      </c>
      <c r="E154" s="78" t="s">
        <v>153</v>
      </c>
      <c r="F154" s="78" t="s">
        <v>253</v>
      </c>
      <c r="G154" s="93" t="s">
        <v>680</v>
      </c>
      <c r="H154" s="114" t="s">
        <v>808</v>
      </c>
    </row>
    <row r="155" spans="1:8" ht="15" customHeight="1" x14ac:dyDescent="0.25">
      <c r="A155" s="62" t="s">
        <v>493</v>
      </c>
      <c r="B155" s="62" t="s">
        <v>196</v>
      </c>
      <c r="C155" s="78" t="s">
        <v>141</v>
      </c>
      <c r="D155" s="78" t="s">
        <v>124</v>
      </c>
      <c r="E155" s="78" t="s">
        <v>153</v>
      </c>
      <c r="F155" s="78" t="s">
        <v>253</v>
      </c>
      <c r="G155" s="93" t="s">
        <v>679</v>
      </c>
      <c r="H155" s="114" t="s">
        <v>808</v>
      </c>
    </row>
    <row r="156" spans="1:8" ht="15" customHeight="1" x14ac:dyDescent="0.25">
      <c r="A156" s="83" t="s">
        <v>575</v>
      </c>
      <c r="B156" s="83" t="s">
        <v>546</v>
      </c>
      <c r="C156" s="78" t="s">
        <v>123</v>
      </c>
      <c r="D156" s="78" t="s">
        <v>127</v>
      </c>
      <c r="E156" s="78" t="s">
        <v>170</v>
      </c>
      <c r="F156" s="78" t="s">
        <v>253</v>
      </c>
      <c r="G156" s="93" t="s">
        <v>682</v>
      </c>
      <c r="H156" s="56" t="s">
        <v>762</v>
      </c>
    </row>
    <row r="157" spans="1:8" ht="15" customHeight="1" x14ac:dyDescent="0.25">
      <c r="A157" s="62" t="s">
        <v>201</v>
      </c>
      <c r="B157" s="62" t="s">
        <v>126</v>
      </c>
      <c r="C157" s="78" t="s">
        <v>130</v>
      </c>
      <c r="D157" s="78" t="s">
        <v>127</v>
      </c>
      <c r="E157" s="78" t="s">
        <v>125</v>
      </c>
      <c r="F157" s="78" t="s">
        <v>253</v>
      </c>
      <c r="G157" s="93" t="s">
        <v>682</v>
      </c>
      <c r="H157" s="56" t="s">
        <v>809</v>
      </c>
    </row>
    <row r="158" spans="1:8" ht="15" customHeight="1" x14ac:dyDescent="0.25">
      <c r="A158" s="91" t="s">
        <v>201</v>
      </c>
      <c r="B158" s="91" t="s">
        <v>634</v>
      </c>
      <c r="C158" s="78" t="s">
        <v>123</v>
      </c>
      <c r="D158" s="78" t="s">
        <v>127</v>
      </c>
      <c r="E158" s="78" t="s">
        <v>125</v>
      </c>
      <c r="F158" s="80" t="s">
        <v>253</v>
      </c>
      <c r="G158" s="93" t="s">
        <v>682</v>
      </c>
      <c r="H158" s="56" t="s">
        <v>809</v>
      </c>
    </row>
    <row r="159" spans="1:8" ht="15" customHeight="1" x14ac:dyDescent="0.25">
      <c r="A159" s="62" t="s">
        <v>600</v>
      </c>
      <c r="B159" s="62" t="s">
        <v>126</v>
      </c>
      <c r="C159" s="80" t="s">
        <v>130</v>
      </c>
      <c r="D159" s="80" t="s">
        <v>127</v>
      </c>
      <c r="E159" s="78" t="s">
        <v>125</v>
      </c>
      <c r="F159" s="80" t="s">
        <v>253</v>
      </c>
      <c r="G159" s="93" t="s">
        <v>682</v>
      </c>
      <c r="H159" s="56" t="s">
        <v>809</v>
      </c>
    </row>
    <row r="160" spans="1:8" ht="15" customHeight="1" x14ac:dyDescent="0.25">
      <c r="A160" s="62" t="s">
        <v>202</v>
      </c>
      <c r="B160" s="62" t="s">
        <v>488</v>
      </c>
      <c r="C160" s="78" t="s">
        <v>141</v>
      </c>
      <c r="D160" s="78" t="s">
        <v>124</v>
      </c>
      <c r="E160" s="78" t="s">
        <v>131</v>
      </c>
      <c r="F160" s="78" t="s">
        <v>253</v>
      </c>
      <c r="G160" s="93" t="s">
        <v>679</v>
      </c>
      <c r="H160" s="56" t="s">
        <v>812</v>
      </c>
    </row>
    <row r="161" spans="1:8" ht="15" customHeight="1" x14ac:dyDescent="0.25">
      <c r="A161" s="63" t="s">
        <v>202</v>
      </c>
      <c r="B161" s="67" t="s">
        <v>608</v>
      </c>
      <c r="C161" s="80" t="s">
        <v>141</v>
      </c>
      <c r="D161" s="80" t="s">
        <v>124</v>
      </c>
      <c r="E161" s="79" t="s">
        <v>131</v>
      </c>
      <c r="F161" s="80" t="s">
        <v>253</v>
      </c>
      <c r="G161" s="93" t="s">
        <v>679</v>
      </c>
      <c r="H161" s="56" t="s">
        <v>812</v>
      </c>
    </row>
    <row r="162" spans="1:8" ht="15" customHeight="1" x14ac:dyDescent="0.25">
      <c r="A162" s="62" t="s">
        <v>202</v>
      </c>
      <c r="B162" s="83" t="s">
        <v>142</v>
      </c>
      <c r="C162" s="78" t="s">
        <v>135</v>
      </c>
      <c r="D162" s="78" t="s">
        <v>124</v>
      </c>
      <c r="E162" s="78" t="s">
        <v>131</v>
      </c>
      <c r="F162" s="78" t="s">
        <v>253</v>
      </c>
      <c r="G162" s="93" t="s">
        <v>678</v>
      </c>
      <c r="H162" s="56" t="s">
        <v>812</v>
      </c>
    </row>
    <row r="163" spans="1:8" ht="15" customHeight="1" x14ac:dyDescent="0.25">
      <c r="A163" s="62" t="s">
        <v>202</v>
      </c>
      <c r="B163" s="62" t="s">
        <v>165</v>
      </c>
      <c r="C163" s="78" t="s">
        <v>166</v>
      </c>
      <c r="D163" s="78" t="s">
        <v>124</v>
      </c>
      <c r="E163" s="78" t="s">
        <v>131</v>
      </c>
      <c r="F163" s="78" t="s">
        <v>253</v>
      </c>
      <c r="G163" s="93" t="s">
        <v>670</v>
      </c>
      <c r="H163" s="56" t="s">
        <v>816</v>
      </c>
    </row>
    <row r="164" spans="1:8" ht="15" customHeight="1" x14ac:dyDescent="0.25">
      <c r="A164" s="62" t="s">
        <v>202</v>
      </c>
      <c r="B164" s="62" t="s">
        <v>552</v>
      </c>
      <c r="C164" s="78" t="s">
        <v>132</v>
      </c>
      <c r="D164" s="78" t="s">
        <v>124</v>
      </c>
      <c r="E164" s="78" t="s">
        <v>131</v>
      </c>
      <c r="F164" s="78" t="s">
        <v>253</v>
      </c>
      <c r="G164" s="93" t="s">
        <v>673</v>
      </c>
      <c r="H164" s="56" t="s">
        <v>819</v>
      </c>
    </row>
    <row r="165" spans="1:8" ht="15" customHeight="1" x14ac:dyDescent="0.25">
      <c r="A165" s="62" t="s">
        <v>202</v>
      </c>
      <c r="B165" s="62" t="s">
        <v>205</v>
      </c>
      <c r="C165" s="78" t="s">
        <v>132</v>
      </c>
      <c r="D165" s="78" t="s">
        <v>124</v>
      </c>
      <c r="E165" s="78" t="s">
        <v>131</v>
      </c>
      <c r="F165" s="78" t="s">
        <v>253</v>
      </c>
      <c r="G165" s="93" t="s">
        <v>673</v>
      </c>
      <c r="H165" s="56" t="s">
        <v>816</v>
      </c>
    </row>
    <row r="166" spans="1:8" ht="15" customHeight="1" x14ac:dyDescent="0.25">
      <c r="A166" s="63" t="s">
        <v>202</v>
      </c>
      <c r="B166" s="67" t="s">
        <v>607</v>
      </c>
      <c r="C166" s="80" t="s">
        <v>135</v>
      </c>
      <c r="D166" s="80" t="s">
        <v>124</v>
      </c>
      <c r="E166" s="79" t="s">
        <v>131</v>
      </c>
      <c r="F166" s="80" t="s">
        <v>253</v>
      </c>
      <c r="G166" s="93" t="s">
        <v>678</v>
      </c>
      <c r="H166" s="56" t="s">
        <v>807</v>
      </c>
    </row>
    <row r="167" spans="1:8" ht="15" customHeight="1" x14ac:dyDescent="0.25">
      <c r="A167" s="62" t="s">
        <v>202</v>
      </c>
      <c r="B167" s="62" t="s">
        <v>206</v>
      </c>
      <c r="C167" s="78" t="s">
        <v>135</v>
      </c>
      <c r="D167" s="78" t="s">
        <v>124</v>
      </c>
      <c r="E167" s="78" t="s">
        <v>131</v>
      </c>
      <c r="F167" s="78" t="s">
        <v>253</v>
      </c>
      <c r="G167" s="93" t="s">
        <v>678</v>
      </c>
      <c r="H167" s="56" t="s">
        <v>815</v>
      </c>
    </row>
    <row r="168" spans="1:8" ht="15" customHeight="1" x14ac:dyDescent="0.25">
      <c r="A168" s="62" t="s">
        <v>202</v>
      </c>
      <c r="B168" s="84" t="s">
        <v>210</v>
      </c>
      <c r="C168" s="78" t="s">
        <v>123</v>
      </c>
      <c r="D168" s="78" t="s">
        <v>124</v>
      </c>
      <c r="E168" s="78" t="s">
        <v>131</v>
      </c>
      <c r="F168" s="78" t="s">
        <v>253</v>
      </c>
      <c r="G168" s="93" t="s">
        <v>684</v>
      </c>
      <c r="H168" s="114" t="s">
        <v>896</v>
      </c>
    </row>
    <row r="169" spans="1:8" ht="15" customHeight="1" x14ac:dyDescent="0.25">
      <c r="A169" s="62" t="s">
        <v>202</v>
      </c>
      <c r="B169" s="84" t="s">
        <v>211</v>
      </c>
      <c r="C169" s="78" t="s">
        <v>123</v>
      </c>
      <c r="D169" s="78" t="s">
        <v>124</v>
      </c>
      <c r="E169" s="78" t="s">
        <v>131</v>
      </c>
      <c r="F169" s="78" t="s">
        <v>253</v>
      </c>
      <c r="G169" s="93" t="s">
        <v>684</v>
      </c>
      <c r="H169" s="114" t="s">
        <v>896</v>
      </c>
    </row>
    <row r="170" spans="1:8" ht="15" customHeight="1" x14ac:dyDescent="0.25">
      <c r="A170" s="62" t="s">
        <v>202</v>
      </c>
      <c r="B170" s="84" t="s">
        <v>212</v>
      </c>
      <c r="C170" s="78" t="s">
        <v>166</v>
      </c>
      <c r="D170" s="78" t="s">
        <v>124</v>
      </c>
      <c r="E170" s="78" t="s">
        <v>131</v>
      </c>
      <c r="F170" s="78" t="s">
        <v>253</v>
      </c>
      <c r="G170" s="93" t="s">
        <v>671</v>
      </c>
      <c r="H170" s="56" t="s">
        <v>816</v>
      </c>
    </row>
    <row r="171" spans="1:8" ht="15" customHeight="1" x14ac:dyDescent="0.25">
      <c r="A171" s="62" t="s">
        <v>202</v>
      </c>
      <c r="B171" s="84" t="s">
        <v>197</v>
      </c>
      <c r="C171" s="78" t="s">
        <v>130</v>
      </c>
      <c r="D171" s="78" t="s">
        <v>127</v>
      </c>
      <c r="E171" s="78" t="s">
        <v>153</v>
      </c>
      <c r="F171" s="78" t="s">
        <v>253</v>
      </c>
      <c r="G171" s="93" t="s">
        <v>682</v>
      </c>
      <c r="H171" s="93"/>
    </row>
    <row r="172" spans="1:8" ht="15" customHeight="1" x14ac:dyDescent="0.25">
      <c r="A172" s="62" t="s">
        <v>202</v>
      </c>
      <c r="B172" s="84" t="s">
        <v>213</v>
      </c>
      <c r="C172" s="78" t="s">
        <v>132</v>
      </c>
      <c r="D172" s="78" t="s">
        <v>124</v>
      </c>
      <c r="E172" s="78" t="s">
        <v>131</v>
      </c>
      <c r="F172" s="78" t="s">
        <v>253</v>
      </c>
      <c r="G172" s="93" t="s">
        <v>672</v>
      </c>
      <c r="H172" s="56" t="s">
        <v>816</v>
      </c>
    </row>
    <row r="173" spans="1:8" ht="15" customHeight="1" x14ac:dyDescent="0.25">
      <c r="A173" s="91" t="s">
        <v>657</v>
      </c>
      <c r="B173" s="91" t="s">
        <v>165</v>
      </c>
      <c r="C173" s="79" t="s">
        <v>166</v>
      </c>
      <c r="D173" s="79" t="s">
        <v>124</v>
      </c>
      <c r="E173" s="79" t="s">
        <v>131</v>
      </c>
      <c r="F173" s="80" t="s">
        <v>253</v>
      </c>
      <c r="G173" s="93" t="s">
        <v>670</v>
      </c>
      <c r="H173" s="56" t="s">
        <v>809</v>
      </c>
    </row>
    <row r="174" spans="1:8" ht="15" customHeight="1" x14ac:dyDescent="0.25">
      <c r="A174" s="91" t="s">
        <v>656</v>
      </c>
      <c r="B174" s="91" t="s">
        <v>204</v>
      </c>
      <c r="C174" s="79" t="s">
        <v>132</v>
      </c>
      <c r="D174" s="79" t="s">
        <v>124</v>
      </c>
      <c r="E174" s="80" t="s">
        <v>131</v>
      </c>
      <c r="F174" s="80" t="s">
        <v>253</v>
      </c>
      <c r="G174" s="93" t="s">
        <v>683</v>
      </c>
      <c r="H174" s="56" t="s">
        <v>816</v>
      </c>
    </row>
    <row r="175" spans="1:8" s="35" customFormat="1" ht="15" customHeight="1" x14ac:dyDescent="0.25">
      <c r="A175" s="91" t="s">
        <v>656</v>
      </c>
      <c r="B175" s="91" t="s">
        <v>514</v>
      </c>
      <c r="C175" s="79" t="s">
        <v>141</v>
      </c>
      <c r="D175" s="79" t="s">
        <v>124</v>
      </c>
      <c r="E175" s="79" t="s">
        <v>131</v>
      </c>
      <c r="F175" s="80" t="s">
        <v>253</v>
      </c>
      <c r="G175" s="93" t="s">
        <v>680</v>
      </c>
      <c r="H175" s="56" t="s">
        <v>812</v>
      </c>
    </row>
    <row r="176" spans="1:8" ht="15" customHeight="1" x14ac:dyDescent="0.25">
      <c r="A176" s="91" t="s">
        <v>656</v>
      </c>
      <c r="B176" s="91" t="s">
        <v>562</v>
      </c>
      <c r="C176" s="79" t="s">
        <v>132</v>
      </c>
      <c r="D176" s="79" t="s">
        <v>124</v>
      </c>
      <c r="E176" s="80" t="s">
        <v>131</v>
      </c>
      <c r="F176" s="80" t="s">
        <v>253</v>
      </c>
      <c r="G176" s="93" t="s">
        <v>673</v>
      </c>
      <c r="H176" s="56" t="s">
        <v>814</v>
      </c>
    </row>
    <row r="177" spans="1:8" ht="15" customHeight="1" x14ac:dyDescent="0.25">
      <c r="A177" s="91" t="s">
        <v>660</v>
      </c>
      <c r="B177" s="91" t="s">
        <v>122</v>
      </c>
      <c r="C177" s="78" t="s">
        <v>123</v>
      </c>
      <c r="D177" s="78" t="s">
        <v>127</v>
      </c>
      <c r="E177" s="78" t="s">
        <v>125</v>
      </c>
      <c r="F177" s="80" t="s">
        <v>666</v>
      </c>
      <c r="G177" s="93" t="s">
        <v>682</v>
      </c>
      <c r="H177" s="56" t="s">
        <v>809</v>
      </c>
    </row>
    <row r="178" spans="1:8" ht="15" customHeight="1" x14ac:dyDescent="0.25">
      <c r="A178" s="91" t="s">
        <v>660</v>
      </c>
      <c r="B178" s="91" t="s">
        <v>137</v>
      </c>
      <c r="C178" s="79" t="s">
        <v>135</v>
      </c>
      <c r="D178" s="79" t="s">
        <v>127</v>
      </c>
      <c r="E178" s="78" t="s">
        <v>125</v>
      </c>
      <c r="F178" s="80" t="s">
        <v>666</v>
      </c>
      <c r="G178" s="93" t="s">
        <v>681</v>
      </c>
      <c r="H178" s="56" t="s">
        <v>809</v>
      </c>
    </row>
    <row r="179" spans="1:8" ht="15" customHeight="1" x14ac:dyDescent="0.25">
      <c r="A179" s="91" t="s">
        <v>660</v>
      </c>
      <c r="B179" s="62" t="s">
        <v>126</v>
      </c>
      <c r="C179" s="79" t="s">
        <v>130</v>
      </c>
      <c r="D179" s="79" t="s">
        <v>127</v>
      </c>
      <c r="E179" s="78" t="s">
        <v>125</v>
      </c>
      <c r="F179" s="80" t="s">
        <v>666</v>
      </c>
      <c r="G179" s="93" t="s">
        <v>682</v>
      </c>
      <c r="H179" s="56" t="s">
        <v>809</v>
      </c>
    </row>
    <row r="180" spans="1:8" ht="15" customHeight="1" x14ac:dyDescent="0.25">
      <c r="A180" s="62" t="s">
        <v>522</v>
      </c>
      <c r="B180" s="62" t="s">
        <v>502</v>
      </c>
      <c r="C180" s="78" t="s">
        <v>141</v>
      </c>
      <c r="D180" s="78" t="s">
        <v>127</v>
      </c>
      <c r="E180" s="78" t="s">
        <v>153</v>
      </c>
      <c r="F180" s="78" t="s">
        <v>253</v>
      </c>
      <c r="G180" s="93" t="s">
        <v>685</v>
      </c>
      <c r="H180" s="56" t="s">
        <v>807</v>
      </c>
    </row>
    <row r="181" spans="1:8" ht="15" customHeight="1" x14ac:dyDescent="0.25">
      <c r="A181" s="62" t="s">
        <v>522</v>
      </c>
      <c r="B181" s="62" t="s">
        <v>154</v>
      </c>
      <c r="C181" s="78" t="s">
        <v>135</v>
      </c>
      <c r="D181" s="78" t="s">
        <v>124</v>
      </c>
      <c r="E181" s="78" t="s">
        <v>153</v>
      </c>
      <c r="F181" s="78" t="s">
        <v>253</v>
      </c>
      <c r="G181" s="93" t="s">
        <v>680</v>
      </c>
      <c r="H181" s="56" t="s">
        <v>807</v>
      </c>
    </row>
    <row r="182" spans="1:8" ht="15" customHeight="1" x14ac:dyDescent="0.25">
      <c r="A182" s="62" t="s">
        <v>522</v>
      </c>
      <c r="B182" s="87" t="s">
        <v>581</v>
      </c>
      <c r="C182" s="78" t="s">
        <v>130</v>
      </c>
      <c r="D182" s="78" t="s">
        <v>127</v>
      </c>
      <c r="E182" s="78" t="s">
        <v>153</v>
      </c>
      <c r="F182" s="78" t="s">
        <v>253</v>
      </c>
      <c r="G182" s="93" t="s">
        <v>682</v>
      </c>
      <c r="H182" s="56" t="s">
        <v>807</v>
      </c>
    </row>
    <row r="183" spans="1:8" ht="15" customHeight="1" x14ac:dyDescent="0.25">
      <c r="A183" s="62" t="s">
        <v>522</v>
      </c>
      <c r="B183" s="62" t="s">
        <v>497</v>
      </c>
      <c r="C183" s="78" t="s">
        <v>130</v>
      </c>
      <c r="D183" s="78" t="s">
        <v>127</v>
      </c>
      <c r="E183" s="78" t="s">
        <v>153</v>
      </c>
      <c r="F183" s="78" t="s">
        <v>253</v>
      </c>
      <c r="G183" s="93" t="s">
        <v>682</v>
      </c>
      <c r="H183" s="56" t="s">
        <v>807</v>
      </c>
    </row>
    <row r="184" spans="1:8" ht="15" customHeight="1" x14ac:dyDescent="0.25">
      <c r="A184" s="62" t="s">
        <v>528</v>
      </c>
      <c r="B184" s="62" t="s">
        <v>154</v>
      </c>
      <c r="C184" s="78" t="s">
        <v>135</v>
      </c>
      <c r="D184" s="78" t="s">
        <v>124</v>
      </c>
      <c r="E184" s="78" t="s">
        <v>153</v>
      </c>
      <c r="F184" s="78" t="s">
        <v>253</v>
      </c>
      <c r="G184" s="93" t="s">
        <v>680</v>
      </c>
      <c r="H184" s="56" t="s">
        <v>807</v>
      </c>
    </row>
    <row r="185" spans="1:8" ht="15" customHeight="1" x14ac:dyDescent="0.25">
      <c r="A185" s="62" t="s">
        <v>218</v>
      </c>
      <c r="B185" s="62" t="s">
        <v>162</v>
      </c>
      <c r="C185" s="78" t="s">
        <v>141</v>
      </c>
      <c r="D185" s="78" t="s">
        <v>127</v>
      </c>
      <c r="E185" s="78" t="s">
        <v>125</v>
      </c>
      <c r="F185" s="78" t="s">
        <v>253</v>
      </c>
      <c r="G185" s="93" t="s">
        <v>679</v>
      </c>
      <c r="H185" s="56" t="s">
        <v>818</v>
      </c>
    </row>
    <row r="186" spans="1:8" ht="15" customHeight="1" x14ac:dyDescent="0.25">
      <c r="A186" s="62" t="s">
        <v>218</v>
      </c>
      <c r="B186" s="62" t="s">
        <v>149</v>
      </c>
      <c r="C186" s="78" t="s">
        <v>123</v>
      </c>
      <c r="D186" s="78" t="s">
        <v>124</v>
      </c>
      <c r="E186" s="78" t="s">
        <v>125</v>
      </c>
      <c r="F186" s="78" t="s">
        <v>253</v>
      </c>
      <c r="G186" s="93" t="s">
        <v>684</v>
      </c>
      <c r="H186" s="56" t="s">
        <v>818</v>
      </c>
    </row>
    <row r="187" spans="1:8" ht="15" customHeight="1" x14ac:dyDescent="0.25">
      <c r="A187" s="62" t="s">
        <v>218</v>
      </c>
      <c r="B187" s="62" t="s">
        <v>495</v>
      </c>
      <c r="C187" s="78" t="s">
        <v>135</v>
      </c>
      <c r="D187" s="78" t="s">
        <v>127</v>
      </c>
      <c r="E187" s="78" t="s">
        <v>125</v>
      </c>
      <c r="F187" s="78" t="s">
        <v>253</v>
      </c>
      <c r="G187" s="93" t="s">
        <v>677</v>
      </c>
      <c r="H187" s="56" t="s">
        <v>818</v>
      </c>
    </row>
    <row r="188" spans="1:8" ht="15" customHeight="1" x14ac:dyDescent="0.25">
      <c r="A188" s="62" t="s">
        <v>556</v>
      </c>
      <c r="B188" s="62" t="s">
        <v>159</v>
      </c>
      <c r="C188" s="78" t="s">
        <v>130</v>
      </c>
      <c r="D188" s="78" t="s">
        <v>124</v>
      </c>
      <c r="E188" s="78" t="s">
        <v>131</v>
      </c>
      <c r="F188" s="78" t="s">
        <v>253</v>
      </c>
      <c r="G188" s="93" t="s">
        <v>684</v>
      </c>
      <c r="H188" s="56" t="s">
        <v>819</v>
      </c>
    </row>
    <row r="189" spans="1:8" ht="15" customHeight="1" x14ac:dyDescent="0.25">
      <c r="A189" s="62" t="s">
        <v>219</v>
      </c>
      <c r="B189" s="62" t="s">
        <v>221</v>
      </c>
      <c r="C189" s="78" t="s">
        <v>130</v>
      </c>
      <c r="D189" s="78" t="s">
        <v>124</v>
      </c>
      <c r="E189" s="78" t="s">
        <v>131</v>
      </c>
      <c r="F189" s="78" t="s">
        <v>253</v>
      </c>
      <c r="G189" s="93" t="s">
        <v>684</v>
      </c>
      <c r="H189" s="56" t="s">
        <v>819</v>
      </c>
    </row>
    <row r="190" spans="1:8" ht="15" customHeight="1" x14ac:dyDescent="0.25">
      <c r="A190" s="62" t="s">
        <v>219</v>
      </c>
      <c r="B190" s="62" t="s">
        <v>209</v>
      </c>
      <c r="C190" s="78" t="s">
        <v>135</v>
      </c>
      <c r="D190" s="78" t="s">
        <v>124</v>
      </c>
      <c r="E190" s="78" t="s">
        <v>131</v>
      </c>
      <c r="F190" s="78" t="s">
        <v>253</v>
      </c>
      <c r="G190" s="93" t="s">
        <v>680</v>
      </c>
      <c r="H190" s="56" t="s">
        <v>819</v>
      </c>
    </row>
    <row r="191" spans="1:8" ht="15" customHeight="1" x14ac:dyDescent="0.25">
      <c r="A191" s="62" t="s">
        <v>219</v>
      </c>
      <c r="B191" s="62" t="s">
        <v>565</v>
      </c>
      <c r="C191" s="78" t="s">
        <v>135</v>
      </c>
      <c r="D191" s="78" t="s">
        <v>124</v>
      </c>
      <c r="E191" s="78" t="s">
        <v>131</v>
      </c>
      <c r="F191" s="78" t="s">
        <v>253</v>
      </c>
      <c r="G191" s="93" t="s">
        <v>680</v>
      </c>
      <c r="H191" s="56" t="s">
        <v>819</v>
      </c>
    </row>
    <row r="192" spans="1:8" ht="15" customHeight="1" x14ac:dyDescent="0.25">
      <c r="A192" s="62" t="s">
        <v>219</v>
      </c>
      <c r="B192" s="62" t="s">
        <v>563</v>
      </c>
      <c r="C192" s="78" t="s">
        <v>123</v>
      </c>
      <c r="D192" s="78" t="s">
        <v>124</v>
      </c>
      <c r="E192" s="78" t="s">
        <v>479</v>
      </c>
      <c r="F192" s="78" t="s">
        <v>253</v>
      </c>
      <c r="G192" s="93" t="s">
        <v>684</v>
      </c>
      <c r="H192" s="56" t="s">
        <v>819</v>
      </c>
    </row>
    <row r="193" spans="1:8" ht="15" customHeight="1" x14ac:dyDescent="0.25">
      <c r="A193" s="62" t="s">
        <v>539</v>
      </c>
      <c r="B193" s="62" t="s">
        <v>499</v>
      </c>
      <c r="C193" s="78" t="s">
        <v>130</v>
      </c>
      <c r="D193" s="78" t="s">
        <v>127</v>
      </c>
      <c r="E193" s="78" t="s">
        <v>153</v>
      </c>
      <c r="F193" s="78" t="s">
        <v>253</v>
      </c>
      <c r="G193" s="93" t="s">
        <v>682</v>
      </c>
      <c r="H193" s="56" t="s">
        <v>807</v>
      </c>
    </row>
    <row r="194" spans="1:8" ht="15" customHeight="1" x14ac:dyDescent="0.25">
      <c r="A194" s="62" t="s">
        <v>539</v>
      </c>
      <c r="B194" s="62" t="s">
        <v>513</v>
      </c>
      <c r="C194" s="78" t="s">
        <v>130</v>
      </c>
      <c r="D194" s="78" t="s">
        <v>127</v>
      </c>
      <c r="E194" s="78" t="s">
        <v>153</v>
      </c>
      <c r="F194" s="78" t="s">
        <v>253</v>
      </c>
      <c r="G194" s="93" t="s">
        <v>682</v>
      </c>
      <c r="H194" s="56" t="s">
        <v>807</v>
      </c>
    </row>
    <row r="195" spans="1:8" ht="15" customHeight="1" x14ac:dyDescent="0.25">
      <c r="A195" s="62" t="s">
        <v>539</v>
      </c>
      <c r="B195" s="62" t="s">
        <v>156</v>
      </c>
      <c r="C195" s="78" t="s">
        <v>130</v>
      </c>
      <c r="D195" s="78" t="s">
        <v>127</v>
      </c>
      <c r="E195" s="78" t="s">
        <v>153</v>
      </c>
      <c r="F195" s="78" t="s">
        <v>253</v>
      </c>
      <c r="G195" s="93" t="s">
        <v>682</v>
      </c>
      <c r="H195" s="56" t="s">
        <v>807</v>
      </c>
    </row>
    <row r="196" spans="1:8" ht="15" customHeight="1" x14ac:dyDescent="0.25">
      <c r="A196" s="62" t="s">
        <v>539</v>
      </c>
      <c r="B196" s="62" t="s">
        <v>419</v>
      </c>
      <c r="C196" s="78" t="s">
        <v>130</v>
      </c>
      <c r="D196" s="78" t="s">
        <v>127</v>
      </c>
      <c r="E196" s="78" t="s">
        <v>153</v>
      </c>
      <c r="F196" s="78" t="s">
        <v>253</v>
      </c>
      <c r="G196" s="93" t="s">
        <v>682</v>
      </c>
      <c r="H196" s="56" t="s">
        <v>807</v>
      </c>
    </row>
    <row r="197" spans="1:8" ht="15" customHeight="1" x14ac:dyDescent="0.25">
      <c r="A197" s="62" t="s">
        <v>539</v>
      </c>
      <c r="B197" s="62" t="s">
        <v>158</v>
      </c>
      <c r="C197" s="78" t="s">
        <v>130</v>
      </c>
      <c r="D197" s="78" t="s">
        <v>127</v>
      </c>
      <c r="E197" s="78" t="s">
        <v>153</v>
      </c>
      <c r="F197" s="78" t="s">
        <v>253</v>
      </c>
      <c r="G197" s="93" t="s">
        <v>682</v>
      </c>
      <c r="H197" s="56" t="s">
        <v>807</v>
      </c>
    </row>
    <row r="198" spans="1:8" ht="15" customHeight="1" x14ac:dyDescent="0.25">
      <c r="A198" s="62" t="s">
        <v>540</v>
      </c>
      <c r="B198" s="62" t="s">
        <v>499</v>
      </c>
      <c r="C198" s="78" t="s">
        <v>130</v>
      </c>
      <c r="D198" s="78" t="s">
        <v>127</v>
      </c>
      <c r="E198" s="78" t="s">
        <v>153</v>
      </c>
      <c r="F198" s="78" t="s">
        <v>253</v>
      </c>
      <c r="G198" s="93" t="s">
        <v>682</v>
      </c>
      <c r="H198" s="56" t="s">
        <v>807</v>
      </c>
    </row>
    <row r="199" spans="1:8" ht="15" customHeight="1" x14ac:dyDescent="0.25">
      <c r="A199" s="62" t="s">
        <v>540</v>
      </c>
      <c r="B199" s="62" t="s">
        <v>155</v>
      </c>
      <c r="C199" s="78" t="s">
        <v>130</v>
      </c>
      <c r="D199" s="78" t="s">
        <v>127</v>
      </c>
      <c r="E199" s="78" t="s">
        <v>153</v>
      </c>
      <c r="F199" s="78" t="s">
        <v>253</v>
      </c>
      <c r="G199" s="93" t="s">
        <v>682</v>
      </c>
      <c r="H199" s="56" t="s">
        <v>807</v>
      </c>
    </row>
    <row r="200" spans="1:8" ht="15" customHeight="1" x14ac:dyDescent="0.25">
      <c r="A200" s="62" t="s">
        <v>540</v>
      </c>
      <c r="B200" s="62" t="s">
        <v>156</v>
      </c>
      <c r="C200" s="78" t="s">
        <v>130</v>
      </c>
      <c r="D200" s="78" t="s">
        <v>127</v>
      </c>
      <c r="E200" s="78" t="s">
        <v>153</v>
      </c>
      <c r="F200" s="78" t="s">
        <v>253</v>
      </c>
      <c r="G200" s="93" t="s">
        <v>682</v>
      </c>
      <c r="H200" s="56" t="s">
        <v>807</v>
      </c>
    </row>
    <row r="201" spans="1:8" ht="15" customHeight="1" x14ac:dyDescent="0.25">
      <c r="A201" s="154" t="s">
        <v>222</v>
      </c>
      <c r="B201" s="154" t="s">
        <v>738</v>
      </c>
      <c r="C201" s="78" t="s">
        <v>123</v>
      </c>
      <c r="D201" s="78" t="s">
        <v>124</v>
      </c>
      <c r="E201" s="78" t="s">
        <v>131</v>
      </c>
      <c r="F201" s="78" t="s">
        <v>253</v>
      </c>
      <c r="G201" s="93" t="s">
        <v>684</v>
      </c>
      <c r="H201" s="56" t="s">
        <v>815</v>
      </c>
    </row>
    <row r="202" spans="1:8" ht="15" customHeight="1" x14ac:dyDescent="0.25">
      <c r="A202" s="63" t="s">
        <v>722</v>
      </c>
      <c r="B202" s="63" t="s">
        <v>734</v>
      </c>
      <c r="C202" s="150" t="s">
        <v>141</v>
      </c>
      <c r="D202" s="78" t="s">
        <v>124</v>
      </c>
      <c r="E202" s="78" t="s">
        <v>131</v>
      </c>
      <c r="F202" s="78" t="s">
        <v>253</v>
      </c>
      <c r="G202" s="93" t="s">
        <v>679</v>
      </c>
      <c r="H202" s="56" t="s">
        <v>815</v>
      </c>
    </row>
    <row r="203" spans="1:8" ht="15" customHeight="1" x14ac:dyDescent="0.25">
      <c r="A203" s="62" t="s">
        <v>222</v>
      </c>
      <c r="B203" s="62" t="s">
        <v>686</v>
      </c>
      <c r="C203" s="78" t="s">
        <v>135</v>
      </c>
      <c r="D203" s="78" t="s">
        <v>124</v>
      </c>
      <c r="E203" s="78" t="s">
        <v>131</v>
      </c>
      <c r="F203" s="78" t="s">
        <v>253</v>
      </c>
      <c r="G203" s="93" t="s">
        <v>680</v>
      </c>
      <c r="H203" s="56" t="s">
        <v>815</v>
      </c>
    </row>
    <row r="204" spans="1:8" ht="15" customHeight="1" x14ac:dyDescent="0.25">
      <c r="A204" s="62" t="s">
        <v>223</v>
      </c>
      <c r="B204" s="62" t="s">
        <v>192</v>
      </c>
      <c r="C204" s="78" t="s">
        <v>141</v>
      </c>
      <c r="D204" s="78" t="s">
        <v>124</v>
      </c>
      <c r="E204" s="78" t="s">
        <v>131</v>
      </c>
      <c r="F204" s="78" t="s">
        <v>253</v>
      </c>
      <c r="G204" s="93" t="s">
        <v>679</v>
      </c>
      <c r="H204" s="56" t="s">
        <v>817</v>
      </c>
    </row>
    <row r="205" spans="1:8" ht="15" customHeight="1" x14ac:dyDescent="0.25">
      <c r="A205" s="62" t="s">
        <v>223</v>
      </c>
      <c r="B205" s="62" t="s">
        <v>224</v>
      </c>
      <c r="C205" s="78" t="s">
        <v>141</v>
      </c>
      <c r="D205" s="78" t="s">
        <v>124</v>
      </c>
      <c r="E205" s="78" t="s">
        <v>131</v>
      </c>
      <c r="F205" s="78" t="s">
        <v>253</v>
      </c>
      <c r="G205" s="93" t="s">
        <v>679</v>
      </c>
      <c r="H205" s="56" t="s">
        <v>817</v>
      </c>
    </row>
    <row r="206" spans="1:8" ht="15" customHeight="1" x14ac:dyDescent="0.25">
      <c r="A206" s="62" t="s">
        <v>223</v>
      </c>
      <c r="B206" s="88" t="s">
        <v>587</v>
      </c>
      <c r="C206" s="78" t="s">
        <v>135</v>
      </c>
      <c r="D206" s="80" t="s">
        <v>124</v>
      </c>
      <c r="E206" s="80" t="s">
        <v>131</v>
      </c>
      <c r="F206" s="80" t="s">
        <v>253</v>
      </c>
      <c r="G206" s="93" t="s">
        <v>680</v>
      </c>
      <c r="H206" s="56" t="s">
        <v>817</v>
      </c>
    </row>
    <row r="207" spans="1:8" ht="15" customHeight="1" x14ac:dyDescent="0.25">
      <c r="A207" s="91" t="s">
        <v>225</v>
      </c>
      <c r="B207" s="91" t="s">
        <v>653</v>
      </c>
      <c r="C207" s="79" t="s">
        <v>141</v>
      </c>
      <c r="D207" s="79" t="s">
        <v>124</v>
      </c>
      <c r="E207" s="79" t="s">
        <v>131</v>
      </c>
      <c r="F207" s="80" t="s">
        <v>253</v>
      </c>
      <c r="G207" s="93" t="s">
        <v>679</v>
      </c>
      <c r="H207" s="56" t="s">
        <v>813</v>
      </c>
    </row>
    <row r="208" spans="1:8" ht="15" customHeight="1" x14ac:dyDescent="0.25">
      <c r="A208" s="62" t="s">
        <v>225</v>
      </c>
      <c r="B208" s="62" t="s">
        <v>226</v>
      </c>
      <c r="C208" s="78" t="s">
        <v>141</v>
      </c>
      <c r="D208" s="78" t="s">
        <v>124</v>
      </c>
      <c r="E208" s="78" t="s">
        <v>131</v>
      </c>
      <c r="F208" s="78" t="s">
        <v>253</v>
      </c>
      <c r="G208" s="93" t="s">
        <v>679</v>
      </c>
      <c r="H208" s="56" t="s">
        <v>813</v>
      </c>
    </row>
    <row r="209" spans="1:8" ht="15" customHeight="1" x14ac:dyDescent="0.25">
      <c r="A209" s="62" t="s">
        <v>225</v>
      </c>
      <c r="B209" s="62" t="s">
        <v>227</v>
      </c>
      <c r="C209" s="78" t="s">
        <v>132</v>
      </c>
      <c r="D209" s="78" t="s">
        <v>124</v>
      </c>
      <c r="E209" s="78" t="s">
        <v>131</v>
      </c>
      <c r="F209" s="78" t="s">
        <v>253</v>
      </c>
      <c r="G209" s="93" t="s">
        <v>673</v>
      </c>
      <c r="H209" s="56" t="s">
        <v>813</v>
      </c>
    </row>
    <row r="210" spans="1:8" ht="15" customHeight="1" x14ac:dyDescent="0.25">
      <c r="A210" s="62" t="s">
        <v>225</v>
      </c>
      <c r="B210" s="62" t="s">
        <v>509</v>
      </c>
      <c r="C210" s="78" t="s">
        <v>141</v>
      </c>
      <c r="D210" s="78" t="s">
        <v>124</v>
      </c>
      <c r="E210" s="78" t="s">
        <v>131</v>
      </c>
      <c r="F210" s="78" t="s">
        <v>253</v>
      </c>
      <c r="G210" s="93" t="s">
        <v>679</v>
      </c>
      <c r="H210" s="56" t="s">
        <v>813</v>
      </c>
    </row>
    <row r="211" spans="1:8" ht="15" customHeight="1" x14ac:dyDescent="0.25">
      <c r="A211" s="62" t="s">
        <v>225</v>
      </c>
      <c r="B211" s="62" t="s">
        <v>482</v>
      </c>
      <c r="C211" s="78" t="s">
        <v>141</v>
      </c>
      <c r="D211" s="78" t="s">
        <v>124</v>
      </c>
      <c r="E211" s="78" t="s">
        <v>131</v>
      </c>
      <c r="F211" s="78" t="s">
        <v>253</v>
      </c>
      <c r="G211" s="93" t="s">
        <v>679</v>
      </c>
      <c r="H211" s="56" t="s">
        <v>813</v>
      </c>
    </row>
    <row r="212" spans="1:8" ht="15" customHeight="1" x14ac:dyDescent="0.25">
      <c r="A212" s="91" t="s">
        <v>225</v>
      </c>
      <c r="B212" s="91" t="s">
        <v>654</v>
      </c>
      <c r="C212" s="79" t="s">
        <v>141</v>
      </c>
      <c r="D212" s="80" t="s">
        <v>124</v>
      </c>
      <c r="E212" s="80" t="s">
        <v>131</v>
      </c>
      <c r="F212" s="80" t="s">
        <v>253</v>
      </c>
      <c r="G212" s="93" t="s">
        <v>679</v>
      </c>
      <c r="H212" s="56" t="s">
        <v>813</v>
      </c>
    </row>
    <row r="213" spans="1:8" ht="15" customHeight="1" x14ac:dyDescent="0.25">
      <c r="A213" s="62" t="s">
        <v>225</v>
      </c>
      <c r="B213" s="87" t="s">
        <v>579</v>
      </c>
      <c r="C213" s="78" t="s">
        <v>141</v>
      </c>
      <c r="D213" s="78" t="s">
        <v>124</v>
      </c>
      <c r="E213" s="78" t="s">
        <v>131</v>
      </c>
      <c r="F213" s="78" t="s">
        <v>253</v>
      </c>
      <c r="G213" s="93" t="s">
        <v>679</v>
      </c>
      <c r="H213" s="56" t="s">
        <v>819</v>
      </c>
    </row>
    <row r="214" spans="1:8" ht="15" customHeight="1" x14ac:dyDescent="0.25">
      <c r="A214" s="62" t="s">
        <v>225</v>
      </c>
      <c r="B214" s="62" t="s">
        <v>494</v>
      </c>
      <c r="C214" s="78" t="s">
        <v>135</v>
      </c>
      <c r="D214" s="78" t="s">
        <v>124</v>
      </c>
      <c r="E214" s="78" t="s">
        <v>131</v>
      </c>
      <c r="F214" s="78" t="s">
        <v>253</v>
      </c>
      <c r="G214" s="93" t="s">
        <v>678</v>
      </c>
      <c r="H214" s="56" t="s">
        <v>813</v>
      </c>
    </row>
    <row r="215" spans="1:8" ht="15" customHeight="1" x14ac:dyDescent="0.25">
      <c r="A215" s="91" t="s">
        <v>641</v>
      </c>
      <c r="B215" s="91" t="s">
        <v>642</v>
      </c>
      <c r="C215" s="80" t="s">
        <v>135</v>
      </c>
      <c r="D215" s="79" t="s">
        <v>124</v>
      </c>
      <c r="E215" s="80" t="s">
        <v>131</v>
      </c>
      <c r="F215" s="80" t="s">
        <v>253</v>
      </c>
      <c r="G215" s="93" t="s">
        <v>680</v>
      </c>
      <c r="H215" s="56" t="s">
        <v>807</v>
      </c>
    </row>
    <row r="216" spans="1:8" ht="15" customHeight="1" x14ac:dyDescent="0.25">
      <c r="A216" s="62" t="s">
        <v>230</v>
      </c>
      <c r="B216" s="62" t="s">
        <v>507</v>
      </c>
      <c r="C216" s="78" t="s">
        <v>141</v>
      </c>
      <c r="D216" s="78" t="s">
        <v>124</v>
      </c>
      <c r="E216" s="78" t="s">
        <v>131</v>
      </c>
      <c r="F216" s="78" t="s">
        <v>253</v>
      </c>
      <c r="G216" s="93" t="s">
        <v>679</v>
      </c>
      <c r="H216" s="56" t="s">
        <v>820</v>
      </c>
    </row>
    <row r="217" spans="1:8" ht="15" customHeight="1" x14ac:dyDescent="0.25">
      <c r="A217" s="62" t="s">
        <v>230</v>
      </c>
      <c r="B217" s="62" t="s">
        <v>231</v>
      </c>
      <c r="C217" s="78" t="s">
        <v>132</v>
      </c>
      <c r="D217" s="78" t="s">
        <v>124</v>
      </c>
      <c r="E217" s="78" t="s">
        <v>131</v>
      </c>
      <c r="F217" s="78" t="s">
        <v>253</v>
      </c>
      <c r="G217" s="93" t="s">
        <v>673</v>
      </c>
      <c r="H217" s="56" t="s">
        <v>820</v>
      </c>
    </row>
    <row r="218" spans="1:8" ht="15" customHeight="1" x14ac:dyDescent="0.25">
      <c r="A218" s="62" t="s">
        <v>230</v>
      </c>
      <c r="B218" s="62" t="s">
        <v>420</v>
      </c>
      <c r="C218" s="78" t="s">
        <v>141</v>
      </c>
      <c r="D218" s="78" t="s">
        <v>124</v>
      </c>
      <c r="E218" s="78" t="s">
        <v>131</v>
      </c>
      <c r="F218" s="78" t="s">
        <v>253</v>
      </c>
      <c r="G218" s="93" t="s">
        <v>679</v>
      </c>
      <c r="H218" s="56" t="s">
        <v>820</v>
      </c>
    </row>
    <row r="219" spans="1:8" ht="15" customHeight="1" x14ac:dyDescent="0.25">
      <c r="A219" s="62" t="s">
        <v>230</v>
      </c>
      <c r="B219" s="62" t="s">
        <v>541</v>
      </c>
      <c r="C219" s="78" t="s">
        <v>141</v>
      </c>
      <c r="D219" s="78" t="s">
        <v>124</v>
      </c>
      <c r="E219" s="78" t="s">
        <v>131</v>
      </c>
      <c r="F219" s="78" t="s">
        <v>253</v>
      </c>
      <c r="G219" s="93" t="s">
        <v>679</v>
      </c>
      <c r="H219" s="56" t="s">
        <v>820</v>
      </c>
    </row>
    <row r="220" spans="1:8" ht="15" customHeight="1" x14ac:dyDescent="0.25">
      <c r="A220" s="62" t="s">
        <v>232</v>
      </c>
      <c r="B220" s="62" t="s">
        <v>122</v>
      </c>
      <c r="C220" s="78" t="s">
        <v>123</v>
      </c>
      <c r="D220" s="78" t="s">
        <v>127</v>
      </c>
      <c r="E220" s="78" t="s">
        <v>125</v>
      </c>
      <c r="F220" s="78" t="s">
        <v>310</v>
      </c>
      <c r="G220" s="93" t="s">
        <v>682</v>
      </c>
      <c r="H220" s="56" t="s">
        <v>809</v>
      </c>
    </row>
    <row r="221" spans="1:8" ht="15" customHeight="1" x14ac:dyDescent="0.25">
      <c r="A221" s="62" t="s">
        <v>232</v>
      </c>
      <c r="B221" s="62" t="s">
        <v>137</v>
      </c>
      <c r="C221" s="78" t="s">
        <v>135</v>
      </c>
      <c r="D221" s="78" t="s">
        <v>127</v>
      </c>
      <c r="E221" s="78" t="s">
        <v>125</v>
      </c>
      <c r="F221" s="78" t="s">
        <v>310</v>
      </c>
      <c r="G221" s="93" t="s">
        <v>681</v>
      </c>
      <c r="H221" s="56" t="s">
        <v>809</v>
      </c>
    </row>
    <row r="222" spans="1:8" ht="15" customHeight="1" x14ac:dyDescent="0.25">
      <c r="A222" s="62" t="s">
        <v>232</v>
      </c>
      <c r="B222" s="62" t="s">
        <v>126</v>
      </c>
      <c r="C222" s="78" t="s">
        <v>130</v>
      </c>
      <c r="D222" s="78" t="s">
        <v>127</v>
      </c>
      <c r="E222" s="78" t="s">
        <v>125</v>
      </c>
      <c r="F222" s="78" t="s">
        <v>310</v>
      </c>
      <c r="G222" s="93" t="s">
        <v>682</v>
      </c>
      <c r="H222" s="56" t="s">
        <v>809</v>
      </c>
    </row>
    <row r="223" spans="1:8" ht="15" customHeight="1" x14ac:dyDescent="0.25">
      <c r="A223" s="62" t="s">
        <v>491</v>
      </c>
      <c r="B223" s="62" t="s">
        <v>499</v>
      </c>
      <c r="C223" s="78" t="s">
        <v>130</v>
      </c>
      <c r="D223" s="78" t="s">
        <v>127</v>
      </c>
      <c r="E223" s="78" t="s">
        <v>153</v>
      </c>
      <c r="F223" s="78" t="s">
        <v>253</v>
      </c>
      <c r="G223" s="93" t="s">
        <v>682</v>
      </c>
      <c r="H223" s="56" t="s">
        <v>807</v>
      </c>
    </row>
    <row r="224" spans="1:8" ht="15" customHeight="1" x14ac:dyDescent="0.25">
      <c r="A224" s="154" t="s">
        <v>491</v>
      </c>
      <c r="B224" s="154" t="s">
        <v>745</v>
      </c>
      <c r="C224" s="78" t="s">
        <v>130</v>
      </c>
      <c r="D224" s="78" t="s">
        <v>127</v>
      </c>
      <c r="E224" s="78" t="s">
        <v>153</v>
      </c>
      <c r="F224" s="78" t="s">
        <v>253</v>
      </c>
      <c r="G224" s="93" t="s">
        <v>682</v>
      </c>
      <c r="H224" s="56" t="s">
        <v>807</v>
      </c>
    </row>
    <row r="225" spans="1:8" ht="15" customHeight="1" x14ac:dyDescent="0.25">
      <c r="A225" s="62" t="s">
        <v>524</v>
      </c>
      <c r="B225" s="62" t="s">
        <v>129</v>
      </c>
      <c r="C225" s="78" t="s">
        <v>130</v>
      </c>
      <c r="D225" s="78" t="s">
        <v>124</v>
      </c>
      <c r="E225" s="78" t="s">
        <v>479</v>
      </c>
      <c r="F225" s="78" t="s">
        <v>253</v>
      </c>
      <c r="G225" s="93" t="s">
        <v>684</v>
      </c>
      <c r="H225" s="56" t="s">
        <v>819</v>
      </c>
    </row>
    <row r="226" spans="1:8" ht="15" customHeight="1" x14ac:dyDescent="0.25">
      <c r="A226" s="62" t="s">
        <v>524</v>
      </c>
      <c r="B226" s="62" t="s">
        <v>560</v>
      </c>
      <c r="C226" s="78" t="s">
        <v>135</v>
      </c>
      <c r="D226" s="78" t="s">
        <v>124</v>
      </c>
      <c r="E226" s="78" t="s">
        <v>131</v>
      </c>
      <c r="F226" s="78" t="s">
        <v>253</v>
      </c>
      <c r="G226" s="93" t="s">
        <v>680</v>
      </c>
      <c r="H226" s="56" t="s">
        <v>819</v>
      </c>
    </row>
    <row r="227" spans="1:8" ht="15" customHeight="1" x14ac:dyDescent="0.25">
      <c r="A227" s="62" t="s">
        <v>524</v>
      </c>
      <c r="B227" s="62" t="s">
        <v>133</v>
      </c>
      <c r="C227" s="78" t="s">
        <v>130</v>
      </c>
      <c r="D227" s="78" t="s">
        <v>124</v>
      </c>
      <c r="E227" s="78" t="s">
        <v>479</v>
      </c>
      <c r="F227" s="78" t="s">
        <v>253</v>
      </c>
      <c r="G227" s="93" t="s">
        <v>684</v>
      </c>
      <c r="H227" s="56" t="s">
        <v>819</v>
      </c>
    </row>
    <row r="228" spans="1:8" ht="15" customHeight="1" x14ac:dyDescent="0.25">
      <c r="A228" s="77" t="s">
        <v>547</v>
      </c>
      <c r="B228" s="77" t="s">
        <v>629</v>
      </c>
      <c r="C228" s="79" t="s">
        <v>130</v>
      </c>
      <c r="D228" s="80" t="s">
        <v>127</v>
      </c>
      <c r="E228" s="80" t="s">
        <v>170</v>
      </c>
      <c r="F228" s="80" t="s">
        <v>253</v>
      </c>
      <c r="G228" s="93" t="s">
        <v>682</v>
      </c>
      <c r="H228" s="56" t="s">
        <v>819</v>
      </c>
    </row>
    <row r="229" spans="1:8" ht="15" customHeight="1" x14ac:dyDescent="0.25">
      <c r="A229" s="83" t="s">
        <v>547</v>
      </c>
      <c r="B229" s="83" t="s">
        <v>129</v>
      </c>
      <c r="C229" s="78" t="s">
        <v>130</v>
      </c>
      <c r="D229" s="78" t="s">
        <v>127</v>
      </c>
      <c r="E229" s="78" t="s">
        <v>170</v>
      </c>
      <c r="F229" s="78" t="s">
        <v>253</v>
      </c>
      <c r="G229" s="93" t="s">
        <v>682</v>
      </c>
      <c r="H229" s="56" t="s">
        <v>819</v>
      </c>
    </row>
    <row r="230" spans="1:8" ht="15" customHeight="1" x14ac:dyDescent="0.25">
      <c r="A230" s="62" t="s">
        <v>547</v>
      </c>
      <c r="B230" s="62" t="s">
        <v>129</v>
      </c>
      <c r="C230" s="78" t="s">
        <v>130</v>
      </c>
      <c r="D230" s="78" t="s">
        <v>127</v>
      </c>
      <c r="E230" s="78" t="s">
        <v>479</v>
      </c>
      <c r="F230" s="78" t="s">
        <v>253</v>
      </c>
      <c r="G230" s="93" t="s">
        <v>682</v>
      </c>
      <c r="H230" s="56" t="s">
        <v>819</v>
      </c>
    </row>
    <row r="231" spans="1:8" ht="15" customHeight="1" x14ac:dyDescent="0.25">
      <c r="A231" s="83" t="s">
        <v>547</v>
      </c>
      <c r="B231" s="83" t="s">
        <v>159</v>
      </c>
      <c r="C231" s="78" t="s">
        <v>130</v>
      </c>
      <c r="D231" s="78" t="s">
        <v>124</v>
      </c>
      <c r="E231" s="78" t="s">
        <v>131</v>
      </c>
      <c r="F231" s="78" t="s">
        <v>253</v>
      </c>
      <c r="G231" s="93" t="s">
        <v>684</v>
      </c>
      <c r="H231" s="56" t="s">
        <v>819</v>
      </c>
    </row>
    <row r="232" spans="1:8" ht="15" customHeight="1" x14ac:dyDescent="0.25">
      <c r="A232" s="83" t="s">
        <v>547</v>
      </c>
      <c r="B232" s="83" t="s">
        <v>545</v>
      </c>
      <c r="C232" s="78" t="s">
        <v>135</v>
      </c>
      <c r="D232" s="78" t="s">
        <v>124</v>
      </c>
      <c r="E232" s="78" t="s">
        <v>131</v>
      </c>
      <c r="F232" s="78" t="s">
        <v>253</v>
      </c>
      <c r="G232" s="93" t="s">
        <v>680</v>
      </c>
      <c r="H232" s="56" t="s">
        <v>819</v>
      </c>
    </row>
    <row r="233" spans="1:8" ht="15" customHeight="1" x14ac:dyDescent="0.25">
      <c r="A233" s="62" t="s">
        <v>547</v>
      </c>
      <c r="B233" s="62" t="s">
        <v>545</v>
      </c>
      <c r="C233" s="78" t="s">
        <v>135</v>
      </c>
      <c r="D233" s="78" t="s">
        <v>124</v>
      </c>
      <c r="E233" s="78" t="s">
        <v>479</v>
      </c>
      <c r="F233" s="78" t="s">
        <v>253</v>
      </c>
      <c r="G233" s="93" t="s">
        <v>680</v>
      </c>
      <c r="H233" s="56" t="s">
        <v>819</v>
      </c>
    </row>
    <row r="234" spans="1:8" ht="15" customHeight="1" x14ac:dyDescent="0.25">
      <c r="A234" s="62" t="s">
        <v>233</v>
      </c>
      <c r="B234" s="62" t="s">
        <v>234</v>
      </c>
      <c r="C234" s="78" t="s">
        <v>135</v>
      </c>
      <c r="D234" s="78" t="s">
        <v>124</v>
      </c>
      <c r="E234" s="78" t="s">
        <v>131</v>
      </c>
      <c r="F234" s="78" t="s">
        <v>253</v>
      </c>
      <c r="G234" s="93" t="s">
        <v>680</v>
      </c>
      <c r="H234" s="114" t="s">
        <v>896</v>
      </c>
    </row>
    <row r="235" spans="1:8" ht="15" customHeight="1" x14ac:dyDescent="0.25">
      <c r="A235" s="62" t="s">
        <v>233</v>
      </c>
      <c r="B235" s="88" t="s">
        <v>585</v>
      </c>
      <c r="C235" s="78" t="s">
        <v>123</v>
      </c>
      <c r="D235" s="80" t="s">
        <v>124</v>
      </c>
      <c r="E235" s="80" t="s">
        <v>131</v>
      </c>
      <c r="F235" s="80" t="s">
        <v>253</v>
      </c>
      <c r="G235" s="93" t="s">
        <v>684</v>
      </c>
      <c r="H235" s="114" t="s">
        <v>896</v>
      </c>
    </row>
    <row r="236" spans="1:8" ht="15" customHeight="1" x14ac:dyDescent="0.25">
      <c r="A236" s="62" t="s">
        <v>233</v>
      </c>
      <c r="B236" s="62" t="s">
        <v>503</v>
      </c>
      <c r="C236" s="78" t="s">
        <v>123</v>
      </c>
      <c r="D236" s="78" t="s">
        <v>124</v>
      </c>
      <c r="E236" s="78" t="s">
        <v>131</v>
      </c>
      <c r="F236" s="78" t="s">
        <v>253</v>
      </c>
      <c r="G236" s="93" t="s">
        <v>684</v>
      </c>
      <c r="H236" s="114" t="s">
        <v>896</v>
      </c>
    </row>
    <row r="237" spans="1:8" ht="15" customHeight="1" x14ac:dyDescent="0.25">
      <c r="A237" s="62" t="s">
        <v>233</v>
      </c>
      <c r="B237" s="62" t="s">
        <v>211</v>
      </c>
      <c r="C237" s="78" t="s">
        <v>123</v>
      </c>
      <c r="D237" s="78" t="s">
        <v>124</v>
      </c>
      <c r="E237" s="78" t="s">
        <v>131</v>
      </c>
      <c r="F237" s="78" t="s">
        <v>253</v>
      </c>
      <c r="G237" s="93" t="s">
        <v>684</v>
      </c>
      <c r="H237" s="114" t="s">
        <v>896</v>
      </c>
    </row>
    <row r="238" spans="1:8" ht="15" customHeight="1" x14ac:dyDescent="0.25">
      <c r="A238" s="91" t="s">
        <v>659</v>
      </c>
      <c r="B238" s="91" t="s">
        <v>499</v>
      </c>
      <c r="C238" s="79" t="s">
        <v>130</v>
      </c>
      <c r="D238" s="79" t="s">
        <v>127</v>
      </c>
      <c r="E238" s="79" t="s">
        <v>153</v>
      </c>
      <c r="F238" s="80" t="s">
        <v>253</v>
      </c>
      <c r="G238" s="93" t="s">
        <v>682</v>
      </c>
      <c r="H238" s="114" t="s">
        <v>808</v>
      </c>
    </row>
    <row r="239" spans="1:8" ht="15" customHeight="1" x14ac:dyDescent="0.25">
      <c r="A239" s="62" t="s">
        <v>512</v>
      </c>
      <c r="B239" s="62" t="s">
        <v>196</v>
      </c>
      <c r="C239" s="78" t="s">
        <v>141</v>
      </c>
      <c r="D239" s="78" t="s">
        <v>127</v>
      </c>
      <c r="E239" s="78" t="s">
        <v>153</v>
      </c>
      <c r="F239" s="78" t="s">
        <v>253</v>
      </c>
      <c r="G239" s="93" t="s">
        <v>685</v>
      </c>
      <c r="H239" s="114" t="s">
        <v>808</v>
      </c>
    </row>
    <row r="240" spans="1:8" ht="15" customHeight="1" x14ac:dyDescent="0.25">
      <c r="A240" s="62" t="s">
        <v>538</v>
      </c>
      <c r="B240" s="62" t="s">
        <v>502</v>
      </c>
      <c r="C240" s="78" t="s">
        <v>141</v>
      </c>
      <c r="D240" s="78" t="s">
        <v>124</v>
      </c>
      <c r="E240" s="78" t="s">
        <v>153</v>
      </c>
      <c r="F240" s="78" t="s">
        <v>253</v>
      </c>
      <c r="G240" s="93" t="s">
        <v>679</v>
      </c>
      <c r="H240" s="114" t="s">
        <v>808</v>
      </c>
    </row>
    <row r="241" spans="1:8" ht="15" customHeight="1" x14ac:dyDescent="0.25">
      <c r="A241" s="62" t="s">
        <v>417</v>
      </c>
      <c r="B241" s="62" t="s">
        <v>499</v>
      </c>
      <c r="C241" s="78" t="s">
        <v>130</v>
      </c>
      <c r="D241" s="78" t="s">
        <v>124</v>
      </c>
      <c r="E241" s="78" t="s">
        <v>153</v>
      </c>
      <c r="F241" s="78" t="s">
        <v>253</v>
      </c>
      <c r="G241" s="93" t="s">
        <v>682</v>
      </c>
      <c r="H241" s="114" t="s">
        <v>808</v>
      </c>
    </row>
    <row r="242" spans="1:8" ht="15" customHeight="1" x14ac:dyDescent="0.25">
      <c r="A242" s="62" t="s">
        <v>417</v>
      </c>
      <c r="B242" s="62" t="s">
        <v>184</v>
      </c>
      <c r="C242" s="78" t="s">
        <v>130</v>
      </c>
      <c r="D242" s="78" t="s">
        <v>124</v>
      </c>
      <c r="E242" s="78" t="s">
        <v>153</v>
      </c>
      <c r="F242" s="78" t="s">
        <v>253</v>
      </c>
      <c r="G242" s="93" t="s">
        <v>682</v>
      </c>
      <c r="H242" s="56" t="s">
        <v>811</v>
      </c>
    </row>
    <row r="243" spans="1:8" ht="15" customHeight="1" x14ac:dyDescent="0.25">
      <c r="A243" s="62" t="s">
        <v>417</v>
      </c>
      <c r="B243" s="62" t="s">
        <v>181</v>
      </c>
      <c r="C243" s="78" t="s">
        <v>123</v>
      </c>
      <c r="D243" s="78" t="s">
        <v>124</v>
      </c>
      <c r="E243" s="78" t="s">
        <v>153</v>
      </c>
      <c r="F243" s="78" t="s">
        <v>253</v>
      </c>
      <c r="G243" s="93" t="s">
        <v>684</v>
      </c>
      <c r="H243" s="114" t="s">
        <v>808</v>
      </c>
    </row>
    <row r="244" spans="1:8" ht="15" customHeight="1" x14ac:dyDescent="0.25">
      <c r="A244" s="62" t="s">
        <v>417</v>
      </c>
      <c r="B244" s="62" t="s">
        <v>197</v>
      </c>
      <c r="C244" s="78" t="s">
        <v>130</v>
      </c>
      <c r="D244" s="78" t="s">
        <v>124</v>
      </c>
      <c r="E244" s="78" t="s">
        <v>153</v>
      </c>
      <c r="F244" s="78" t="s">
        <v>253</v>
      </c>
      <c r="G244" s="93" t="s">
        <v>682</v>
      </c>
      <c r="H244" s="114" t="s">
        <v>808</v>
      </c>
    </row>
    <row r="245" spans="1:8" ht="15" customHeight="1" x14ac:dyDescent="0.25">
      <c r="A245" s="91" t="s">
        <v>640</v>
      </c>
      <c r="B245" s="91" t="s">
        <v>499</v>
      </c>
      <c r="C245" s="79" t="s">
        <v>130</v>
      </c>
      <c r="D245" s="79" t="s">
        <v>127</v>
      </c>
      <c r="E245" s="79" t="s">
        <v>153</v>
      </c>
      <c r="F245" s="80" t="s">
        <v>253</v>
      </c>
      <c r="G245" s="93" t="s">
        <v>682</v>
      </c>
      <c r="H245" s="56" t="s">
        <v>810</v>
      </c>
    </row>
    <row r="246" spans="1:8" ht="15" customHeight="1" x14ac:dyDescent="0.25">
      <c r="A246" s="91" t="s">
        <v>640</v>
      </c>
      <c r="B246" s="91" t="s">
        <v>510</v>
      </c>
      <c r="C246" s="79" t="s">
        <v>123</v>
      </c>
      <c r="D246" s="79" t="s">
        <v>124</v>
      </c>
      <c r="E246" s="79" t="s">
        <v>131</v>
      </c>
      <c r="F246" s="80" t="s">
        <v>253</v>
      </c>
      <c r="G246" s="93" t="s">
        <v>684</v>
      </c>
      <c r="H246" s="56" t="s">
        <v>810</v>
      </c>
    </row>
    <row r="247" spans="1:8" ht="15" customHeight="1" x14ac:dyDescent="0.25">
      <c r="A247" s="91" t="s">
        <v>640</v>
      </c>
      <c r="B247" s="91" t="s">
        <v>200</v>
      </c>
      <c r="C247" s="79" t="s">
        <v>141</v>
      </c>
      <c r="D247" s="79" t="s">
        <v>127</v>
      </c>
      <c r="E247" s="79" t="s">
        <v>153</v>
      </c>
      <c r="F247" s="80" t="s">
        <v>253</v>
      </c>
      <c r="G247" s="93" t="s">
        <v>685</v>
      </c>
      <c r="H247" s="56" t="s">
        <v>810</v>
      </c>
    </row>
    <row r="248" spans="1:8" ht="15" customHeight="1" x14ac:dyDescent="0.25">
      <c r="A248" s="62" t="s">
        <v>414</v>
      </c>
      <c r="B248" s="62" t="s">
        <v>416</v>
      </c>
      <c r="C248" s="78" t="s">
        <v>130</v>
      </c>
      <c r="D248" s="78" t="s">
        <v>127</v>
      </c>
      <c r="E248" s="78" t="s">
        <v>153</v>
      </c>
      <c r="F248" s="78" t="s">
        <v>253</v>
      </c>
      <c r="G248" s="93" t="s">
        <v>682</v>
      </c>
      <c r="H248" s="114" t="s">
        <v>808</v>
      </c>
    </row>
    <row r="249" spans="1:8" ht="15" customHeight="1" x14ac:dyDescent="0.25">
      <c r="A249" s="154" t="s">
        <v>414</v>
      </c>
      <c r="B249" s="154" t="s">
        <v>737</v>
      </c>
      <c r="C249" s="78" t="s">
        <v>130</v>
      </c>
      <c r="D249" s="78" t="s">
        <v>127</v>
      </c>
      <c r="E249" s="78" t="s">
        <v>153</v>
      </c>
      <c r="F249" s="78" t="s">
        <v>253</v>
      </c>
      <c r="G249" s="93" t="s">
        <v>682</v>
      </c>
      <c r="H249" s="114" t="s">
        <v>808</v>
      </c>
    </row>
    <row r="250" spans="1:8" ht="15" customHeight="1" x14ac:dyDescent="0.25">
      <c r="A250" s="62" t="s">
        <v>414</v>
      </c>
      <c r="B250" s="62" t="s">
        <v>197</v>
      </c>
      <c r="C250" s="78" t="s">
        <v>130</v>
      </c>
      <c r="D250" s="78" t="s">
        <v>127</v>
      </c>
      <c r="E250" s="78" t="s">
        <v>153</v>
      </c>
      <c r="F250" s="78" t="s">
        <v>253</v>
      </c>
      <c r="G250" s="93" t="s">
        <v>682</v>
      </c>
      <c r="H250" s="114" t="s">
        <v>808</v>
      </c>
    </row>
    <row r="251" spans="1:8" ht="15" customHeight="1" x14ac:dyDescent="0.25">
      <c r="A251" s="62" t="s">
        <v>505</v>
      </c>
      <c r="B251" s="62" t="s">
        <v>499</v>
      </c>
      <c r="C251" s="78" t="s">
        <v>130</v>
      </c>
      <c r="D251" s="78" t="s">
        <v>127</v>
      </c>
      <c r="E251" s="78" t="s">
        <v>153</v>
      </c>
      <c r="F251" s="78" t="s">
        <v>253</v>
      </c>
      <c r="G251" s="93" t="s">
        <v>682</v>
      </c>
      <c r="H251" s="114" t="s">
        <v>808</v>
      </c>
    </row>
    <row r="252" spans="1:8" ht="15" customHeight="1" x14ac:dyDescent="0.25">
      <c r="A252" s="62" t="s">
        <v>505</v>
      </c>
      <c r="B252" s="62" t="s">
        <v>506</v>
      </c>
      <c r="C252" s="78" t="s">
        <v>130</v>
      </c>
      <c r="D252" s="78" t="s">
        <v>127</v>
      </c>
      <c r="E252" s="78" t="s">
        <v>153</v>
      </c>
      <c r="F252" s="78" t="s">
        <v>253</v>
      </c>
      <c r="G252" s="93" t="s">
        <v>682</v>
      </c>
      <c r="H252" s="114" t="s">
        <v>808</v>
      </c>
    </row>
    <row r="253" spans="1:8" ht="15" customHeight="1" x14ac:dyDescent="0.25">
      <c r="A253" s="62" t="s">
        <v>557</v>
      </c>
      <c r="B253" s="62" t="s">
        <v>499</v>
      </c>
      <c r="C253" s="78" t="s">
        <v>130</v>
      </c>
      <c r="D253" s="78" t="s">
        <v>127</v>
      </c>
      <c r="E253" s="78" t="s">
        <v>153</v>
      </c>
      <c r="F253" s="78" t="s">
        <v>253</v>
      </c>
      <c r="G253" s="93" t="s">
        <v>682</v>
      </c>
      <c r="H253" s="56" t="s">
        <v>807</v>
      </c>
    </row>
    <row r="254" spans="1:8" ht="15" customHeight="1" x14ac:dyDescent="0.25">
      <c r="A254" s="62" t="s">
        <v>489</v>
      </c>
      <c r="B254" s="62" t="s">
        <v>499</v>
      </c>
      <c r="C254" s="78" t="s">
        <v>130</v>
      </c>
      <c r="D254" s="78" t="s">
        <v>127</v>
      </c>
      <c r="E254" s="78" t="s">
        <v>153</v>
      </c>
      <c r="F254" s="78" t="s">
        <v>253</v>
      </c>
      <c r="G254" s="93" t="s">
        <v>682</v>
      </c>
      <c r="H254" s="114" t="s">
        <v>808</v>
      </c>
    </row>
    <row r="255" spans="1:8" ht="15" customHeight="1" x14ac:dyDescent="0.25">
      <c r="A255" s="62" t="s">
        <v>489</v>
      </c>
      <c r="B255" s="62" t="s">
        <v>490</v>
      </c>
      <c r="C255" s="78" t="s">
        <v>130</v>
      </c>
      <c r="D255" s="78" t="s">
        <v>127</v>
      </c>
      <c r="E255" s="78" t="s">
        <v>153</v>
      </c>
      <c r="F255" s="78" t="s">
        <v>253</v>
      </c>
      <c r="G255" s="93" t="s">
        <v>682</v>
      </c>
      <c r="H255" s="114" t="s">
        <v>808</v>
      </c>
    </row>
    <row r="256" spans="1:8" ht="15" customHeight="1" x14ac:dyDescent="0.25">
      <c r="A256" s="62" t="s">
        <v>480</v>
      </c>
      <c r="B256" s="62" t="s">
        <v>499</v>
      </c>
      <c r="C256" s="78" t="s">
        <v>130</v>
      </c>
      <c r="D256" s="78" t="s">
        <v>127</v>
      </c>
      <c r="E256" s="78" t="s">
        <v>153</v>
      </c>
      <c r="F256" s="78" t="s">
        <v>253</v>
      </c>
      <c r="G256" s="93" t="s">
        <v>682</v>
      </c>
      <c r="H256" s="56" t="s">
        <v>807</v>
      </c>
    </row>
    <row r="257" spans="1:8" ht="15" customHeight="1" x14ac:dyDescent="0.25">
      <c r="A257" s="62" t="s">
        <v>508</v>
      </c>
      <c r="B257" s="62" t="s">
        <v>499</v>
      </c>
      <c r="C257" s="78" t="s">
        <v>130</v>
      </c>
      <c r="D257" s="78" t="s">
        <v>127</v>
      </c>
      <c r="E257" s="78" t="s">
        <v>153</v>
      </c>
      <c r="F257" s="78" t="s">
        <v>253</v>
      </c>
      <c r="G257" s="93" t="s">
        <v>682</v>
      </c>
      <c r="H257" s="56" t="s">
        <v>807</v>
      </c>
    </row>
    <row r="258" spans="1:8" ht="15" customHeight="1" x14ac:dyDescent="0.25">
      <c r="A258" s="62" t="s">
        <v>508</v>
      </c>
      <c r="B258" s="62" t="s">
        <v>419</v>
      </c>
      <c r="C258" s="78" t="s">
        <v>130</v>
      </c>
      <c r="D258" s="78" t="s">
        <v>127</v>
      </c>
      <c r="E258" s="78" t="s">
        <v>153</v>
      </c>
      <c r="F258" s="78" t="s">
        <v>253</v>
      </c>
      <c r="G258" s="93" t="s">
        <v>682</v>
      </c>
      <c r="H258" s="56" t="s">
        <v>807</v>
      </c>
    </row>
    <row r="259" spans="1:8" ht="15" customHeight="1" x14ac:dyDescent="0.25">
      <c r="A259" s="62" t="s">
        <v>235</v>
      </c>
      <c r="B259" s="62" t="s">
        <v>122</v>
      </c>
      <c r="C259" s="78" t="s">
        <v>123</v>
      </c>
      <c r="D259" s="78" t="s">
        <v>127</v>
      </c>
      <c r="E259" s="78" t="s">
        <v>125</v>
      </c>
      <c r="F259" s="78" t="s">
        <v>312</v>
      </c>
      <c r="G259" s="93" t="s">
        <v>682</v>
      </c>
      <c r="H259" s="56" t="s">
        <v>809</v>
      </c>
    </row>
    <row r="260" spans="1:8" ht="15" customHeight="1" x14ac:dyDescent="0.25">
      <c r="A260" s="62" t="s">
        <v>235</v>
      </c>
      <c r="B260" s="62" t="s">
        <v>126</v>
      </c>
      <c r="C260" s="78" t="s">
        <v>130</v>
      </c>
      <c r="D260" s="78" t="s">
        <v>127</v>
      </c>
      <c r="E260" s="78" t="s">
        <v>125</v>
      </c>
      <c r="F260" s="78" t="s">
        <v>312</v>
      </c>
      <c r="G260" s="93" t="s">
        <v>682</v>
      </c>
      <c r="H260" s="56" t="s">
        <v>809</v>
      </c>
    </row>
    <row r="261" spans="1:8" ht="15" customHeight="1" x14ac:dyDescent="0.25">
      <c r="A261" s="92" t="s">
        <v>665</v>
      </c>
      <c r="B261" s="92" t="s">
        <v>122</v>
      </c>
      <c r="C261" s="78" t="s">
        <v>123</v>
      </c>
      <c r="D261" s="78" t="s">
        <v>127</v>
      </c>
      <c r="E261" s="78" t="s">
        <v>125</v>
      </c>
      <c r="F261" s="80" t="s">
        <v>312</v>
      </c>
      <c r="G261" s="93" t="s">
        <v>682</v>
      </c>
      <c r="H261" s="56" t="s">
        <v>809</v>
      </c>
    </row>
    <row r="262" spans="1:8" ht="15" customHeight="1" x14ac:dyDescent="0.25">
      <c r="A262" s="62" t="s">
        <v>486</v>
      </c>
      <c r="B262" s="62" t="s">
        <v>487</v>
      </c>
      <c r="C262" s="78" t="s">
        <v>135</v>
      </c>
      <c r="D262" s="78" t="s">
        <v>124</v>
      </c>
      <c r="E262" s="78" t="s">
        <v>131</v>
      </c>
      <c r="F262" s="78" t="s">
        <v>253</v>
      </c>
      <c r="G262" s="93" t="s">
        <v>680</v>
      </c>
      <c r="H262" s="56" t="s">
        <v>812</v>
      </c>
    </row>
    <row r="263" spans="1:8" ht="15" customHeight="1" x14ac:dyDescent="0.25">
      <c r="A263" s="62" t="s">
        <v>486</v>
      </c>
      <c r="B263" s="62" t="s">
        <v>228</v>
      </c>
      <c r="C263" s="78" t="s">
        <v>141</v>
      </c>
      <c r="D263" s="78" t="s">
        <v>124</v>
      </c>
      <c r="E263" s="78" t="s">
        <v>131</v>
      </c>
      <c r="F263" s="78" t="s">
        <v>253</v>
      </c>
      <c r="G263" s="93" t="s">
        <v>679</v>
      </c>
      <c r="H263" s="56" t="s">
        <v>812</v>
      </c>
    </row>
    <row r="264" spans="1:8" ht="15" customHeight="1" x14ac:dyDescent="0.25">
      <c r="A264" s="62" t="s">
        <v>236</v>
      </c>
      <c r="B264" s="62" t="s">
        <v>237</v>
      </c>
      <c r="C264" s="78" t="s">
        <v>135</v>
      </c>
      <c r="D264" s="78" t="s">
        <v>124</v>
      </c>
      <c r="E264" s="78" t="s">
        <v>131</v>
      </c>
      <c r="F264" s="78" t="s">
        <v>253</v>
      </c>
      <c r="G264" s="93" t="s">
        <v>680</v>
      </c>
      <c r="H264" s="56" t="s">
        <v>815</v>
      </c>
    </row>
    <row r="265" spans="1:8" ht="15" customHeight="1" x14ac:dyDescent="0.25">
      <c r="A265" s="62" t="s">
        <v>633</v>
      </c>
      <c r="B265" s="97" t="s">
        <v>688</v>
      </c>
      <c r="C265" s="78" t="s">
        <v>141</v>
      </c>
      <c r="D265" s="78" t="s">
        <v>124</v>
      </c>
      <c r="E265" s="78" t="s">
        <v>131</v>
      </c>
      <c r="F265" s="78" t="s">
        <v>253</v>
      </c>
      <c r="G265" s="93" t="s">
        <v>685</v>
      </c>
      <c r="H265" s="56" t="s">
        <v>811</v>
      </c>
    </row>
    <row r="266" spans="1:8" ht="15" customHeight="1" x14ac:dyDescent="0.25">
      <c r="A266" s="62" t="s">
        <v>418</v>
      </c>
      <c r="B266" s="62" t="s">
        <v>687</v>
      </c>
      <c r="C266" s="78" t="s">
        <v>141</v>
      </c>
      <c r="D266" s="78" t="s">
        <v>124</v>
      </c>
      <c r="E266" s="78" t="s">
        <v>131</v>
      </c>
      <c r="F266" s="78" t="s">
        <v>253</v>
      </c>
      <c r="G266" s="93" t="s">
        <v>685</v>
      </c>
      <c r="H266" s="56" t="s">
        <v>807</v>
      </c>
    </row>
    <row r="267" spans="1:8" ht="15" customHeight="1" x14ac:dyDescent="0.25">
      <c r="A267" s="96" t="s">
        <v>618</v>
      </c>
      <c r="B267" s="96" t="s">
        <v>690</v>
      </c>
      <c r="C267" s="78" t="s">
        <v>141</v>
      </c>
      <c r="D267" s="78" t="s">
        <v>124</v>
      </c>
      <c r="E267" s="78" t="s">
        <v>131</v>
      </c>
      <c r="F267" s="78" t="s">
        <v>253</v>
      </c>
      <c r="G267" s="93" t="s">
        <v>679</v>
      </c>
      <c r="H267" s="56" t="s">
        <v>821</v>
      </c>
    </row>
    <row r="268" spans="1:8" ht="15" customHeight="1" x14ac:dyDescent="0.25">
      <c r="A268" s="96" t="s">
        <v>609</v>
      </c>
      <c r="B268" s="96" t="s">
        <v>691</v>
      </c>
      <c r="C268" s="79" t="s">
        <v>135</v>
      </c>
      <c r="D268" s="79" t="s">
        <v>124</v>
      </c>
      <c r="E268" s="79" t="s">
        <v>131</v>
      </c>
      <c r="F268" s="80" t="s">
        <v>253</v>
      </c>
      <c r="G268" s="93" t="s">
        <v>680</v>
      </c>
      <c r="H268" s="56" t="s">
        <v>821</v>
      </c>
    </row>
    <row r="269" spans="1:8" ht="15" customHeight="1" x14ac:dyDescent="0.25">
      <c r="A269" s="96" t="s">
        <v>236</v>
      </c>
      <c r="B269" s="96" t="s">
        <v>582</v>
      </c>
      <c r="C269" s="78" t="s">
        <v>135</v>
      </c>
      <c r="D269" s="78" t="s">
        <v>124</v>
      </c>
      <c r="E269" s="78" t="s">
        <v>131</v>
      </c>
      <c r="F269" s="78" t="s">
        <v>253</v>
      </c>
      <c r="G269" s="93" t="s">
        <v>680</v>
      </c>
      <c r="H269" s="56" t="s">
        <v>815</v>
      </c>
    </row>
    <row r="270" spans="1:8" ht="15" customHeight="1" x14ac:dyDescent="0.25">
      <c r="A270" s="98" t="s">
        <v>128</v>
      </c>
      <c r="B270" s="76" t="s">
        <v>692</v>
      </c>
      <c r="C270" s="78" t="s">
        <v>130</v>
      </c>
      <c r="D270" s="78" t="s">
        <v>124</v>
      </c>
      <c r="E270" s="78" t="s">
        <v>131</v>
      </c>
      <c r="F270" s="78" t="s">
        <v>253</v>
      </c>
      <c r="G270" s="93" t="s">
        <v>684</v>
      </c>
      <c r="H270" s="56" t="s">
        <v>812</v>
      </c>
    </row>
    <row r="271" spans="1:8" ht="15" customHeight="1" x14ac:dyDescent="0.25">
      <c r="A271" s="63" t="s">
        <v>754</v>
      </c>
      <c r="B271" s="63" t="s">
        <v>755</v>
      </c>
      <c r="C271" s="78" t="s">
        <v>141</v>
      </c>
      <c r="D271" s="80" t="s">
        <v>127</v>
      </c>
      <c r="E271" s="79" t="s">
        <v>170</v>
      </c>
      <c r="F271" s="78" t="s">
        <v>253</v>
      </c>
      <c r="G271" s="93" t="s">
        <v>685</v>
      </c>
      <c r="H271" s="56" t="s">
        <v>762</v>
      </c>
    </row>
    <row r="272" spans="1:8" ht="15" customHeight="1" x14ac:dyDescent="0.25">
      <c r="A272" s="63" t="s">
        <v>484</v>
      </c>
      <c r="B272" s="63" t="s">
        <v>700</v>
      </c>
      <c r="C272" s="78" t="s">
        <v>141</v>
      </c>
      <c r="D272" s="116" t="s">
        <v>124</v>
      </c>
      <c r="E272" s="79" t="s">
        <v>170</v>
      </c>
      <c r="F272" s="78" t="s">
        <v>253</v>
      </c>
      <c r="G272" s="93" t="s">
        <v>685</v>
      </c>
      <c r="H272" s="56" t="s">
        <v>762</v>
      </c>
    </row>
    <row r="273" spans="1:8" ht="15" customHeight="1" x14ac:dyDescent="0.25">
      <c r="A273" s="63" t="s">
        <v>484</v>
      </c>
      <c r="B273" s="63" t="s">
        <v>700</v>
      </c>
      <c r="C273" s="78" t="s">
        <v>141</v>
      </c>
      <c r="D273" s="116" t="s">
        <v>124</v>
      </c>
      <c r="E273" s="79" t="s">
        <v>170</v>
      </c>
      <c r="F273" s="78" t="s">
        <v>253</v>
      </c>
      <c r="G273" s="93" t="s">
        <v>685</v>
      </c>
      <c r="H273" s="56" t="s">
        <v>762</v>
      </c>
    </row>
    <row r="274" spans="1:8" ht="15" customHeight="1" x14ac:dyDescent="0.25">
      <c r="A274" s="63" t="s">
        <v>484</v>
      </c>
      <c r="B274" s="63" t="s">
        <v>700</v>
      </c>
      <c r="C274" s="78" t="s">
        <v>141</v>
      </c>
      <c r="D274" s="116" t="s">
        <v>124</v>
      </c>
      <c r="E274" s="79" t="s">
        <v>170</v>
      </c>
      <c r="F274" s="78" t="s">
        <v>253</v>
      </c>
      <c r="G274" s="93" t="s">
        <v>685</v>
      </c>
      <c r="H274" s="56" t="s">
        <v>762</v>
      </c>
    </row>
    <row r="275" spans="1:8" ht="15" customHeight="1" x14ac:dyDescent="0.25">
      <c r="A275" s="92" t="s">
        <v>504</v>
      </c>
      <c r="B275" s="92" t="s">
        <v>701</v>
      </c>
      <c r="C275" s="78" t="s">
        <v>141</v>
      </c>
      <c r="D275" s="116" t="s">
        <v>127</v>
      </c>
      <c r="E275" s="116" t="s">
        <v>153</v>
      </c>
      <c r="F275" s="78" t="s">
        <v>253</v>
      </c>
      <c r="G275" s="55" t="s">
        <v>679</v>
      </c>
      <c r="H275" s="56" t="s">
        <v>817</v>
      </c>
    </row>
    <row r="276" spans="1:8" ht="15" customHeight="1" x14ac:dyDescent="0.25">
      <c r="A276" s="92" t="s">
        <v>164</v>
      </c>
      <c r="B276" s="92" t="s">
        <v>693</v>
      </c>
      <c r="C276" s="109" t="s">
        <v>135</v>
      </c>
      <c r="D276" s="116" t="s">
        <v>124</v>
      </c>
      <c r="E276" s="116" t="s">
        <v>131</v>
      </c>
      <c r="F276" s="78" t="s">
        <v>253</v>
      </c>
      <c r="G276" s="55" t="s">
        <v>680</v>
      </c>
      <c r="H276" s="56" t="s">
        <v>809</v>
      </c>
    </row>
    <row r="277" spans="1:8" ht="15" customHeight="1" x14ac:dyDescent="0.25">
      <c r="A277" s="92" t="s">
        <v>164</v>
      </c>
      <c r="B277" s="92" t="s">
        <v>702</v>
      </c>
      <c r="C277" s="109" t="s">
        <v>141</v>
      </c>
      <c r="D277" s="116" t="s">
        <v>127</v>
      </c>
      <c r="E277" s="116" t="s">
        <v>170</v>
      </c>
      <c r="F277" s="78" t="s">
        <v>253</v>
      </c>
      <c r="G277" s="93" t="s">
        <v>685</v>
      </c>
      <c r="H277" s="56" t="s">
        <v>809</v>
      </c>
    </row>
    <row r="278" spans="1:8" ht="15" customHeight="1" x14ac:dyDescent="0.25">
      <c r="A278" s="92" t="s">
        <v>147</v>
      </c>
      <c r="B278" s="92" t="s">
        <v>703</v>
      </c>
      <c r="C278" s="109" t="s">
        <v>141</v>
      </c>
      <c r="D278" s="116" t="s">
        <v>124</v>
      </c>
      <c r="E278" s="116" t="s">
        <v>131</v>
      </c>
      <c r="F278" s="78" t="s">
        <v>253</v>
      </c>
      <c r="G278" s="55" t="s">
        <v>679</v>
      </c>
      <c r="H278" s="56" t="s">
        <v>810</v>
      </c>
    </row>
    <row r="279" spans="1:8" ht="15" customHeight="1" x14ac:dyDescent="0.25">
      <c r="A279" s="92" t="s">
        <v>415</v>
      </c>
      <c r="B279" s="92" t="s">
        <v>697</v>
      </c>
      <c r="C279" s="109" t="s">
        <v>135</v>
      </c>
      <c r="D279" s="116" t="s">
        <v>124</v>
      </c>
      <c r="E279" s="116" t="s">
        <v>131</v>
      </c>
      <c r="F279" s="78" t="s">
        <v>253</v>
      </c>
      <c r="G279" s="55" t="s">
        <v>678</v>
      </c>
      <c r="H279" s="56" t="s">
        <v>811</v>
      </c>
    </row>
    <row r="280" spans="1:8" ht="15" customHeight="1" x14ac:dyDescent="0.25">
      <c r="A280" s="92" t="s">
        <v>698</v>
      </c>
      <c r="B280" s="92" t="s">
        <v>704</v>
      </c>
      <c r="C280" s="109" t="s">
        <v>141</v>
      </c>
      <c r="D280" s="116" t="s">
        <v>124</v>
      </c>
      <c r="E280" s="116" t="s">
        <v>131</v>
      </c>
      <c r="F280" s="78" t="s">
        <v>253</v>
      </c>
      <c r="G280" s="55" t="s">
        <v>679</v>
      </c>
      <c r="H280" s="56" t="s">
        <v>811</v>
      </c>
    </row>
    <row r="281" spans="1:8" ht="15" customHeight="1" x14ac:dyDescent="0.25">
      <c r="A281" s="92" t="s">
        <v>225</v>
      </c>
      <c r="B281" s="92" t="s">
        <v>705</v>
      </c>
      <c r="C281" s="109" t="s">
        <v>141</v>
      </c>
      <c r="D281" s="116" t="s">
        <v>124</v>
      </c>
      <c r="E281" s="116" t="s">
        <v>131</v>
      </c>
      <c r="F281" s="78" t="s">
        <v>253</v>
      </c>
      <c r="G281" s="55" t="s">
        <v>679</v>
      </c>
      <c r="H281" s="56" t="s">
        <v>811</v>
      </c>
    </row>
    <row r="282" spans="1:8" ht="15" customHeight="1" x14ac:dyDescent="0.25">
      <c r="A282" s="92" t="s">
        <v>674</v>
      </c>
      <c r="B282" s="92" t="s">
        <v>699</v>
      </c>
      <c r="C282" s="109" t="s">
        <v>141</v>
      </c>
      <c r="D282" s="116" t="s">
        <v>127</v>
      </c>
      <c r="E282" s="116" t="s">
        <v>170</v>
      </c>
      <c r="F282" s="78" t="s">
        <v>253</v>
      </c>
      <c r="G282" s="93" t="s">
        <v>685</v>
      </c>
      <c r="H282" s="56" t="s">
        <v>896</v>
      </c>
    </row>
    <row r="283" spans="1:8" ht="15" customHeight="1" x14ac:dyDescent="0.25">
      <c r="A283" s="92" t="s">
        <v>188</v>
      </c>
      <c r="B283" s="92" t="s">
        <v>707</v>
      </c>
      <c r="C283" s="109" t="s">
        <v>141</v>
      </c>
      <c r="D283" s="116" t="s">
        <v>124</v>
      </c>
      <c r="E283" s="116" t="s">
        <v>131</v>
      </c>
      <c r="F283" s="78" t="s">
        <v>253</v>
      </c>
      <c r="G283" s="55" t="s">
        <v>679</v>
      </c>
      <c r="H283" s="114" t="s">
        <v>896</v>
      </c>
    </row>
    <row r="284" spans="1:8" ht="15" customHeight="1" x14ac:dyDescent="0.25">
      <c r="A284" s="92" t="s">
        <v>218</v>
      </c>
      <c r="B284" s="92" t="s">
        <v>694</v>
      </c>
      <c r="C284" s="109" t="s">
        <v>130</v>
      </c>
      <c r="D284" s="116" t="s">
        <v>127</v>
      </c>
      <c r="E284" s="120" t="s">
        <v>125</v>
      </c>
      <c r="F284" s="78" t="s">
        <v>253</v>
      </c>
      <c r="G284" s="93" t="s">
        <v>682</v>
      </c>
      <c r="H284" s="56" t="s">
        <v>818</v>
      </c>
    </row>
    <row r="285" spans="1:8" ht="15" customHeight="1" x14ac:dyDescent="0.25">
      <c r="A285" s="92" t="s">
        <v>698</v>
      </c>
      <c r="B285" s="92" t="s">
        <v>708</v>
      </c>
      <c r="C285" s="109" t="s">
        <v>141</v>
      </c>
      <c r="D285" s="116" t="s">
        <v>124</v>
      </c>
      <c r="E285" s="120" t="s">
        <v>131</v>
      </c>
      <c r="F285" s="78" t="s">
        <v>253</v>
      </c>
      <c r="G285" s="55" t="s">
        <v>679</v>
      </c>
      <c r="H285" s="56" t="s">
        <v>811</v>
      </c>
    </row>
    <row r="286" spans="1:8" ht="15" customHeight="1" x14ac:dyDescent="0.25">
      <c r="A286" s="92" t="s">
        <v>706</v>
      </c>
      <c r="B286" s="92" t="s">
        <v>165</v>
      </c>
      <c r="C286" s="109" t="s">
        <v>132</v>
      </c>
      <c r="D286" s="116" t="s">
        <v>127</v>
      </c>
      <c r="E286" s="120" t="s">
        <v>131</v>
      </c>
      <c r="F286" s="78" t="s">
        <v>253</v>
      </c>
      <c r="G286" s="55" t="s">
        <v>670</v>
      </c>
      <c r="H286" s="56" t="s">
        <v>816</v>
      </c>
    </row>
    <row r="287" spans="1:8" ht="15" customHeight="1" x14ac:dyDescent="0.25">
      <c r="A287" s="144" t="s">
        <v>139</v>
      </c>
      <c r="B287" s="144" t="s">
        <v>730</v>
      </c>
      <c r="C287" s="109" t="s">
        <v>141</v>
      </c>
      <c r="D287" s="116" t="s">
        <v>124</v>
      </c>
      <c r="E287" s="120" t="s">
        <v>131</v>
      </c>
      <c r="F287" s="109" t="s">
        <v>253</v>
      </c>
      <c r="G287" s="55" t="s">
        <v>679</v>
      </c>
      <c r="H287" s="56" t="s">
        <v>812</v>
      </c>
    </row>
    <row r="288" spans="1:8" ht="15" customHeight="1" x14ac:dyDescent="0.25">
      <c r="A288" s="154" t="s">
        <v>230</v>
      </c>
      <c r="B288" s="154" t="s">
        <v>716</v>
      </c>
      <c r="C288" s="109" t="s">
        <v>141</v>
      </c>
      <c r="D288" s="116" t="s">
        <v>124</v>
      </c>
      <c r="E288" s="120" t="s">
        <v>131</v>
      </c>
      <c r="F288" s="109" t="s">
        <v>253</v>
      </c>
      <c r="G288" s="55" t="s">
        <v>679</v>
      </c>
      <c r="H288" s="56" t="s">
        <v>820</v>
      </c>
    </row>
    <row r="289" spans="1:8" ht="15" customHeight="1" x14ac:dyDescent="0.25">
      <c r="A289" s="154" t="s">
        <v>706</v>
      </c>
      <c r="B289" s="154" t="s">
        <v>733</v>
      </c>
      <c r="C289" s="109" t="s">
        <v>141</v>
      </c>
      <c r="D289" s="116" t="s">
        <v>124</v>
      </c>
      <c r="E289" s="120" t="s">
        <v>131</v>
      </c>
      <c r="F289" s="109" t="s">
        <v>767</v>
      </c>
      <c r="G289" s="55" t="s">
        <v>679</v>
      </c>
      <c r="H289" s="56" t="s">
        <v>816</v>
      </c>
    </row>
    <row r="290" spans="1:8" ht="15" customHeight="1" x14ac:dyDescent="0.25">
      <c r="A290" s="154" t="s">
        <v>415</v>
      </c>
      <c r="B290" s="154" t="s">
        <v>739</v>
      </c>
      <c r="C290" s="109" t="s">
        <v>141</v>
      </c>
      <c r="D290" s="116" t="s">
        <v>124</v>
      </c>
      <c r="E290" s="120" t="s">
        <v>131</v>
      </c>
      <c r="F290" s="109" t="s">
        <v>253</v>
      </c>
      <c r="G290" s="55" t="s">
        <v>679</v>
      </c>
      <c r="H290" s="56" t="s">
        <v>811</v>
      </c>
    </row>
    <row r="291" spans="1:8" ht="15" customHeight="1" x14ac:dyDescent="0.25">
      <c r="A291" s="154" t="s">
        <v>633</v>
      </c>
      <c r="B291" s="154" t="s">
        <v>740</v>
      </c>
      <c r="C291" s="109" t="s">
        <v>141</v>
      </c>
      <c r="D291" s="116" t="s">
        <v>124</v>
      </c>
      <c r="E291" s="120" t="s">
        <v>131</v>
      </c>
      <c r="F291" s="109" t="s">
        <v>253</v>
      </c>
      <c r="G291" s="55" t="s">
        <v>679</v>
      </c>
      <c r="H291" s="56" t="s">
        <v>811</v>
      </c>
    </row>
    <row r="292" spans="1:8" ht="15" customHeight="1" x14ac:dyDescent="0.25">
      <c r="A292" s="154" t="s">
        <v>415</v>
      </c>
      <c r="B292" s="154" t="s">
        <v>741</v>
      </c>
      <c r="C292" s="109" t="s">
        <v>135</v>
      </c>
      <c r="D292" s="116" t="s">
        <v>124</v>
      </c>
      <c r="E292" s="120" t="s">
        <v>131</v>
      </c>
      <c r="F292" s="109" t="s">
        <v>253</v>
      </c>
      <c r="G292" s="55" t="s">
        <v>673</v>
      </c>
      <c r="H292" s="56" t="s">
        <v>811</v>
      </c>
    </row>
    <row r="293" spans="1:8" ht="15" customHeight="1" x14ac:dyDescent="0.25">
      <c r="A293" s="154" t="s">
        <v>219</v>
      </c>
      <c r="B293" s="154" t="s">
        <v>742</v>
      </c>
      <c r="C293" s="109" t="s">
        <v>135</v>
      </c>
      <c r="D293" s="116" t="s">
        <v>124</v>
      </c>
      <c r="E293" s="120" t="s">
        <v>479</v>
      </c>
      <c r="F293" s="109" t="s">
        <v>253</v>
      </c>
      <c r="G293" s="55" t="s">
        <v>679</v>
      </c>
      <c r="H293" s="56" t="s">
        <v>819</v>
      </c>
    </row>
    <row r="294" spans="1:8" ht="15" customHeight="1" x14ac:dyDescent="0.25">
      <c r="A294" s="154" t="s">
        <v>191</v>
      </c>
      <c r="B294" s="154" t="s">
        <v>743</v>
      </c>
      <c r="C294" s="109" t="s">
        <v>141</v>
      </c>
      <c r="D294" s="116" t="s">
        <v>124</v>
      </c>
      <c r="E294" s="120" t="s">
        <v>131</v>
      </c>
      <c r="F294" s="109" t="s">
        <v>253</v>
      </c>
      <c r="G294" s="55" t="s">
        <v>679</v>
      </c>
      <c r="H294" s="56" t="s">
        <v>818</v>
      </c>
    </row>
    <row r="295" spans="1:8" ht="15" customHeight="1" x14ac:dyDescent="0.25">
      <c r="A295" s="154" t="s">
        <v>724</v>
      </c>
      <c r="B295" s="154" t="s">
        <v>744</v>
      </c>
      <c r="C295" s="109" t="s">
        <v>135</v>
      </c>
      <c r="D295" s="116" t="s">
        <v>124</v>
      </c>
      <c r="E295" s="120" t="s">
        <v>131</v>
      </c>
      <c r="F295" s="109" t="s">
        <v>253</v>
      </c>
      <c r="G295" s="55" t="s">
        <v>678</v>
      </c>
      <c r="H295" s="56" t="s">
        <v>807</v>
      </c>
    </row>
    <row r="296" spans="1:8" ht="15" customHeight="1" x14ac:dyDescent="0.25">
      <c r="A296" s="154" t="s">
        <v>727</v>
      </c>
      <c r="B296" s="154" t="s">
        <v>729</v>
      </c>
      <c r="C296" s="109" t="s">
        <v>141</v>
      </c>
      <c r="D296" s="116" t="s">
        <v>124</v>
      </c>
      <c r="E296" s="120" t="s">
        <v>131</v>
      </c>
      <c r="F296" s="109" t="s">
        <v>253</v>
      </c>
      <c r="G296" s="55" t="s">
        <v>679</v>
      </c>
      <c r="H296" s="56" t="s">
        <v>818</v>
      </c>
    </row>
    <row r="297" spans="1:8" ht="15" customHeight="1" x14ac:dyDescent="0.25">
      <c r="A297" s="154" t="s">
        <v>480</v>
      </c>
      <c r="B297" s="154" t="s">
        <v>725</v>
      </c>
      <c r="C297" s="120" t="s">
        <v>130</v>
      </c>
      <c r="D297" s="116" t="s">
        <v>127</v>
      </c>
      <c r="E297" s="120" t="s">
        <v>153</v>
      </c>
      <c r="F297" s="109" t="s">
        <v>253</v>
      </c>
      <c r="G297" s="55" t="s">
        <v>682</v>
      </c>
      <c r="H297" s="56" t="s">
        <v>807</v>
      </c>
    </row>
    <row r="298" spans="1:8" ht="15" customHeight="1" x14ac:dyDescent="0.25">
      <c r="A298" s="154" t="s">
        <v>218</v>
      </c>
      <c r="B298" s="154" t="s">
        <v>746</v>
      </c>
      <c r="C298" s="120" t="s">
        <v>141</v>
      </c>
      <c r="D298" s="116" t="s">
        <v>127</v>
      </c>
      <c r="E298" s="120" t="s">
        <v>125</v>
      </c>
      <c r="F298" s="109" t="s">
        <v>253</v>
      </c>
      <c r="G298" s="55" t="s">
        <v>685</v>
      </c>
      <c r="H298" s="56" t="s">
        <v>818</v>
      </c>
    </row>
    <row r="299" spans="1:8" ht="15" customHeight="1" x14ac:dyDescent="0.25">
      <c r="A299" s="155" t="s">
        <v>747</v>
      </c>
      <c r="B299" s="155" t="s">
        <v>748</v>
      </c>
      <c r="C299" s="120" t="s">
        <v>135</v>
      </c>
      <c r="D299" s="116" t="s">
        <v>124</v>
      </c>
      <c r="E299" s="120" t="s">
        <v>131</v>
      </c>
      <c r="F299" s="109" t="s">
        <v>253</v>
      </c>
      <c r="G299" s="55" t="s">
        <v>680</v>
      </c>
      <c r="H299" s="56" t="s">
        <v>817</v>
      </c>
    </row>
    <row r="300" spans="1:8" ht="15" customHeight="1" x14ac:dyDescent="0.25">
      <c r="A300" s="154" t="s">
        <v>727</v>
      </c>
      <c r="B300" s="154" t="s">
        <v>728</v>
      </c>
      <c r="C300" s="120" t="s">
        <v>130</v>
      </c>
      <c r="D300" s="116" t="s">
        <v>124</v>
      </c>
      <c r="E300" s="120" t="s">
        <v>131</v>
      </c>
      <c r="F300" s="109" t="s">
        <v>253</v>
      </c>
      <c r="G300" s="55" t="s">
        <v>684</v>
      </c>
      <c r="H300" s="56" t="s">
        <v>818</v>
      </c>
    </row>
    <row r="301" spans="1:8" ht="15" customHeight="1" x14ac:dyDescent="0.25">
      <c r="A301" s="154" t="s">
        <v>727</v>
      </c>
      <c r="B301" s="154" t="s">
        <v>750</v>
      </c>
      <c r="C301" s="120" t="s">
        <v>130</v>
      </c>
      <c r="D301" s="116" t="s">
        <v>124</v>
      </c>
      <c r="E301" s="120" t="s">
        <v>131</v>
      </c>
      <c r="F301" s="109" t="s">
        <v>253</v>
      </c>
      <c r="G301" s="55" t="s">
        <v>684</v>
      </c>
      <c r="H301" s="56" t="s">
        <v>818</v>
      </c>
    </row>
    <row r="302" spans="1:8" ht="15" customHeight="1" x14ac:dyDescent="0.25">
      <c r="A302" s="154" t="s">
        <v>659</v>
      </c>
      <c r="B302" s="154" t="s">
        <v>737</v>
      </c>
      <c r="C302" s="120" t="s">
        <v>130</v>
      </c>
      <c r="D302" s="116" t="s">
        <v>127</v>
      </c>
      <c r="E302" s="120" t="s">
        <v>153</v>
      </c>
      <c r="F302" s="109" t="s">
        <v>253</v>
      </c>
      <c r="G302" s="55" t="s">
        <v>682</v>
      </c>
      <c r="H302" s="114" t="s">
        <v>808</v>
      </c>
    </row>
    <row r="303" spans="1:8" ht="15" customHeight="1" x14ac:dyDescent="0.25">
      <c r="A303" s="342" t="s">
        <v>524</v>
      </c>
      <c r="B303" s="342" t="s">
        <v>749</v>
      </c>
      <c r="C303" s="120" t="s">
        <v>123</v>
      </c>
      <c r="D303" s="116" t="s">
        <v>124</v>
      </c>
      <c r="E303" s="120" t="s">
        <v>479</v>
      </c>
      <c r="F303" s="109" t="s">
        <v>253</v>
      </c>
      <c r="G303" s="55" t="s">
        <v>684</v>
      </c>
      <c r="H303" s="343" t="s">
        <v>819</v>
      </c>
    </row>
    <row r="304" spans="1:8" ht="15" customHeight="1" x14ac:dyDescent="0.25">
      <c r="A304" s="344" t="s">
        <v>508</v>
      </c>
      <c r="B304" s="344" t="s">
        <v>751</v>
      </c>
      <c r="C304" s="80" t="s">
        <v>130</v>
      </c>
      <c r="D304" s="80" t="s">
        <v>127</v>
      </c>
      <c r="E304" s="80" t="s">
        <v>153</v>
      </c>
      <c r="F304" s="150" t="s">
        <v>253</v>
      </c>
      <c r="G304" s="345" t="s">
        <v>682</v>
      </c>
      <c r="H304" s="56" t="s">
        <v>808</v>
      </c>
    </row>
    <row r="305" spans="1:8" ht="15" customHeight="1" x14ac:dyDescent="0.25">
      <c r="A305" s="344" t="s">
        <v>415</v>
      </c>
      <c r="B305" s="344" t="s">
        <v>627</v>
      </c>
      <c r="C305" s="80" t="s">
        <v>132</v>
      </c>
      <c r="D305" s="80" t="s">
        <v>124</v>
      </c>
      <c r="E305" s="80" t="s">
        <v>131</v>
      </c>
      <c r="F305" s="150" t="s">
        <v>253</v>
      </c>
      <c r="G305" s="345" t="s">
        <v>672</v>
      </c>
      <c r="H305" s="56" t="s">
        <v>811</v>
      </c>
    </row>
    <row r="306" spans="1:8" ht="15" customHeight="1" x14ac:dyDescent="0.25">
      <c r="A306" s="344" t="s">
        <v>726</v>
      </c>
      <c r="B306" s="344" t="s">
        <v>626</v>
      </c>
      <c r="C306" s="80" t="s">
        <v>132</v>
      </c>
      <c r="D306" s="80" t="s">
        <v>124</v>
      </c>
      <c r="E306" s="80" t="s">
        <v>131</v>
      </c>
      <c r="F306" s="150" t="s">
        <v>253</v>
      </c>
      <c r="G306" s="345" t="s">
        <v>673</v>
      </c>
      <c r="H306" s="56" t="s">
        <v>814</v>
      </c>
    </row>
    <row r="307" spans="1:8" ht="15" customHeight="1" x14ac:dyDescent="0.25">
      <c r="A307" s="344" t="s">
        <v>219</v>
      </c>
      <c r="B307" s="344" t="s">
        <v>742</v>
      </c>
      <c r="C307" s="80" t="s">
        <v>135</v>
      </c>
      <c r="D307" s="80" t="s">
        <v>124</v>
      </c>
      <c r="E307" s="80" t="s">
        <v>479</v>
      </c>
      <c r="F307" s="150" t="s">
        <v>253</v>
      </c>
      <c r="G307" s="345" t="s">
        <v>679</v>
      </c>
      <c r="H307" s="56" t="s">
        <v>819</v>
      </c>
    </row>
    <row r="308" spans="1:8" ht="15" customHeight="1" x14ac:dyDescent="0.25">
      <c r="A308" s="63" t="s">
        <v>754</v>
      </c>
      <c r="B308" s="63" t="s">
        <v>756</v>
      </c>
      <c r="C308" s="79" t="s">
        <v>141</v>
      </c>
      <c r="D308" s="80" t="s">
        <v>127</v>
      </c>
      <c r="E308" s="80" t="s">
        <v>170</v>
      </c>
      <c r="F308" s="150" t="s">
        <v>253</v>
      </c>
      <c r="G308" s="345" t="s">
        <v>685</v>
      </c>
      <c r="H308" s="56" t="s">
        <v>762</v>
      </c>
    </row>
    <row r="309" spans="1:8" ht="15" customHeight="1" x14ac:dyDescent="0.25">
      <c r="A309" s="63" t="s">
        <v>717</v>
      </c>
      <c r="B309" s="63" t="s">
        <v>757</v>
      </c>
      <c r="C309" s="79" t="s">
        <v>130</v>
      </c>
      <c r="D309" s="80" t="s">
        <v>127</v>
      </c>
      <c r="E309" s="80" t="s">
        <v>479</v>
      </c>
      <c r="F309" s="150" t="s">
        <v>253</v>
      </c>
      <c r="G309" s="345" t="s">
        <v>682</v>
      </c>
      <c r="H309" s="56" t="s">
        <v>762</v>
      </c>
    </row>
    <row r="310" spans="1:8" ht="15" customHeight="1" x14ac:dyDescent="0.25">
      <c r="A310" s="63" t="s">
        <v>758</v>
      </c>
      <c r="B310" s="63" t="s">
        <v>759</v>
      </c>
      <c r="C310" s="79" t="s">
        <v>141</v>
      </c>
      <c r="D310" s="80" t="s">
        <v>127</v>
      </c>
      <c r="E310" s="80" t="s">
        <v>719</v>
      </c>
      <c r="F310" s="150" t="s">
        <v>253</v>
      </c>
      <c r="G310" s="345" t="s">
        <v>685</v>
      </c>
      <c r="H310" s="56" t="s">
        <v>897</v>
      </c>
    </row>
    <row r="311" spans="1:8" ht="15" customHeight="1" x14ac:dyDescent="0.25">
      <c r="A311" s="63" t="s">
        <v>758</v>
      </c>
      <c r="B311" s="63" t="s">
        <v>760</v>
      </c>
      <c r="C311" s="79" t="s">
        <v>141</v>
      </c>
      <c r="D311" s="80" t="s">
        <v>127</v>
      </c>
      <c r="E311" s="80" t="s">
        <v>719</v>
      </c>
      <c r="F311" s="150" t="s">
        <v>253</v>
      </c>
      <c r="G311" s="345" t="s">
        <v>685</v>
      </c>
      <c r="H311" s="56" t="s">
        <v>897</v>
      </c>
    </row>
    <row r="312" spans="1:8" ht="15" customHeight="1" x14ac:dyDescent="0.25">
      <c r="A312" s="63" t="s">
        <v>222</v>
      </c>
      <c r="B312" s="63" t="s">
        <v>761</v>
      </c>
      <c r="C312" s="79" t="s">
        <v>123</v>
      </c>
      <c r="D312" s="80" t="s">
        <v>124</v>
      </c>
      <c r="E312" s="80" t="s">
        <v>719</v>
      </c>
      <c r="F312" s="150" t="s">
        <v>253</v>
      </c>
      <c r="G312" s="345" t="s">
        <v>684</v>
      </c>
      <c r="H312" s="56" t="s">
        <v>897</v>
      </c>
    </row>
    <row r="313" spans="1:8" ht="15" customHeight="1" x14ac:dyDescent="0.25">
      <c r="A313" s="92" t="s">
        <v>414</v>
      </c>
      <c r="B313" s="92" t="s">
        <v>806</v>
      </c>
      <c r="C313" s="79" t="s">
        <v>130</v>
      </c>
      <c r="D313" s="80" t="s">
        <v>127</v>
      </c>
      <c r="E313" s="80" t="s">
        <v>153</v>
      </c>
      <c r="F313" s="150" t="s">
        <v>253</v>
      </c>
      <c r="G313" s="345" t="s">
        <v>682</v>
      </c>
      <c r="H313" s="56" t="s">
        <v>808</v>
      </c>
    </row>
    <row r="314" spans="1:8" ht="15" customHeight="1" x14ac:dyDescent="0.25">
      <c r="A314" s="92" t="s">
        <v>177</v>
      </c>
      <c r="B314" s="92" t="s">
        <v>772</v>
      </c>
      <c r="C314" s="79"/>
      <c r="D314" s="79"/>
      <c r="E314" s="79"/>
      <c r="F314" s="79"/>
      <c r="G314" s="345"/>
      <c r="H314" s="345"/>
    </row>
  </sheetData>
  <sheetProtection selectLockedCells="1" selectUnlockedCells="1"/>
  <autoFilter ref="A1:H314"/>
  <sortState ref="A1:G357">
    <sortCondition ref="A2:A357"/>
    <sortCondition ref="B2:B357"/>
    <sortCondition ref="G2:G357"/>
    <sortCondition ref="C2:C357"/>
    <sortCondition ref="D2:D357"/>
  </sortState>
  <dataValidations count="4">
    <dataValidation type="list" allowBlank="1" showErrorMessage="1" sqref="C186:C189 C220 C259 C261 C268 C270 C2:C181">
      <formula1>Категория_должности</formula1>
      <formula2>0</formula2>
    </dataValidation>
    <dataValidation type="list" allowBlank="1" showErrorMessage="1" sqref="E220:E222 E259:E261 E268 E270 E2:E181">
      <formula1>Функция</formula1>
      <formula2>0</formula2>
    </dataValidation>
    <dataValidation type="list" allowBlank="1" showErrorMessage="1" sqref="D220 D259 D261 D187 D268 D270 D2:D185">
      <formula1>Продуктивный</formula1>
      <formula2>0</formula2>
    </dataValidation>
    <dataValidation type="list" allowBlank="1" showErrorMessage="1" sqref="F268 F270 F2:F185">
      <formula1>Город</formula1>
      <formula2>0</formula2>
    </dataValidation>
  </dataValidations>
  <pageMargins left="0.7" right="0.7" top="0.75" bottom="0.75" header="0.51180555555555551" footer="0.51180555555555551"/>
  <pageSetup paperSize="9" firstPageNumber="0" fitToHeight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indexed="13"/>
  </sheetPr>
  <dimension ref="A1:R25"/>
  <sheetViews>
    <sheetView topLeftCell="J1" zoomScale="130" zoomScaleNormal="130" workbookViewId="0">
      <selection activeCell="R6" sqref="R6"/>
    </sheetView>
  </sheetViews>
  <sheetFormatPr defaultRowHeight="15" x14ac:dyDescent="0.25"/>
  <cols>
    <col min="1" max="1" width="9.28515625" customWidth="1"/>
    <col min="2" max="2" width="16.28515625" customWidth="1"/>
    <col min="3" max="3" width="12.5703125" customWidth="1"/>
    <col min="4" max="4" width="13.7109375" customWidth="1"/>
    <col min="5" max="5" width="18" customWidth="1"/>
    <col min="6" max="6" width="15.7109375" customWidth="1"/>
    <col min="7" max="7" width="10.140625" customWidth="1"/>
    <col min="8" max="8" width="11.7109375" customWidth="1"/>
    <col min="9" max="9" width="19.42578125" customWidth="1"/>
    <col min="10" max="10" width="39" customWidth="1"/>
    <col min="11" max="11" width="14.42578125" customWidth="1"/>
    <col min="12" max="12" width="19.85546875" customWidth="1"/>
    <col min="13" max="14" width="13.85546875" customWidth="1"/>
    <col min="15" max="15" width="17" customWidth="1"/>
    <col min="16" max="16" width="16.28515625" customWidth="1"/>
    <col min="18" max="18" width="51.7109375" customWidth="1"/>
  </cols>
  <sheetData>
    <row r="1" spans="1:18" s="39" customFormat="1" ht="45" x14ac:dyDescent="0.25">
      <c r="A1" s="37" t="s">
        <v>48</v>
      </c>
      <c r="B1" s="37" t="s">
        <v>238</v>
      </c>
      <c r="C1" s="37" t="s">
        <v>70</v>
      </c>
      <c r="D1" s="37" t="s">
        <v>239</v>
      </c>
      <c r="E1" s="37" t="s">
        <v>240</v>
      </c>
      <c r="F1" s="37" t="s">
        <v>35</v>
      </c>
      <c r="G1" s="37" t="s">
        <v>241</v>
      </c>
      <c r="H1" s="37" t="s">
        <v>242</v>
      </c>
      <c r="I1" s="37" t="s">
        <v>243</v>
      </c>
      <c r="J1" s="37" t="s">
        <v>244</v>
      </c>
      <c r="K1" s="38"/>
      <c r="L1" s="37" t="s">
        <v>245</v>
      </c>
      <c r="M1" s="37" t="s">
        <v>246</v>
      </c>
      <c r="N1" s="37" t="s">
        <v>247</v>
      </c>
      <c r="O1" s="37" t="s">
        <v>121</v>
      </c>
      <c r="P1" s="37" t="s">
        <v>531</v>
      </c>
      <c r="Q1" s="37" t="s">
        <v>612</v>
      </c>
      <c r="R1" s="37" t="s">
        <v>696</v>
      </c>
    </row>
    <row r="2" spans="1:18" x14ac:dyDescent="0.25">
      <c r="A2" t="s">
        <v>249</v>
      </c>
      <c r="B2" t="s">
        <v>250</v>
      </c>
      <c r="C2" t="s">
        <v>251</v>
      </c>
      <c r="D2" t="s">
        <v>252</v>
      </c>
      <c r="E2" s="29" t="s">
        <v>166</v>
      </c>
      <c r="F2" s="29" t="s">
        <v>253</v>
      </c>
      <c r="G2" s="29" t="s">
        <v>170</v>
      </c>
      <c r="H2" s="29" t="s">
        <v>254</v>
      </c>
      <c r="I2" t="s">
        <v>255</v>
      </c>
      <c r="J2" t="s">
        <v>256</v>
      </c>
      <c r="K2" s="40" t="s">
        <v>257</v>
      </c>
      <c r="L2" t="s">
        <v>258</v>
      </c>
      <c r="M2" t="s">
        <v>259</v>
      </c>
      <c r="N2" t="s">
        <v>260</v>
      </c>
      <c r="O2" t="s">
        <v>127</v>
      </c>
      <c r="P2" s="29" t="s">
        <v>532</v>
      </c>
      <c r="Q2" s="29" t="s">
        <v>613</v>
      </c>
      <c r="R2" s="29" t="s">
        <v>762</v>
      </c>
    </row>
    <row r="3" spans="1:18" x14ac:dyDescent="0.25">
      <c r="A3" t="s">
        <v>261</v>
      </c>
      <c r="B3" t="s">
        <v>262</v>
      </c>
      <c r="C3" t="s">
        <v>263</v>
      </c>
      <c r="D3" t="s">
        <v>264</v>
      </c>
      <c r="E3" s="29" t="s">
        <v>132</v>
      </c>
      <c r="F3" s="29" t="s">
        <v>273</v>
      </c>
      <c r="G3" s="29" t="s">
        <v>153</v>
      </c>
      <c r="H3" s="29" t="s">
        <v>265</v>
      </c>
      <c r="I3" t="s">
        <v>266</v>
      </c>
      <c r="J3" t="s">
        <v>267</v>
      </c>
      <c r="K3" s="40" t="s">
        <v>257</v>
      </c>
      <c r="L3" t="s">
        <v>268</v>
      </c>
      <c r="M3" t="s">
        <v>269</v>
      </c>
      <c r="N3" t="s">
        <v>270</v>
      </c>
      <c r="O3" t="s">
        <v>124</v>
      </c>
      <c r="P3" s="29" t="s">
        <v>533</v>
      </c>
      <c r="Q3" s="29" t="s">
        <v>614</v>
      </c>
      <c r="R3" s="29" t="s">
        <v>810</v>
      </c>
    </row>
    <row r="4" spans="1:18" x14ac:dyDescent="0.25">
      <c r="A4" t="s">
        <v>271</v>
      </c>
      <c r="B4" t="s">
        <v>279</v>
      </c>
      <c r="D4" t="s">
        <v>272</v>
      </c>
      <c r="E4" s="29" t="s">
        <v>135</v>
      </c>
      <c r="F4" s="29" t="s">
        <v>280</v>
      </c>
      <c r="G4" t="s">
        <v>131</v>
      </c>
      <c r="H4" s="29"/>
      <c r="I4" t="s">
        <v>274</v>
      </c>
      <c r="J4" s="41" t="s">
        <v>275</v>
      </c>
      <c r="K4" s="42" t="s">
        <v>257</v>
      </c>
      <c r="L4" t="s">
        <v>276</v>
      </c>
      <c r="N4" t="s">
        <v>277</v>
      </c>
      <c r="P4" s="29" t="s">
        <v>534</v>
      </c>
      <c r="Q4" s="29" t="s">
        <v>615</v>
      </c>
      <c r="R4" s="29" t="s">
        <v>1098</v>
      </c>
    </row>
    <row r="5" spans="1:18" x14ac:dyDescent="0.25">
      <c r="A5" t="s">
        <v>278</v>
      </c>
      <c r="B5" t="s">
        <v>306</v>
      </c>
      <c r="E5" s="29" t="s">
        <v>141</v>
      </c>
      <c r="F5" s="29" t="s">
        <v>289</v>
      </c>
      <c r="G5" s="29" t="s">
        <v>125</v>
      </c>
      <c r="H5" s="29"/>
      <c r="I5" t="s">
        <v>281</v>
      </c>
      <c r="J5" s="41" t="s">
        <v>282</v>
      </c>
      <c r="K5" s="42" t="s">
        <v>257</v>
      </c>
      <c r="L5" t="s">
        <v>283</v>
      </c>
      <c r="R5" s="29" t="s">
        <v>811</v>
      </c>
    </row>
    <row r="6" spans="1:18" x14ac:dyDescent="0.25">
      <c r="A6" t="s">
        <v>284</v>
      </c>
      <c r="B6" t="s">
        <v>571</v>
      </c>
      <c r="E6" s="29" t="s">
        <v>123</v>
      </c>
      <c r="F6" s="29" t="s">
        <v>295</v>
      </c>
      <c r="G6" s="29" t="s">
        <v>479</v>
      </c>
      <c r="H6" s="29"/>
      <c r="I6" t="s">
        <v>285</v>
      </c>
      <c r="J6" t="s">
        <v>286</v>
      </c>
      <c r="K6" s="40" t="s">
        <v>257</v>
      </c>
      <c r="L6" t="s">
        <v>287</v>
      </c>
      <c r="R6" s="29" t="s">
        <v>821</v>
      </c>
    </row>
    <row r="7" spans="1:18" x14ac:dyDescent="0.25">
      <c r="A7" t="s">
        <v>288</v>
      </c>
      <c r="B7" t="s">
        <v>714</v>
      </c>
      <c r="E7" s="29" t="s">
        <v>130</v>
      </c>
      <c r="F7" s="29" t="s">
        <v>300</v>
      </c>
      <c r="I7" t="s">
        <v>290</v>
      </c>
      <c r="J7" t="s">
        <v>291</v>
      </c>
      <c r="K7" s="40" t="s">
        <v>292</v>
      </c>
      <c r="L7" t="s">
        <v>293</v>
      </c>
      <c r="R7" s="29" t="s">
        <v>809</v>
      </c>
    </row>
    <row r="8" spans="1:18" x14ac:dyDescent="0.25">
      <c r="A8" t="s">
        <v>294</v>
      </c>
      <c r="F8" s="29" t="s">
        <v>307</v>
      </c>
      <c r="I8" t="s">
        <v>296</v>
      </c>
      <c r="J8" t="s">
        <v>297</v>
      </c>
      <c r="K8" s="40" t="s">
        <v>292</v>
      </c>
      <c r="L8" t="s">
        <v>298</v>
      </c>
      <c r="R8" s="29" t="s">
        <v>897</v>
      </c>
    </row>
    <row r="9" spans="1:18" x14ac:dyDescent="0.25">
      <c r="A9" t="s">
        <v>299</v>
      </c>
      <c r="F9" s="29" t="s">
        <v>310</v>
      </c>
      <c r="I9" t="s">
        <v>301</v>
      </c>
      <c r="J9" s="41" t="s">
        <v>302</v>
      </c>
      <c r="K9" s="42" t="s">
        <v>292</v>
      </c>
      <c r="R9" s="29" t="s">
        <v>807</v>
      </c>
    </row>
    <row r="10" spans="1:18" x14ac:dyDescent="0.25">
      <c r="A10" t="s">
        <v>303</v>
      </c>
      <c r="F10" s="29" t="s">
        <v>312</v>
      </c>
      <c r="I10" t="s">
        <v>898</v>
      </c>
      <c r="J10" s="41" t="s">
        <v>304</v>
      </c>
      <c r="K10" s="42" t="s">
        <v>292</v>
      </c>
      <c r="R10" s="29" t="s">
        <v>808</v>
      </c>
    </row>
    <row r="11" spans="1:18" x14ac:dyDescent="0.25">
      <c r="A11" t="s">
        <v>305</v>
      </c>
      <c r="F11" s="29" t="s">
        <v>666</v>
      </c>
      <c r="J11" t="s">
        <v>308</v>
      </c>
      <c r="K11" s="40" t="s">
        <v>292</v>
      </c>
      <c r="R11" s="29" t="s">
        <v>814</v>
      </c>
    </row>
    <row r="12" spans="1:18" x14ac:dyDescent="0.25">
      <c r="A12" t="s">
        <v>309</v>
      </c>
      <c r="F12" s="29" t="s">
        <v>1097</v>
      </c>
      <c r="R12" s="29" t="s">
        <v>816</v>
      </c>
    </row>
    <row r="13" spans="1:18" x14ac:dyDescent="0.25">
      <c r="A13" t="s">
        <v>311</v>
      </c>
      <c r="R13" s="29" t="s">
        <v>818</v>
      </c>
    </row>
    <row r="14" spans="1:18" x14ac:dyDescent="0.25">
      <c r="R14" s="29" t="s">
        <v>815</v>
      </c>
    </row>
    <row r="15" spans="1:18" x14ac:dyDescent="0.25">
      <c r="R15" s="29" t="s">
        <v>1120</v>
      </c>
    </row>
    <row r="16" spans="1:18" x14ac:dyDescent="0.25">
      <c r="R16" s="29" t="s">
        <v>813</v>
      </c>
    </row>
    <row r="17" spans="18:18" x14ac:dyDescent="0.25">
      <c r="R17" s="29" t="s">
        <v>819</v>
      </c>
    </row>
    <row r="18" spans="18:18" x14ac:dyDescent="0.25">
      <c r="R18" s="29" t="s">
        <v>1099</v>
      </c>
    </row>
    <row r="19" spans="18:18" x14ac:dyDescent="0.25">
      <c r="R19" s="29" t="s">
        <v>1059</v>
      </c>
    </row>
    <row r="20" spans="18:18" x14ac:dyDescent="0.25">
      <c r="R20" s="29"/>
    </row>
    <row r="21" spans="18:18" x14ac:dyDescent="0.25">
      <c r="R21" s="29"/>
    </row>
    <row r="22" spans="18:18" x14ac:dyDescent="0.25">
      <c r="R22" s="29"/>
    </row>
    <row r="23" spans="18:18" x14ac:dyDescent="0.25">
      <c r="R23" s="29"/>
    </row>
    <row r="24" spans="18:18" x14ac:dyDescent="0.25">
      <c r="R24" s="29"/>
    </row>
    <row r="25" spans="18:18" x14ac:dyDescent="0.25">
      <c r="R25" s="29"/>
    </row>
  </sheetData>
  <sheetProtection selectLockedCells="1" selectUnlockedCells="1"/>
  <pageMargins left="0.70866141732283472" right="0.70866141732283472" top="0.74803149606299213" bottom="0.74803149606299213" header="0.51181102362204722" footer="0.51181102362204722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indexed="13"/>
  </sheetPr>
  <dimension ref="A1:A29"/>
  <sheetViews>
    <sheetView topLeftCell="A7" zoomScale="130" zoomScaleNormal="130" workbookViewId="0">
      <selection activeCell="I25" sqref="I25"/>
    </sheetView>
  </sheetViews>
  <sheetFormatPr defaultRowHeight="15" x14ac:dyDescent="0.25"/>
  <cols>
    <col min="1" max="1" width="47.7109375" customWidth="1"/>
  </cols>
  <sheetData>
    <row r="1" spans="1:1" x14ac:dyDescent="0.25">
      <c r="A1" s="43" t="s">
        <v>65</v>
      </c>
    </row>
    <row r="2" spans="1:1" x14ac:dyDescent="0.25">
      <c r="A2" s="44" t="s">
        <v>313</v>
      </c>
    </row>
    <row r="3" spans="1:1" x14ac:dyDescent="0.25">
      <c r="A3" s="44" t="s">
        <v>314</v>
      </c>
    </row>
    <row r="4" spans="1:1" x14ac:dyDescent="0.25">
      <c r="A4" s="44" t="s">
        <v>315</v>
      </c>
    </row>
    <row r="5" spans="1:1" x14ac:dyDescent="0.25">
      <c r="A5" s="44" t="s">
        <v>316</v>
      </c>
    </row>
    <row r="6" spans="1:1" x14ac:dyDescent="0.25">
      <c r="A6" s="44" t="s">
        <v>317</v>
      </c>
    </row>
    <row r="7" spans="1:1" x14ac:dyDescent="0.25">
      <c r="A7" s="44" t="s">
        <v>318</v>
      </c>
    </row>
    <row r="8" spans="1:1" x14ac:dyDescent="0.25">
      <c r="A8" s="44" t="s">
        <v>319</v>
      </c>
    </row>
    <row r="9" spans="1:1" x14ac:dyDescent="0.25">
      <c r="A9" s="44" t="s">
        <v>320</v>
      </c>
    </row>
    <row r="10" spans="1:1" x14ac:dyDescent="0.25">
      <c r="A10" s="44" t="s">
        <v>321</v>
      </c>
    </row>
    <row r="11" spans="1:1" x14ac:dyDescent="0.25">
      <c r="A11" s="44" t="s">
        <v>322</v>
      </c>
    </row>
    <row r="12" spans="1:1" x14ac:dyDescent="0.25">
      <c r="A12" s="44" t="s">
        <v>323</v>
      </c>
    </row>
    <row r="13" spans="1:1" x14ac:dyDescent="0.25">
      <c r="A13" s="44" t="s">
        <v>324</v>
      </c>
    </row>
    <row r="14" spans="1:1" x14ac:dyDescent="0.25">
      <c r="A14" s="44" t="s">
        <v>325</v>
      </c>
    </row>
    <row r="15" spans="1:1" x14ac:dyDescent="0.25">
      <c r="A15" s="44" t="s">
        <v>326</v>
      </c>
    </row>
    <row r="16" spans="1:1" x14ac:dyDescent="0.25">
      <c r="A16" s="44" t="s">
        <v>327</v>
      </c>
    </row>
    <row r="17" spans="1:1" x14ac:dyDescent="0.25">
      <c r="A17" s="44" t="s">
        <v>328</v>
      </c>
    </row>
    <row r="18" spans="1:1" x14ac:dyDescent="0.25">
      <c r="A18" s="44" t="s">
        <v>329</v>
      </c>
    </row>
    <row r="19" spans="1:1" x14ac:dyDescent="0.25">
      <c r="A19" s="44" t="s">
        <v>330</v>
      </c>
    </row>
    <row r="20" spans="1:1" x14ac:dyDescent="0.25">
      <c r="A20" s="44" t="s">
        <v>331</v>
      </c>
    </row>
    <row r="21" spans="1:1" x14ac:dyDescent="0.25">
      <c r="A21" s="44" t="s">
        <v>332</v>
      </c>
    </row>
    <row r="22" spans="1:1" x14ac:dyDescent="0.25">
      <c r="A22" s="44" t="s">
        <v>333</v>
      </c>
    </row>
    <row r="23" spans="1:1" x14ac:dyDescent="0.25">
      <c r="A23" s="44" t="s">
        <v>334</v>
      </c>
    </row>
    <row r="24" spans="1:1" x14ac:dyDescent="0.25">
      <c r="A24" s="44" t="s">
        <v>335</v>
      </c>
    </row>
    <row r="25" spans="1:1" x14ac:dyDescent="0.25">
      <c r="A25" s="44" t="s">
        <v>336</v>
      </c>
    </row>
    <row r="26" spans="1:1" x14ac:dyDescent="0.25">
      <c r="A26" s="44" t="s">
        <v>337</v>
      </c>
    </row>
    <row r="27" spans="1:1" x14ac:dyDescent="0.25">
      <c r="A27" s="44" t="s">
        <v>338</v>
      </c>
    </row>
    <row r="28" spans="1:1" x14ac:dyDescent="0.25">
      <c r="A28" s="44" t="s">
        <v>339</v>
      </c>
    </row>
    <row r="29" spans="1:1" x14ac:dyDescent="0.25">
      <c r="A29" s="44" t="s">
        <v>340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indexed="13"/>
  </sheetPr>
  <dimension ref="A1:B36"/>
  <sheetViews>
    <sheetView workbookViewId="0">
      <selection activeCell="B2" sqref="B2"/>
    </sheetView>
  </sheetViews>
  <sheetFormatPr defaultRowHeight="15" x14ac:dyDescent="0.25"/>
  <cols>
    <col min="1" max="1" width="29" customWidth="1"/>
    <col min="2" max="2" width="122.5703125" customWidth="1"/>
  </cols>
  <sheetData>
    <row r="1" spans="1:2" x14ac:dyDescent="0.25">
      <c r="A1" s="43" t="s">
        <v>341</v>
      </c>
      <c r="B1" s="43"/>
    </row>
    <row r="2" spans="1:2" x14ac:dyDescent="0.25">
      <c r="A2" t="s">
        <v>342</v>
      </c>
      <c r="B2" t="s">
        <v>343</v>
      </c>
    </row>
    <row r="3" spans="1:2" x14ac:dyDescent="0.25">
      <c r="A3" t="s">
        <v>344</v>
      </c>
      <c r="B3" t="s">
        <v>345</v>
      </c>
    </row>
    <row r="4" spans="1:2" x14ac:dyDescent="0.25">
      <c r="A4" t="s">
        <v>346</v>
      </c>
      <c r="B4" t="s">
        <v>347</v>
      </c>
    </row>
    <row r="5" spans="1:2" x14ac:dyDescent="0.25">
      <c r="A5" t="s">
        <v>348</v>
      </c>
      <c r="B5" t="s">
        <v>349</v>
      </c>
    </row>
    <row r="6" spans="1:2" x14ac:dyDescent="0.25">
      <c r="A6" t="s">
        <v>350</v>
      </c>
      <c r="B6" t="s">
        <v>351</v>
      </c>
    </row>
    <row r="7" spans="1:2" x14ac:dyDescent="0.25">
      <c r="A7" t="s">
        <v>350</v>
      </c>
      <c r="B7" t="s">
        <v>352</v>
      </c>
    </row>
    <row r="8" spans="1:2" x14ac:dyDescent="0.25">
      <c r="A8" t="s">
        <v>350</v>
      </c>
      <c r="B8" t="s">
        <v>353</v>
      </c>
    </row>
    <row r="9" spans="1:2" x14ac:dyDescent="0.25">
      <c r="A9" t="s">
        <v>354</v>
      </c>
      <c r="B9" t="s">
        <v>355</v>
      </c>
    </row>
    <row r="10" spans="1:2" x14ac:dyDescent="0.25">
      <c r="A10" t="s">
        <v>356</v>
      </c>
      <c r="B10" t="s">
        <v>357</v>
      </c>
    </row>
    <row r="11" spans="1:2" x14ac:dyDescent="0.25">
      <c r="A11" t="s">
        <v>358</v>
      </c>
      <c r="B11" t="s">
        <v>359</v>
      </c>
    </row>
    <row r="12" spans="1:2" x14ac:dyDescent="0.25">
      <c r="A12" t="s">
        <v>360</v>
      </c>
      <c r="B12" t="s">
        <v>361</v>
      </c>
    </row>
    <row r="13" spans="1:2" x14ac:dyDescent="0.25">
      <c r="A13" t="s">
        <v>356</v>
      </c>
      <c r="B13" t="s">
        <v>362</v>
      </c>
    </row>
    <row r="14" spans="1:2" x14ac:dyDescent="0.25">
      <c r="A14" t="s">
        <v>363</v>
      </c>
      <c r="B14" t="s">
        <v>364</v>
      </c>
    </row>
    <row r="15" spans="1:2" x14ac:dyDescent="0.25">
      <c r="A15" t="s">
        <v>365</v>
      </c>
      <c r="B15" t="s">
        <v>366</v>
      </c>
    </row>
    <row r="16" spans="1:2" x14ac:dyDescent="0.25">
      <c r="A16" t="s">
        <v>367</v>
      </c>
      <c r="B16" t="s">
        <v>368</v>
      </c>
    </row>
    <row r="17" spans="1:2" x14ac:dyDescent="0.25">
      <c r="A17" t="s">
        <v>369</v>
      </c>
      <c r="B17" t="s">
        <v>370</v>
      </c>
    </row>
    <row r="18" spans="1:2" x14ac:dyDescent="0.25">
      <c r="A18" t="s">
        <v>371</v>
      </c>
      <c r="B18" t="s">
        <v>372</v>
      </c>
    </row>
    <row r="19" spans="1:2" x14ac:dyDescent="0.25">
      <c r="A19" t="s">
        <v>373</v>
      </c>
      <c r="B19" t="s">
        <v>374</v>
      </c>
    </row>
    <row r="20" spans="1:2" x14ac:dyDescent="0.25">
      <c r="A20" t="s">
        <v>375</v>
      </c>
      <c r="B20" t="s">
        <v>376</v>
      </c>
    </row>
    <row r="21" spans="1:2" x14ac:dyDescent="0.25">
      <c r="A21" t="s">
        <v>377</v>
      </c>
      <c r="B21" t="s">
        <v>378</v>
      </c>
    </row>
    <row r="22" spans="1:2" x14ac:dyDescent="0.25">
      <c r="A22" t="s">
        <v>379</v>
      </c>
      <c r="B22" t="s">
        <v>380</v>
      </c>
    </row>
    <row r="23" spans="1:2" x14ac:dyDescent="0.25">
      <c r="A23" t="s">
        <v>381</v>
      </c>
      <c r="B23" t="s">
        <v>382</v>
      </c>
    </row>
    <row r="24" spans="1:2" x14ac:dyDescent="0.25">
      <c r="A24" t="s">
        <v>383</v>
      </c>
      <c r="B24" t="s">
        <v>384</v>
      </c>
    </row>
    <row r="25" spans="1:2" x14ac:dyDescent="0.25">
      <c r="A25" t="s">
        <v>385</v>
      </c>
      <c r="B25" t="s">
        <v>386</v>
      </c>
    </row>
    <row r="26" spans="1:2" x14ac:dyDescent="0.25">
      <c r="A26" t="s">
        <v>387</v>
      </c>
      <c r="B26" t="s">
        <v>388</v>
      </c>
    </row>
    <row r="27" spans="1:2" x14ac:dyDescent="0.25">
      <c r="A27" t="s">
        <v>389</v>
      </c>
      <c r="B27" t="s">
        <v>390</v>
      </c>
    </row>
    <row r="28" spans="1:2" x14ac:dyDescent="0.25">
      <c r="A28" t="s">
        <v>391</v>
      </c>
      <c r="B28" t="s">
        <v>392</v>
      </c>
    </row>
    <row r="29" spans="1:2" x14ac:dyDescent="0.25">
      <c r="A29" t="s">
        <v>393</v>
      </c>
      <c r="B29" t="s">
        <v>394</v>
      </c>
    </row>
    <row r="30" spans="1:2" x14ac:dyDescent="0.25">
      <c r="A30" t="s">
        <v>395</v>
      </c>
      <c r="B30" t="s">
        <v>396</v>
      </c>
    </row>
    <row r="31" spans="1:2" x14ac:dyDescent="0.25">
      <c r="A31" t="s">
        <v>397</v>
      </c>
      <c r="B31" t="s">
        <v>398</v>
      </c>
    </row>
    <row r="32" spans="1:2" x14ac:dyDescent="0.25">
      <c r="A32" t="s">
        <v>399</v>
      </c>
      <c r="B32" t="s">
        <v>400</v>
      </c>
    </row>
    <row r="33" spans="1:2" x14ac:dyDescent="0.25">
      <c r="A33" t="s">
        <v>401</v>
      </c>
      <c r="B33" t="s">
        <v>402</v>
      </c>
    </row>
    <row r="34" spans="1:2" x14ac:dyDescent="0.25">
      <c r="A34" t="s">
        <v>403</v>
      </c>
      <c r="B34" t="s">
        <v>404</v>
      </c>
    </row>
    <row r="35" spans="1:2" x14ac:dyDescent="0.25">
      <c r="A35" t="s">
        <v>405</v>
      </c>
      <c r="B35" t="s">
        <v>406</v>
      </c>
    </row>
    <row r="36" spans="1:2" x14ac:dyDescent="0.25">
      <c r="A36" t="s">
        <v>407</v>
      </c>
      <c r="B36" t="s">
        <v>408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>
    <tabColor indexed="13"/>
  </sheetPr>
  <dimension ref="A1:B32"/>
  <sheetViews>
    <sheetView workbookViewId="0">
      <selection activeCell="A3" sqref="A3:A33"/>
    </sheetView>
  </sheetViews>
  <sheetFormatPr defaultRowHeight="15" x14ac:dyDescent="0.25"/>
  <cols>
    <col min="1" max="1" width="96.5703125" customWidth="1"/>
  </cols>
  <sheetData>
    <row r="1" spans="1:2" x14ac:dyDescent="0.25">
      <c r="A1" s="45" t="s">
        <v>409</v>
      </c>
      <c r="B1" s="46"/>
    </row>
    <row r="2" spans="1:2" x14ac:dyDescent="0.25">
      <c r="A2" s="47" t="s">
        <v>410</v>
      </c>
      <c r="B2" s="44" t="s">
        <v>411</v>
      </c>
    </row>
    <row r="3" spans="1:2" x14ac:dyDescent="0.25">
      <c r="A3" s="44" t="s">
        <v>313</v>
      </c>
      <c r="B3" s="44" t="s">
        <v>411</v>
      </c>
    </row>
    <row r="4" spans="1:2" x14ac:dyDescent="0.25">
      <c r="A4" s="44" t="s">
        <v>314</v>
      </c>
      <c r="B4" s="44" t="s">
        <v>411</v>
      </c>
    </row>
    <row r="5" spans="1:2" x14ac:dyDescent="0.25">
      <c r="A5" s="44" t="s">
        <v>315</v>
      </c>
      <c r="B5" s="44" t="s">
        <v>411</v>
      </c>
    </row>
    <row r="6" spans="1:2" x14ac:dyDescent="0.25">
      <c r="A6" s="44" t="s">
        <v>316</v>
      </c>
      <c r="B6" s="44" t="s">
        <v>411</v>
      </c>
    </row>
    <row r="7" spans="1:2" x14ac:dyDescent="0.25">
      <c r="A7" s="44" t="s">
        <v>317</v>
      </c>
      <c r="B7" s="44" t="s">
        <v>411</v>
      </c>
    </row>
    <row r="8" spans="1:2" x14ac:dyDescent="0.25">
      <c r="A8" s="44" t="s">
        <v>318</v>
      </c>
      <c r="B8" s="44" t="s">
        <v>411</v>
      </c>
    </row>
    <row r="9" spans="1:2" x14ac:dyDescent="0.25">
      <c r="A9" s="44" t="s">
        <v>319</v>
      </c>
      <c r="B9" s="44" t="s">
        <v>411</v>
      </c>
    </row>
    <row r="10" spans="1:2" x14ac:dyDescent="0.25">
      <c r="A10" s="44" t="s">
        <v>320</v>
      </c>
      <c r="B10" s="44" t="s">
        <v>411</v>
      </c>
    </row>
    <row r="11" spans="1:2" x14ac:dyDescent="0.25">
      <c r="A11" s="44" t="s">
        <v>321</v>
      </c>
      <c r="B11" s="44" t="s">
        <v>411</v>
      </c>
    </row>
    <row r="12" spans="1:2" x14ac:dyDescent="0.25">
      <c r="A12" s="44" t="s">
        <v>322</v>
      </c>
      <c r="B12" s="44" t="s">
        <v>411</v>
      </c>
    </row>
    <row r="13" spans="1:2" x14ac:dyDescent="0.25">
      <c r="A13" s="44" t="s">
        <v>323</v>
      </c>
      <c r="B13" s="44" t="s">
        <v>411</v>
      </c>
    </row>
    <row r="14" spans="1:2" x14ac:dyDescent="0.25">
      <c r="A14" s="47" t="s">
        <v>366</v>
      </c>
      <c r="B14" s="44" t="s">
        <v>411</v>
      </c>
    </row>
    <row r="15" spans="1:2" x14ac:dyDescent="0.25">
      <c r="A15" s="44" t="s">
        <v>324</v>
      </c>
      <c r="B15" s="44" t="s">
        <v>411</v>
      </c>
    </row>
    <row r="16" spans="1:2" x14ac:dyDescent="0.25">
      <c r="A16" s="44" t="s">
        <v>325</v>
      </c>
      <c r="B16" s="44" t="s">
        <v>411</v>
      </c>
    </row>
    <row r="17" spans="1:2" x14ac:dyDescent="0.25">
      <c r="A17" s="44" t="s">
        <v>326</v>
      </c>
      <c r="B17" s="44" t="s">
        <v>411</v>
      </c>
    </row>
    <row r="18" spans="1:2" x14ac:dyDescent="0.25">
      <c r="A18" s="44" t="s">
        <v>327</v>
      </c>
      <c r="B18" s="44" t="s">
        <v>411</v>
      </c>
    </row>
    <row r="19" spans="1:2" x14ac:dyDescent="0.25">
      <c r="A19" s="44" t="s">
        <v>328</v>
      </c>
      <c r="B19" s="44" t="s">
        <v>411</v>
      </c>
    </row>
    <row r="20" spans="1:2" x14ac:dyDescent="0.25">
      <c r="A20" s="44" t="s">
        <v>329</v>
      </c>
      <c r="B20" s="44" t="s">
        <v>411</v>
      </c>
    </row>
    <row r="21" spans="1:2" x14ac:dyDescent="0.25">
      <c r="A21" s="47" t="s">
        <v>412</v>
      </c>
      <c r="B21" s="44" t="s">
        <v>413</v>
      </c>
    </row>
    <row r="22" spans="1:2" x14ac:dyDescent="0.25">
      <c r="A22" s="44" t="s">
        <v>330</v>
      </c>
      <c r="B22" s="44" t="s">
        <v>413</v>
      </c>
    </row>
    <row r="23" spans="1:2" x14ac:dyDescent="0.25">
      <c r="A23" s="44" t="s">
        <v>331</v>
      </c>
      <c r="B23" s="44" t="s">
        <v>413</v>
      </c>
    </row>
    <row r="24" spans="1:2" x14ac:dyDescent="0.25">
      <c r="A24" s="44" t="s">
        <v>332</v>
      </c>
      <c r="B24" s="44" t="s">
        <v>413</v>
      </c>
    </row>
    <row r="25" spans="1:2" x14ac:dyDescent="0.25">
      <c r="A25" s="44" t="s">
        <v>333</v>
      </c>
      <c r="B25" s="44" t="s">
        <v>413</v>
      </c>
    </row>
    <row r="26" spans="1:2" x14ac:dyDescent="0.25">
      <c r="A26" s="44" t="s">
        <v>334</v>
      </c>
      <c r="B26" s="44" t="s">
        <v>413</v>
      </c>
    </row>
    <row r="27" spans="1:2" x14ac:dyDescent="0.25">
      <c r="A27" s="44" t="s">
        <v>335</v>
      </c>
      <c r="B27" s="44" t="s">
        <v>413</v>
      </c>
    </row>
    <row r="28" spans="1:2" x14ac:dyDescent="0.25">
      <c r="A28" s="44" t="s">
        <v>336</v>
      </c>
      <c r="B28" s="44" t="s">
        <v>413</v>
      </c>
    </row>
    <row r="29" spans="1:2" x14ac:dyDescent="0.25">
      <c r="A29" s="44" t="s">
        <v>337</v>
      </c>
      <c r="B29" s="44" t="s">
        <v>413</v>
      </c>
    </row>
    <row r="30" spans="1:2" x14ac:dyDescent="0.25">
      <c r="A30" s="44" t="s">
        <v>338</v>
      </c>
      <c r="B30" s="44" t="s">
        <v>413</v>
      </c>
    </row>
    <row r="31" spans="1:2" x14ac:dyDescent="0.25">
      <c r="A31" s="44" t="s">
        <v>339</v>
      </c>
      <c r="B31" s="44" t="s">
        <v>413</v>
      </c>
    </row>
    <row r="32" spans="1:2" x14ac:dyDescent="0.25">
      <c r="A32" s="44" t="s">
        <v>340</v>
      </c>
      <c r="B32" s="44" t="s">
        <v>413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>
    <tabColor indexed="50"/>
    <pageSetUpPr fitToPage="1"/>
  </sheetPr>
  <dimension ref="A1:AW179"/>
  <sheetViews>
    <sheetView tabSelected="1" zoomScale="85" zoomScaleNormal="85" workbookViewId="0">
      <pane xSplit="2" ySplit="2" topLeftCell="AM147" activePane="bottomRight" state="frozen"/>
      <selection activeCell="U235" sqref="U235"/>
      <selection pane="topRight" activeCell="U235" sqref="U235"/>
      <selection pane="bottomLeft" activeCell="U235" sqref="U235"/>
      <selection pane="bottomRight" activeCell="AO188" sqref="AO188"/>
    </sheetView>
  </sheetViews>
  <sheetFormatPr defaultRowHeight="15" outlineLevelRow="1" outlineLevelCol="1" x14ac:dyDescent="0.25"/>
  <cols>
    <col min="1" max="1" width="46.28515625" customWidth="1"/>
    <col min="2" max="2" width="12.140625" customWidth="1"/>
    <col min="3" max="3" width="10.28515625" customWidth="1"/>
    <col min="4" max="4" width="9.42578125" customWidth="1"/>
    <col min="5" max="5" width="16.42578125" customWidth="1"/>
    <col min="6" max="6" width="11.42578125" hidden="1" customWidth="1" outlineLevel="1"/>
    <col min="7" max="7" width="8" hidden="1" customWidth="1" outlineLevel="1"/>
    <col min="8" max="8" width="13" hidden="1" customWidth="1" outlineLevel="1"/>
    <col min="9" max="9" width="9.7109375" hidden="1" customWidth="1" outlineLevel="1"/>
    <col min="10" max="10" width="9.28515625" hidden="1" customWidth="1" outlineLevel="1"/>
    <col min="11" max="11" width="11.7109375" hidden="1" customWidth="1" outlineLevel="1"/>
    <col min="12" max="13" width="8.42578125" hidden="1" customWidth="1" outlineLevel="1"/>
    <col min="14" max="14" width="11.140625" hidden="1" customWidth="1" outlineLevel="1"/>
    <col min="15" max="16" width="9.42578125" hidden="1" customWidth="1" outlineLevel="1"/>
    <col min="17" max="17" width="11" hidden="1" customWidth="1" outlineLevel="1"/>
    <col min="18" max="29" width="9.42578125" hidden="1" customWidth="1" outlineLevel="1"/>
    <col min="30" max="30" width="9.7109375" hidden="1" customWidth="1" outlineLevel="1"/>
    <col min="31" max="31" width="9.42578125" hidden="1" customWidth="1" outlineLevel="1"/>
    <col min="32" max="32" width="9" hidden="1" customWidth="1" outlineLevel="1"/>
    <col min="33" max="38" width="9.42578125" hidden="1" customWidth="1" outlineLevel="1"/>
    <col min="39" max="39" width="9.42578125" customWidth="1" collapsed="1"/>
    <col min="40" max="43" width="9.42578125" customWidth="1"/>
    <col min="44" max="44" width="10.85546875" customWidth="1"/>
    <col min="45" max="45" width="13" customWidth="1"/>
    <col min="46" max="46" width="9.140625" customWidth="1"/>
  </cols>
  <sheetData>
    <row r="1" spans="1:47" s="29" customFormat="1" ht="36" customHeight="1" x14ac:dyDescent="0.3">
      <c r="A1" s="141" t="s">
        <v>425</v>
      </c>
      <c r="B1" s="620" t="s">
        <v>1119</v>
      </c>
      <c r="C1" s="625" t="s">
        <v>610</v>
      </c>
      <c r="D1" s="627" t="s">
        <v>735</v>
      </c>
      <c r="E1" s="629" t="s">
        <v>736</v>
      </c>
      <c r="F1" s="622" t="s">
        <v>426</v>
      </c>
      <c r="G1" s="619"/>
      <c r="H1" s="619"/>
      <c r="I1" s="619" t="s">
        <v>427</v>
      </c>
      <c r="J1" s="619"/>
      <c r="K1" s="619"/>
      <c r="L1" s="619" t="s">
        <v>428</v>
      </c>
      <c r="M1" s="619"/>
      <c r="N1" s="619"/>
      <c r="O1" s="619" t="s">
        <v>429</v>
      </c>
      <c r="P1" s="619"/>
      <c r="Q1" s="619"/>
      <c r="R1" s="619" t="s">
        <v>423</v>
      </c>
      <c r="S1" s="619"/>
      <c r="T1" s="619"/>
      <c r="U1" s="619" t="s">
        <v>430</v>
      </c>
      <c r="V1" s="619"/>
      <c r="W1" s="619"/>
      <c r="X1" s="619" t="s">
        <v>431</v>
      </c>
      <c r="Y1" s="619"/>
      <c r="Z1" s="619"/>
      <c r="AA1" s="619" t="s">
        <v>432</v>
      </c>
      <c r="AB1" s="619"/>
      <c r="AC1" s="619"/>
      <c r="AD1" s="619" t="s">
        <v>433</v>
      </c>
      <c r="AE1" s="619"/>
      <c r="AF1" s="619"/>
      <c r="AG1" s="619" t="s">
        <v>434</v>
      </c>
      <c r="AH1" s="619"/>
      <c r="AI1" s="619"/>
      <c r="AJ1" s="619" t="s">
        <v>435</v>
      </c>
      <c r="AK1" s="619"/>
      <c r="AL1" s="619"/>
      <c r="AM1" s="619" t="s">
        <v>436</v>
      </c>
      <c r="AN1" s="619"/>
      <c r="AO1" s="619"/>
      <c r="AP1" s="621" t="s">
        <v>437</v>
      </c>
      <c r="AQ1" s="621"/>
      <c r="AR1" s="621"/>
    </row>
    <row r="2" spans="1:47" ht="16.899999999999999" customHeight="1" outlineLevel="1" x14ac:dyDescent="0.25">
      <c r="A2" s="72" t="s">
        <v>238</v>
      </c>
      <c r="B2" s="620"/>
      <c r="C2" s="626"/>
      <c r="D2" s="628"/>
      <c r="E2" s="630"/>
      <c r="F2" s="71" t="s">
        <v>438</v>
      </c>
      <c r="G2" s="48" t="s">
        <v>439</v>
      </c>
      <c r="H2" s="48" t="s">
        <v>440</v>
      </c>
      <c r="I2" s="48" t="s">
        <v>438</v>
      </c>
      <c r="J2" s="48" t="s">
        <v>439</v>
      </c>
      <c r="K2" s="48" t="s">
        <v>440</v>
      </c>
      <c r="L2" s="48" t="s">
        <v>438</v>
      </c>
      <c r="M2" s="48" t="s">
        <v>439</v>
      </c>
      <c r="N2" s="48" t="s">
        <v>440</v>
      </c>
      <c r="O2" s="48" t="s">
        <v>438</v>
      </c>
      <c r="P2" s="48" t="s">
        <v>439</v>
      </c>
      <c r="Q2" s="48" t="s">
        <v>440</v>
      </c>
      <c r="R2" s="48" t="s">
        <v>438</v>
      </c>
      <c r="S2" s="48" t="s">
        <v>439</v>
      </c>
      <c r="T2" s="48" t="s">
        <v>440</v>
      </c>
      <c r="U2" s="48" t="s">
        <v>438</v>
      </c>
      <c r="V2" s="48" t="s">
        <v>439</v>
      </c>
      <c r="W2" s="48" t="s">
        <v>440</v>
      </c>
      <c r="X2" s="48" t="s">
        <v>438</v>
      </c>
      <c r="Y2" s="48" t="s">
        <v>439</v>
      </c>
      <c r="Z2" s="48" t="s">
        <v>440</v>
      </c>
      <c r="AA2" s="48" t="s">
        <v>438</v>
      </c>
      <c r="AB2" s="48" t="s">
        <v>439</v>
      </c>
      <c r="AC2" s="48" t="s">
        <v>440</v>
      </c>
      <c r="AD2" s="48" t="s">
        <v>438</v>
      </c>
      <c r="AE2" s="48" t="s">
        <v>439</v>
      </c>
      <c r="AF2" s="48" t="s">
        <v>440</v>
      </c>
      <c r="AG2" s="48" t="s">
        <v>438</v>
      </c>
      <c r="AH2" s="48" t="s">
        <v>439</v>
      </c>
      <c r="AI2" s="48" t="s">
        <v>440</v>
      </c>
      <c r="AJ2" s="48" t="s">
        <v>438</v>
      </c>
      <c r="AK2" s="48" t="s">
        <v>439</v>
      </c>
      <c r="AL2" s="48" t="s">
        <v>440</v>
      </c>
      <c r="AM2" s="48" t="s">
        <v>438</v>
      </c>
      <c r="AN2" s="48" t="s">
        <v>439</v>
      </c>
      <c r="AO2" s="48" t="s">
        <v>440</v>
      </c>
      <c r="AP2" s="48" t="s">
        <v>438</v>
      </c>
      <c r="AQ2" s="48" t="s">
        <v>439</v>
      </c>
      <c r="AR2" s="48" t="s">
        <v>440</v>
      </c>
    </row>
    <row r="3" spans="1:47" s="273" customFormat="1" ht="20.25" customHeight="1" outlineLevel="1" x14ac:dyDescent="0.25">
      <c r="A3" s="263" t="s">
        <v>712</v>
      </c>
      <c r="B3" s="320">
        <v>0.2</v>
      </c>
      <c r="C3" s="264">
        <f t="shared" ref="C3:C8" si="0">B3/12*$C$14</f>
        <v>0.1</v>
      </c>
      <c r="D3" s="262">
        <f t="shared" ref="D3:D8" si="1">AR3</f>
        <v>6.5065840433772268E-2</v>
      </c>
      <c r="E3" s="265">
        <f t="shared" ref="E3:E8" si="2">IF(D3&gt;0%,C3/D3,100%)</f>
        <v>1.536904761904762</v>
      </c>
      <c r="F3" s="99">
        <v>331</v>
      </c>
      <c r="G3" s="100">
        <v>3</v>
      </c>
      <c r="H3" s="266">
        <f t="shared" ref="H3:H8" si="3">G3/F3</f>
        <v>9.0634441087613302E-3</v>
      </c>
      <c r="I3" s="267">
        <v>321</v>
      </c>
      <c r="J3" s="100">
        <v>9</v>
      </c>
      <c r="K3" s="266">
        <f t="shared" ref="K3:K9" si="4">J3/I3</f>
        <v>2.8037383177570093E-2</v>
      </c>
      <c r="L3" s="267">
        <v>321</v>
      </c>
      <c r="M3" s="268">
        <v>5</v>
      </c>
      <c r="N3" s="266">
        <f t="shared" ref="N3:N9" si="5">M3/L3</f>
        <v>1.5576323987538941E-2</v>
      </c>
      <c r="O3" s="267">
        <v>318</v>
      </c>
      <c r="P3" s="100">
        <v>4</v>
      </c>
      <c r="Q3" s="266">
        <f t="shared" ref="Q3:Q9" si="6">P3/O3</f>
        <v>1.2578616352201259E-2</v>
      </c>
      <c r="R3" s="267"/>
      <c r="S3" s="100"/>
      <c r="T3" s="266" t="e">
        <f t="shared" ref="T3:T9" si="7">S3/R3</f>
        <v>#DIV/0!</v>
      </c>
      <c r="U3" s="267"/>
      <c r="V3" s="100"/>
      <c r="W3" s="266" t="e">
        <f t="shared" ref="W3:W9" si="8">V3/U3</f>
        <v>#DIV/0!</v>
      </c>
      <c r="X3" s="267"/>
      <c r="Y3" s="100"/>
      <c r="Z3" s="266" t="e">
        <f t="shared" ref="Z3:Z9" si="9">Y3/X3</f>
        <v>#DIV/0!</v>
      </c>
      <c r="AA3" s="267"/>
      <c r="AB3" s="100"/>
      <c r="AC3" s="266" t="e">
        <f t="shared" ref="AC3:AC9" si="10">AB3/AA3</f>
        <v>#DIV/0!</v>
      </c>
      <c r="AD3" s="269"/>
      <c r="AE3" s="102"/>
      <c r="AF3" s="266" t="e">
        <f t="shared" ref="AF3:AF9" si="11">AE3/AD3</f>
        <v>#DIV/0!</v>
      </c>
      <c r="AG3" s="267"/>
      <c r="AH3" s="100"/>
      <c r="AI3" s="266" t="e">
        <f t="shared" ref="AI3:AI9" si="12">AH3/AG3</f>
        <v>#DIV/0!</v>
      </c>
      <c r="AJ3" s="267"/>
      <c r="AK3" s="100"/>
      <c r="AL3" s="266" t="e">
        <f t="shared" ref="AL3:AL9" si="13">AK3/AJ3</f>
        <v>#DIV/0!</v>
      </c>
      <c r="AM3" s="269"/>
      <c r="AN3" s="102"/>
      <c r="AO3" s="270" t="e">
        <f t="shared" ref="AO3:AO9" si="14">AN3/AM3</f>
        <v>#DIV/0!</v>
      </c>
      <c r="AP3" s="271">
        <f t="shared" ref="AP3:AP9" si="15">AVERAGE(F3,I3,L3,O3,R3,U3,X3,AA3,AD3,AG3,AJ3,AM3)</f>
        <v>322.75</v>
      </c>
      <c r="AQ3" s="271">
        <f t="shared" ref="AQ3:AQ9" si="16">SUM(G3,J3,M3,P3,S3,V3,Y3,AB3,AE3,AH3,AK3,AN3)</f>
        <v>21</v>
      </c>
      <c r="AR3" s="272">
        <f t="shared" ref="AR3:AR9" si="17">AQ3/AP3</f>
        <v>6.5065840433772268E-2</v>
      </c>
    </row>
    <row r="4" spans="1:47" s="273" customFormat="1" ht="16.899999999999999" customHeight="1" outlineLevel="1" x14ac:dyDescent="0.25">
      <c r="A4" s="263" t="s">
        <v>250</v>
      </c>
      <c r="B4" s="320">
        <v>0.25</v>
      </c>
      <c r="C4" s="264">
        <f t="shared" si="0"/>
        <v>0.125</v>
      </c>
      <c r="D4" s="262">
        <f t="shared" si="1"/>
        <v>8.6956521739130432E-2</v>
      </c>
      <c r="E4" s="265">
        <f t="shared" si="2"/>
        <v>1.4375</v>
      </c>
      <c r="F4" s="106">
        <v>37</v>
      </c>
      <c r="G4" s="103">
        <v>1</v>
      </c>
      <c r="H4" s="266">
        <f t="shared" si="3"/>
        <v>2.7027027027027029E-2</v>
      </c>
      <c r="I4" s="267">
        <v>35</v>
      </c>
      <c r="J4" s="100">
        <v>1</v>
      </c>
      <c r="K4" s="266">
        <f t="shared" si="4"/>
        <v>2.8571428571428571E-2</v>
      </c>
      <c r="L4" s="267">
        <v>33</v>
      </c>
      <c r="M4" s="268"/>
      <c r="N4" s="266">
        <f t="shared" si="5"/>
        <v>0</v>
      </c>
      <c r="O4" s="267">
        <v>33</v>
      </c>
      <c r="P4" s="100">
        <v>1</v>
      </c>
      <c r="Q4" s="266">
        <f t="shared" si="6"/>
        <v>3.0303030303030304E-2</v>
      </c>
      <c r="R4" s="267"/>
      <c r="S4" s="100"/>
      <c r="T4" s="266" t="e">
        <f t="shared" si="7"/>
        <v>#DIV/0!</v>
      </c>
      <c r="U4" s="267"/>
      <c r="V4" s="100"/>
      <c r="W4" s="266" t="e">
        <f t="shared" si="8"/>
        <v>#DIV/0!</v>
      </c>
      <c r="X4" s="267"/>
      <c r="Y4" s="100"/>
      <c r="Z4" s="266" t="e">
        <f t="shared" si="9"/>
        <v>#DIV/0!</v>
      </c>
      <c r="AA4" s="267"/>
      <c r="AB4" s="100"/>
      <c r="AC4" s="266" t="e">
        <f t="shared" si="10"/>
        <v>#DIV/0!</v>
      </c>
      <c r="AD4" s="269"/>
      <c r="AE4" s="102"/>
      <c r="AF4" s="266" t="e">
        <f t="shared" si="11"/>
        <v>#DIV/0!</v>
      </c>
      <c r="AG4" s="267"/>
      <c r="AH4" s="100"/>
      <c r="AI4" s="266" t="e">
        <f t="shared" si="12"/>
        <v>#DIV/0!</v>
      </c>
      <c r="AJ4" s="267"/>
      <c r="AK4" s="100"/>
      <c r="AL4" s="266" t="e">
        <f t="shared" si="13"/>
        <v>#DIV/0!</v>
      </c>
      <c r="AM4" s="269"/>
      <c r="AN4" s="102"/>
      <c r="AO4" s="270" t="e">
        <f t="shared" si="14"/>
        <v>#DIV/0!</v>
      </c>
      <c r="AP4" s="271">
        <f t="shared" si="15"/>
        <v>34.5</v>
      </c>
      <c r="AQ4" s="271">
        <f t="shared" si="16"/>
        <v>3</v>
      </c>
      <c r="AR4" s="272">
        <f t="shared" si="17"/>
        <v>8.6956521739130432E-2</v>
      </c>
    </row>
    <row r="5" spans="1:47" s="273" customFormat="1" ht="16.899999999999999" customHeight="1" outlineLevel="1" x14ac:dyDescent="0.25">
      <c r="A5" s="274" t="s">
        <v>262</v>
      </c>
      <c r="B5" s="58">
        <v>0.16500000000000001</v>
      </c>
      <c r="C5" s="58">
        <f t="shared" si="0"/>
        <v>8.2500000000000004E-2</v>
      </c>
      <c r="D5" s="152">
        <f t="shared" si="1"/>
        <v>7.3170731707317069E-2</v>
      </c>
      <c r="E5" s="275">
        <f t="shared" si="2"/>
        <v>1.1275000000000002</v>
      </c>
      <c r="F5" s="106">
        <v>41</v>
      </c>
      <c r="G5" s="103"/>
      <c r="H5" s="266">
        <f t="shared" si="3"/>
        <v>0</v>
      </c>
      <c r="I5" s="267">
        <v>42</v>
      </c>
      <c r="J5" s="100">
        <v>1</v>
      </c>
      <c r="K5" s="266">
        <f t="shared" si="4"/>
        <v>2.3809523809523808E-2</v>
      </c>
      <c r="L5" s="276">
        <v>41</v>
      </c>
      <c r="M5" s="268">
        <v>1</v>
      </c>
      <c r="N5" s="266">
        <f t="shared" si="5"/>
        <v>2.4390243902439025E-2</v>
      </c>
      <c r="O5" s="269">
        <v>40</v>
      </c>
      <c r="P5" s="100">
        <v>1</v>
      </c>
      <c r="Q5" s="266">
        <f t="shared" si="6"/>
        <v>2.5000000000000001E-2</v>
      </c>
      <c r="R5" s="267"/>
      <c r="S5" s="100"/>
      <c r="T5" s="266" t="e">
        <f t="shared" si="7"/>
        <v>#DIV/0!</v>
      </c>
      <c r="U5" s="267"/>
      <c r="V5" s="100"/>
      <c r="W5" s="266" t="e">
        <f t="shared" si="8"/>
        <v>#DIV/0!</v>
      </c>
      <c r="X5" s="267"/>
      <c r="Y5" s="100"/>
      <c r="Z5" s="266" t="e">
        <f t="shared" si="9"/>
        <v>#DIV/0!</v>
      </c>
      <c r="AA5" s="267"/>
      <c r="AB5" s="100"/>
      <c r="AC5" s="266" t="e">
        <f t="shared" si="10"/>
        <v>#DIV/0!</v>
      </c>
      <c r="AD5" s="269"/>
      <c r="AE5" s="102"/>
      <c r="AF5" s="266" t="e">
        <f t="shared" si="11"/>
        <v>#DIV/0!</v>
      </c>
      <c r="AG5" s="267"/>
      <c r="AH5" s="100"/>
      <c r="AI5" s="266" t="e">
        <f t="shared" si="12"/>
        <v>#DIV/0!</v>
      </c>
      <c r="AJ5" s="267"/>
      <c r="AK5" s="100"/>
      <c r="AL5" s="266" t="e">
        <f t="shared" si="13"/>
        <v>#DIV/0!</v>
      </c>
      <c r="AM5" s="269"/>
      <c r="AN5" s="102"/>
      <c r="AO5" s="270" t="e">
        <f t="shared" si="14"/>
        <v>#DIV/0!</v>
      </c>
      <c r="AP5" s="271">
        <f t="shared" si="15"/>
        <v>41</v>
      </c>
      <c r="AQ5" s="271">
        <f t="shared" si="16"/>
        <v>3</v>
      </c>
      <c r="AR5" s="272">
        <f t="shared" si="17"/>
        <v>7.3170731707317069E-2</v>
      </c>
    </row>
    <row r="6" spans="1:47" s="29" customFormat="1" ht="16.899999999999999" customHeight="1" outlineLevel="1" x14ac:dyDescent="0.25">
      <c r="A6" s="263" t="s">
        <v>424</v>
      </c>
      <c r="B6" s="320">
        <v>0.1</v>
      </c>
      <c r="C6" s="264">
        <f t="shared" si="0"/>
        <v>0.05</v>
      </c>
      <c r="D6" s="262">
        <f t="shared" si="1"/>
        <v>0</v>
      </c>
      <c r="E6" s="265">
        <f t="shared" si="2"/>
        <v>1</v>
      </c>
      <c r="F6" s="105">
        <v>10</v>
      </c>
      <c r="G6" s="102"/>
      <c r="H6" s="277">
        <f t="shared" si="3"/>
        <v>0</v>
      </c>
      <c r="I6" s="269">
        <v>11</v>
      </c>
      <c r="J6" s="102"/>
      <c r="K6" s="277">
        <f t="shared" si="4"/>
        <v>0</v>
      </c>
      <c r="L6" s="278">
        <v>11</v>
      </c>
      <c r="M6" s="279"/>
      <c r="N6" s="277">
        <f t="shared" si="5"/>
        <v>0</v>
      </c>
      <c r="O6" s="269">
        <v>11</v>
      </c>
      <c r="P6" s="102">
        <v>0</v>
      </c>
      <c r="Q6" s="277">
        <f t="shared" si="6"/>
        <v>0</v>
      </c>
      <c r="R6" s="269"/>
      <c r="S6" s="102"/>
      <c r="T6" s="277" t="e">
        <f t="shared" si="7"/>
        <v>#DIV/0!</v>
      </c>
      <c r="U6" s="269"/>
      <c r="V6" s="102"/>
      <c r="W6" s="277" t="e">
        <f t="shared" si="8"/>
        <v>#DIV/0!</v>
      </c>
      <c r="X6" s="269"/>
      <c r="Y6" s="102"/>
      <c r="Z6" s="277" t="e">
        <f t="shared" si="9"/>
        <v>#DIV/0!</v>
      </c>
      <c r="AA6" s="269"/>
      <c r="AB6" s="102"/>
      <c r="AC6" s="277" t="e">
        <f t="shared" si="10"/>
        <v>#DIV/0!</v>
      </c>
      <c r="AD6" s="269"/>
      <c r="AE6" s="102"/>
      <c r="AF6" s="277" t="e">
        <f t="shared" si="11"/>
        <v>#DIV/0!</v>
      </c>
      <c r="AG6" s="269"/>
      <c r="AH6" s="102"/>
      <c r="AI6" s="277" t="e">
        <f t="shared" si="12"/>
        <v>#DIV/0!</v>
      </c>
      <c r="AJ6" s="269"/>
      <c r="AK6" s="102"/>
      <c r="AL6" s="277" t="e">
        <f t="shared" si="13"/>
        <v>#DIV/0!</v>
      </c>
      <c r="AM6" s="269"/>
      <c r="AN6" s="102"/>
      <c r="AO6" s="270" t="e">
        <f t="shared" si="14"/>
        <v>#DIV/0!</v>
      </c>
      <c r="AP6" s="271">
        <f t="shared" si="15"/>
        <v>10.75</v>
      </c>
      <c r="AQ6" s="271">
        <f t="shared" si="16"/>
        <v>0</v>
      </c>
      <c r="AR6" s="272">
        <f t="shared" si="17"/>
        <v>0</v>
      </c>
    </row>
    <row r="7" spans="1:47" s="29" customFormat="1" ht="16.899999999999999" customHeight="1" outlineLevel="1" x14ac:dyDescent="0.25">
      <c r="A7" s="149" t="s">
        <v>571</v>
      </c>
      <c r="B7" s="156">
        <v>0.15</v>
      </c>
      <c r="C7" s="58">
        <f>B7/12*$C$14</f>
        <v>7.4999999999999997E-2</v>
      </c>
      <c r="D7" s="152">
        <f>AR7</f>
        <v>0.10666666666666667</v>
      </c>
      <c r="E7" s="275">
        <f t="shared" si="2"/>
        <v>0.70312499999999989</v>
      </c>
      <c r="F7" s="101">
        <v>36</v>
      </c>
      <c r="G7" s="102"/>
      <c r="H7" s="277">
        <f t="shared" si="3"/>
        <v>0</v>
      </c>
      <c r="I7" s="269">
        <v>38</v>
      </c>
      <c r="J7" s="102">
        <v>1</v>
      </c>
      <c r="K7" s="277">
        <f t="shared" si="4"/>
        <v>2.6315789473684209E-2</v>
      </c>
      <c r="L7" s="278">
        <v>38</v>
      </c>
      <c r="M7" s="279">
        <v>2</v>
      </c>
      <c r="N7" s="277">
        <f t="shared" si="5"/>
        <v>5.2631578947368418E-2</v>
      </c>
      <c r="O7" s="269">
        <v>38</v>
      </c>
      <c r="P7" s="102">
        <v>1</v>
      </c>
      <c r="Q7" s="277">
        <f t="shared" si="6"/>
        <v>2.6315789473684209E-2</v>
      </c>
      <c r="R7" s="269"/>
      <c r="S7" s="102"/>
      <c r="T7" s="277" t="e">
        <f t="shared" si="7"/>
        <v>#DIV/0!</v>
      </c>
      <c r="U7" s="269"/>
      <c r="V7" s="102"/>
      <c r="W7" s="277" t="e">
        <f t="shared" si="8"/>
        <v>#DIV/0!</v>
      </c>
      <c r="X7" s="269"/>
      <c r="Y7" s="102"/>
      <c r="Z7" s="277" t="e">
        <f t="shared" si="9"/>
        <v>#DIV/0!</v>
      </c>
      <c r="AA7" s="269"/>
      <c r="AB7" s="102"/>
      <c r="AC7" s="277" t="e">
        <f t="shared" si="10"/>
        <v>#DIV/0!</v>
      </c>
      <c r="AD7" s="269"/>
      <c r="AE7" s="102"/>
      <c r="AF7" s="277" t="e">
        <f t="shared" si="11"/>
        <v>#DIV/0!</v>
      </c>
      <c r="AG7" s="269"/>
      <c r="AH7" s="102"/>
      <c r="AI7" s="277" t="e">
        <f t="shared" si="12"/>
        <v>#DIV/0!</v>
      </c>
      <c r="AJ7" s="269"/>
      <c r="AK7" s="102"/>
      <c r="AL7" s="277" t="e">
        <f t="shared" si="13"/>
        <v>#DIV/0!</v>
      </c>
      <c r="AM7" s="269"/>
      <c r="AN7" s="102"/>
      <c r="AO7" s="270" t="e">
        <f t="shared" si="14"/>
        <v>#DIV/0!</v>
      </c>
      <c r="AP7" s="271">
        <f t="shared" si="15"/>
        <v>37.5</v>
      </c>
      <c r="AQ7" s="271">
        <f t="shared" si="16"/>
        <v>4</v>
      </c>
      <c r="AR7" s="272">
        <f t="shared" si="17"/>
        <v>0.10666666666666667</v>
      </c>
    </row>
    <row r="8" spans="1:47" s="29" customFormat="1" ht="16.899999999999999" customHeight="1" outlineLevel="1" x14ac:dyDescent="0.25">
      <c r="A8" s="280" t="s">
        <v>714</v>
      </c>
      <c r="B8" s="320">
        <v>0.12</v>
      </c>
      <c r="C8" s="264">
        <f t="shared" si="0"/>
        <v>0.06</v>
      </c>
      <c r="D8" s="262">
        <f t="shared" si="1"/>
        <v>0</v>
      </c>
      <c r="E8" s="265">
        <f t="shared" si="2"/>
        <v>1</v>
      </c>
      <c r="F8" s="101">
        <v>17</v>
      </c>
      <c r="G8" s="102"/>
      <c r="H8" s="277">
        <f t="shared" si="3"/>
        <v>0</v>
      </c>
      <c r="I8" s="269">
        <v>17</v>
      </c>
      <c r="J8" s="102"/>
      <c r="K8" s="277">
        <f t="shared" si="4"/>
        <v>0</v>
      </c>
      <c r="L8" s="278">
        <v>19</v>
      </c>
      <c r="M8" s="279"/>
      <c r="N8" s="277">
        <f t="shared" si="5"/>
        <v>0</v>
      </c>
      <c r="O8" s="269">
        <v>17</v>
      </c>
      <c r="P8" s="102"/>
      <c r="Q8" s="277">
        <f>P8/O8</f>
        <v>0</v>
      </c>
      <c r="R8" s="269"/>
      <c r="S8" s="102"/>
      <c r="T8" s="277" t="e">
        <f>S8/R8</f>
        <v>#DIV/0!</v>
      </c>
      <c r="U8" s="269"/>
      <c r="V8" s="102"/>
      <c r="W8" s="277" t="e">
        <f>V8/U8</f>
        <v>#DIV/0!</v>
      </c>
      <c r="X8" s="269"/>
      <c r="Y8" s="102"/>
      <c r="Z8" s="277" t="e">
        <f>Y8/X8</f>
        <v>#DIV/0!</v>
      </c>
      <c r="AA8" s="269"/>
      <c r="AB8" s="102"/>
      <c r="AC8" s="277" t="e">
        <f>AB8/AA8</f>
        <v>#DIV/0!</v>
      </c>
      <c r="AD8" s="269"/>
      <c r="AE8" s="102"/>
      <c r="AF8" s="277" t="e">
        <f>AE8/AD8</f>
        <v>#DIV/0!</v>
      </c>
      <c r="AG8" s="269"/>
      <c r="AH8" s="102"/>
      <c r="AI8" s="277" t="e">
        <f>AH8/AG8</f>
        <v>#DIV/0!</v>
      </c>
      <c r="AJ8" s="269"/>
      <c r="AK8" s="102"/>
      <c r="AL8" s="277" t="e">
        <f>AK8/AJ8</f>
        <v>#DIV/0!</v>
      </c>
      <c r="AM8" s="269"/>
      <c r="AN8" s="102"/>
      <c r="AO8" s="270" t="e">
        <f>AN8/AM8</f>
        <v>#DIV/0!</v>
      </c>
      <c r="AP8" s="271">
        <f>AVERAGE(F8,I8,L8,O8,R8,U8,X8,AA8,AD8,AG8,AJ8,AM8)</f>
        <v>17.5</v>
      </c>
      <c r="AQ8" s="271">
        <f>SUM(G8,J8,M8,P8,S8,V8,Y8,AB8,AE8,AH8,AK8,AN8)</f>
        <v>0</v>
      </c>
      <c r="AR8" s="272">
        <f>AQ8/AP8</f>
        <v>0</v>
      </c>
    </row>
    <row r="9" spans="1:47" s="108" customFormat="1" outlineLevel="1" x14ac:dyDescent="0.25">
      <c r="A9" s="281" t="s">
        <v>441</v>
      </c>
      <c r="B9" s="298">
        <v>0.2</v>
      </c>
      <c r="C9" s="298">
        <f>AVERAGE(C3:C8)</f>
        <v>8.2083333333333328E-2</v>
      </c>
      <c r="D9" s="298">
        <f>AVERAGE(D3:D8)</f>
        <v>5.5309960091147747E-2</v>
      </c>
      <c r="E9" s="298">
        <f>IF(D9&gt;0%,C9/D9,100%)</f>
        <v>1.4840606140026957</v>
      </c>
      <c r="F9" s="283">
        <f>SUM(F3:F8)</f>
        <v>472</v>
      </c>
      <c r="G9" s="283">
        <f>SUM(G3:G8)</f>
        <v>4</v>
      </c>
      <c r="H9" s="282">
        <f>G9/F9</f>
        <v>8.4745762711864406E-3</v>
      </c>
      <c r="I9" s="283">
        <f>SUM(I3:I8)</f>
        <v>464</v>
      </c>
      <c r="J9" s="283">
        <f>SUM(J3:J8)</f>
        <v>12</v>
      </c>
      <c r="K9" s="282">
        <f t="shared" si="4"/>
        <v>2.5862068965517241E-2</v>
      </c>
      <c r="L9" s="283">
        <f>SUM(L3:L8)</f>
        <v>463</v>
      </c>
      <c r="M9" s="283">
        <f>SUM(M3:M8)</f>
        <v>8</v>
      </c>
      <c r="N9" s="282">
        <f t="shared" si="5"/>
        <v>1.7278617710583154E-2</v>
      </c>
      <c r="O9" s="283">
        <f>SUM(O3:O8)</f>
        <v>457</v>
      </c>
      <c r="P9" s="283">
        <f>SUM(P3:P8)</f>
        <v>7</v>
      </c>
      <c r="Q9" s="282">
        <f t="shared" si="6"/>
        <v>1.5317286652078774E-2</v>
      </c>
      <c r="R9" s="283">
        <f>SUM(R3:R8)</f>
        <v>0</v>
      </c>
      <c r="S9" s="283">
        <f>SUM(S3:S8)</f>
        <v>0</v>
      </c>
      <c r="T9" s="282" t="e">
        <f t="shared" si="7"/>
        <v>#DIV/0!</v>
      </c>
      <c r="U9" s="283">
        <f>SUM(U3:U8)</f>
        <v>0</v>
      </c>
      <c r="V9" s="283">
        <f>SUM(V3:V8)</f>
        <v>0</v>
      </c>
      <c r="W9" s="282" t="e">
        <f t="shared" si="8"/>
        <v>#DIV/0!</v>
      </c>
      <c r="X9" s="283">
        <f>SUM(X3:X8)</f>
        <v>0</v>
      </c>
      <c r="Y9" s="283">
        <f>SUM(Y3:Y8)</f>
        <v>0</v>
      </c>
      <c r="Z9" s="282" t="e">
        <f t="shared" si="9"/>
        <v>#DIV/0!</v>
      </c>
      <c r="AA9" s="283">
        <f>SUM(AA3:AA8)</f>
        <v>0</v>
      </c>
      <c r="AB9" s="283">
        <f>SUM(AB3:AB8)</f>
        <v>0</v>
      </c>
      <c r="AC9" s="282" t="e">
        <f t="shared" si="10"/>
        <v>#DIV/0!</v>
      </c>
      <c r="AD9" s="283">
        <f>SUM(AD3:AD8)</f>
        <v>0</v>
      </c>
      <c r="AE9" s="283">
        <f>SUM(AE3:AE8)</f>
        <v>0</v>
      </c>
      <c r="AF9" s="282" t="e">
        <f t="shared" si="11"/>
        <v>#DIV/0!</v>
      </c>
      <c r="AG9" s="283">
        <f>SUM(AG3:AG8)</f>
        <v>0</v>
      </c>
      <c r="AH9" s="283">
        <f>SUM(AH3:AH8)</f>
        <v>0</v>
      </c>
      <c r="AI9" s="282" t="e">
        <f t="shared" si="12"/>
        <v>#DIV/0!</v>
      </c>
      <c r="AJ9" s="283">
        <f>SUM(AJ3:AJ8)</f>
        <v>0</v>
      </c>
      <c r="AK9" s="283">
        <f>SUM(AK3:AK8)</f>
        <v>0</v>
      </c>
      <c r="AL9" s="282" t="e">
        <f t="shared" si="13"/>
        <v>#DIV/0!</v>
      </c>
      <c r="AM9" s="283">
        <f>SUM(AM3:AM8)</f>
        <v>0</v>
      </c>
      <c r="AN9" s="283">
        <f>SUM(AN3:AN8)</f>
        <v>0</v>
      </c>
      <c r="AO9" s="282" t="e">
        <f t="shared" si="14"/>
        <v>#DIV/0!</v>
      </c>
      <c r="AP9" s="284">
        <f t="shared" si="15"/>
        <v>154.66666666666666</v>
      </c>
      <c r="AQ9" s="284">
        <f t="shared" si="16"/>
        <v>31</v>
      </c>
      <c r="AR9" s="282">
        <f t="shared" si="17"/>
        <v>0.20043103448275865</v>
      </c>
    </row>
    <row r="10" spans="1:47" s="273" customFormat="1" outlineLevel="1" x14ac:dyDescent="0.25">
      <c r="A10" s="285" t="s">
        <v>442</v>
      </c>
      <c r="B10" s="286"/>
      <c r="C10" s="286"/>
      <c r="D10" s="286"/>
      <c r="E10" s="286"/>
      <c r="F10" s="287"/>
      <c r="G10" s="287"/>
      <c r="H10" s="282">
        <f>H9</f>
        <v>8.4745762711864406E-3</v>
      </c>
      <c r="I10" s="288"/>
      <c r="J10" s="287"/>
      <c r="K10" s="282">
        <f>H9+K9</f>
        <v>3.4336645236703683E-2</v>
      </c>
      <c r="L10" s="287"/>
      <c r="M10" s="287"/>
      <c r="N10" s="282">
        <f>K10+N9</f>
        <v>5.1615262947286841E-2</v>
      </c>
      <c r="O10" s="287"/>
      <c r="P10" s="287"/>
      <c r="Q10" s="282">
        <f>N10+Q9</f>
        <v>6.6932549599365621E-2</v>
      </c>
      <c r="R10" s="287"/>
      <c r="S10" s="287"/>
      <c r="T10" s="282" t="e">
        <f>Q10+T9</f>
        <v>#DIV/0!</v>
      </c>
      <c r="U10" s="287"/>
      <c r="V10" s="287"/>
      <c r="W10" s="282" t="e">
        <f>T10+W9</f>
        <v>#DIV/0!</v>
      </c>
      <c r="X10" s="287"/>
      <c r="Y10" s="287"/>
      <c r="Z10" s="282" t="e">
        <f>W10+Z9</f>
        <v>#DIV/0!</v>
      </c>
      <c r="AA10" s="287"/>
      <c r="AB10" s="287"/>
      <c r="AC10" s="282" t="e">
        <f>Z10+AC9</f>
        <v>#DIV/0!</v>
      </c>
      <c r="AD10" s="287"/>
      <c r="AE10" s="287"/>
      <c r="AF10" s="282" t="e">
        <f>AC10+AF9</f>
        <v>#DIV/0!</v>
      </c>
      <c r="AG10" s="287"/>
      <c r="AH10" s="287"/>
      <c r="AI10" s="282" t="e">
        <f>AF10+AI9</f>
        <v>#DIV/0!</v>
      </c>
      <c r="AJ10" s="287"/>
      <c r="AK10" s="287"/>
      <c r="AL10" s="282" t="e">
        <f>AI10+AL9</f>
        <v>#DIV/0!</v>
      </c>
      <c r="AM10" s="287"/>
      <c r="AN10" s="287"/>
      <c r="AO10" s="282" t="e">
        <f>AL10+AO9</f>
        <v>#DIV/0!</v>
      </c>
      <c r="AP10" s="287"/>
      <c r="AQ10" s="287"/>
      <c r="AR10" s="282">
        <f>AR9</f>
        <v>0.20043103448275865</v>
      </c>
    </row>
    <row r="11" spans="1:47" s="273" customFormat="1" outlineLevel="1" x14ac:dyDescent="0.25">
      <c r="A11" s="289" t="s">
        <v>610</v>
      </c>
      <c r="B11" s="289"/>
      <c r="C11" s="289"/>
      <c r="D11" s="289"/>
      <c r="E11" s="289"/>
      <c r="F11" s="287"/>
      <c r="G11" s="287"/>
      <c r="H11" s="290">
        <f>B9/12*1</f>
        <v>1.6666666666666666E-2</v>
      </c>
      <c r="I11" s="291"/>
      <c r="J11" s="287"/>
      <c r="K11" s="290">
        <f>H11+($B$9/12)</f>
        <v>3.3333333333333333E-2</v>
      </c>
      <c r="L11" s="287"/>
      <c r="M11" s="287"/>
      <c r="N11" s="290">
        <f>K11+($B$9/12)</f>
        <v>0.05</v>
      </c>
      <c r="O11" s="287"/>
      <c r="P11" s="287"/>
      <c r="Q11" s="290">
        <f>N11+($B$9/12)</f>
        <v>6.6666666666666666E-2</v>
      </c>
      <c r="R11" s="287"/>
      <c r="S11" s="287"/>
      <c r="T11" s="290">
        <f>Q11+($B$9/12)</f>
        <v>8.3333333333333329E-2</v>
      </c>
      <c r="U11" s="287"/>
      <c r="V11" s="287"/>
      <c r="W11" s="290">
        <f>T11+($B$9/12)</f>
        <v>9.9999999999999992E-2</v>
      </c>
      <c r="X11" s="287"/>
      <c r="Y11" s="287"/>
      <c r="Z11" s="290">
        <f>W11+($B$9/12)</f>
        <v>0.11666666666666665</v>
      </c>
      <c r="AA11" s="287"/>
      <c r="AB11" s="287"/>
      <c r="AC11" s="290">
        <f>Z11+($B$9/12)</f>
        <v>0.13333333333333333</v>
      </c>
      <c r="AD11" s="287"/>
      <c r="AE11" s="287"/>
      <c r="AF11" s="290">
        <f>AC11+($B$9/12)</f>
        <v>0.15</v>
      </c>
      <c r="AG11" s="287"/>
      <c r="AH11" s="287"/>
      <c r="AI11" s="290">
        <f>AF11+($B$9/12)</f>
        <v>0.16666666666666666</v>
      </c>
      <c r="AJ11" s="287">
        <v>0</v>
      </c>
      <c r="AK11" s="287"/>
      <c r="AL11" s="290">
        <f>AI11+($B$9/12)</f>
        <v>0.18333333333333332</v>
      </c>
      <c r="AM11" s="287"/>
      <c r="AN11" s="287"/>
      <c r="AO11" s="290">
        <f>AL11+($B$9/12)</f>
        <v>0.19999999999999998</v>
      </c>
      <c r="AP11" s="287"/>
      <c r="AQ11" s="287"/>
      <c r="AR11" s="290">
        <f>B9</f>
        <v>0.2</v>
      </c>
    </row>
    <row r="12" spans="1:47" s="273" customFormat="1" outlineLevel="1" x14ac:dyDescent="0.25">
      <c r="A12" s="289" t="s">
        <v>611</v>
      </c>
      <c r="B12" s="289"/>
      <c r="C12" s="289"/>
      <c r="D12" s="289"/>
      <c r="E12" s="291"/>
      <c r="F12" s="287"/>
      <c r="G12" s="287"/>
      <c r="H12" s="282">
        <f>H11/H10</f>
        <v>1.9666666666666666</v>
      </c>
      <c r="I12" s="287"/>
      <c r="J12" s="287"/>
      <c r="K12" s="282">
        <f>K11/K10</f>
        <v>0.97078014184397154</v>
      </c>
      <c r="L12" s="287"/>
      <c r="M12" s="287"/>
      <c r="N12" s="282">
        <f>N11/N10</f>
        <v>0.96870571115880089</v>
      </c>
      <c r="O12" s="287"/>
      <c r="P12" s="287"/>
      <c r="Q12" s="282">
        <f>Q11/Q10</f>
        <v>0.99602759891427362</v>
      </c>
      <c r="R12" s="287"/>
      <c r="S12" s="287"/>
      <c r="T12" s="282" t="e">
        <f>T11/T10</f>
        <v>#DIV/0!</v>
      </c>
      <c r="U12" s="287"/>
      <c r="V12" s="287"/>
      <c r="W12" s="282" t="e">
        <f>W11/W10</f>
        <v>#DIV/0!</v>
      </c>
      <c r="X12" s="287"/>
      <c r="Y12" s="287"/>
      <c r="Z12" s="282" t="e">
        <f>Z11/Z10</f>
        <v>#DIV/0!</v>
      </c>
      <c r="AA12" s="287"/>
      <c r="AB12" s="287"/>
      <c r="AC12" s="282" t="e">
        <f>AC11/AC10</f>
        <v>#DIV/0!</v>
      </c>
      <c r="AD12" s="287"/>
      <c r="AE12" s="287"/>
      <c r="AF12" s="282" t="e">
        <f>AF11/AF10</f>
        <v>#DIV/0!</v>
      </c>
      <c r="AG12" s="287"/>
      <c r="AH12" s="287"/>
      <c r="AI12" s="282" t="e">
        <f>AI11/AI10</f>
        <v>#DIV/0!</v>
      </c>
      <c r="AJ12" s="287"/>
      <c r="AK12" s="287"/>
      <c r="AL12" s="282" t="e">
        <f>AL11/AL10</f>
        <v>#DIV/0!</v>
      </c>
      <c r="AM12" s="287"/>
      <c r="AN12" s="287"/>
      <c r="AO12" s="282" t="e">
        <f>AO11/AO10</f>
        <v>#DIV/0!</v>
      </c>
      <c r="AP12" s="287"/>
      <c r="AQ12" s="287"/>
      <c r="AR12" s="282">
        <f>AR11/AR10</f>
        <v>0.99784946236559136</v>
      </c>
    </row>
    <row r="13" spans="1:47" outlineLevel="1" x14ac:dyDescent="0.25">
      <c r="A13" s="52"/>
      <c r="B13" s="52"/>
      <c r="C13" s="52"/>
      <c r="D13" s="52"/>
      <c r="E13" s="215"/>
      <c r="F13" s="50"/>
      <c r="G13" s="50"/>
      <c r="H13" s="166"/>
      <c r="I13" s="50"/>
      <c r="J13" s="50"/>
      <c r="K13" s="49"/>
      <c r="L13" s="50"/>
      <c r="M13" s="50"/>
      <c r="N13" s="49"/>
      <c r="O13" s="50"/>
      <c r="P13" s="50"/>
      <c r="Q13" s="49"/>
      <c r="R13" s="50"/>
      <c r="S13" s="50"/>
      <c r="T13" s="49"/>
      <c r="U13" s="50"/>
      <c r="V13" s="50"/>
      <c r="W13" s="49"/>
      <c r="X13" s="50"/>
      <c r="Y13" s="50"/>
      <c r="Z13" s="49"/>
      <c r="AA13" s="50"/>
      <c r="AB13" s="50"/>
      <c r="AC13" s="49"/>
      <c r="AD13" s="50"/>
      <c r="AE13" s="50"/>
      <c r="AF13" s="49"/>
      <c r="AG13" s="50"/>
      <c r="AH13" s="50"/>
      <c r="AI13" s="49"/>
      <c r="AJ13" s="50"/>
      <c r="AK13" s="50"/>
      <c r="AL13" s="49"/>
      <c r="AM13" s="50"/>
      <c r="AN13" s="50"/>
      <c r="AO13" s="49"/>
      <c r="AP13" s="50"/>
      <c r="AQ13" s="50"/>
      <c r="AR13" s="166"/>
    </row>
    <row r="14" spans="1:47" s="29" customFormat="1" ht="14.25" customHeight="1" x14ac:dyDescent="0.25">
      <c r="A14" s="52"/>
      <c r="B14" s="167" t="s">
        <v>48</v>
      </c>
      <c r="C14" s="52">
        <v>6</v>
      </c>
      <c r="D14" s="323"/>
      <c r="E14" s="151"/>
      <c r="F14" s="50"/>
      <c r="G14" s="50"/>
      <c r="H14" s="53"/>
      <c r="I14" s="50"/>
      <c r="J14" s="50"/>
      <c r="K14" s="54"/>
      <c r="L14" s="50"/>
      <c r="M14" s="50"/>
      <c r="N14" s="54"/>
      <c r="O14" s="50"/>
      <c r="P14" s="50"/>
      <c r="Q14" s="54"/>
      <c r="R14" s="50"/>
      <c r="S14" s="50"/>
      <c r="T14" s="54"/>
      <c r="U14" s="50"/>
      <c r="V14" s="50"/>
      <c r="W14" s="54"/>
      <c r="X14" s="50"/>
      <c r="Y14" s="50"/>
      <c r="Z14" s="54"/>
      <c r="AA14" s="50"/>
      <c r="AB14" s="50"/>
      <c r="AC14" s="54"/>
      <c r="AD14" s="50"/>
      <c r="AE14" s="50"/>
      <c r="AF14" s="54"/>
      <c r="AG14" s="50"/>
      <c r="AH14" s="50"/>
      <c r="AI14" s="54"/>
      <c r="AJ14" s="50"/>
      <c r="AK14" s="50"/>
      <c r="AL14" s="54"/>
      <c r="AM14" s="50"/>
      <c r="AN14" s="50"/>
      <c r="AO14" s="54"/>
      <c r="AP14" s="50"/>
      <c r="AQ14" s="50"/>
      <c r="AR14" s="51"/>
    </row>
    <row r="15" spans="1:47" s="29" customFormat="1" ht="36" customHeight="1" x14ac:dyDescent="0.3">
      <c r="A15" s="141" t="s">
        <v>713</v>
      </c>
      <c r="B15" s="620" t="s">
        <v>1119</v>
      </c>
      <c r="C15" s="625" t="s">
        <v>610</v>
      </c>
      <c r="D15" s="625" t="s">
        <v>735</v>
      </c>
      <c r="E15" s="629" t="s">
        <v>736</v>
      </c>
      <c r="F15" s="622" t="s">
        <v>426</v>
      </c>
      <c r="G15" s="619"/>
      <c r="H15" s="619"/>
      <c r="I15" s="619" t="s">
        <v>427</v>
      </c>
      <c r="J15" s="619"/>
      <c r="K15" s="619"/>
      <c r="L15" s="619" t="s">
        <v>428</v>
      </c>
      <c r="M15" s="619"/>
      <c r="N15" s="619"/>
      <c r="O15" s="619" t="s">
        <v>429</v>
      </c>
      <c r="P15" s="619"/>
      <c r="Q15" s="619"/>
      <c r="R15" s="619" t="s">
        <v>423</v>
      </c>
      <c r="S15" s="619"/>
      <c r="T15" s="619"/>
      <c r="U15" s="619" t="s">
        <v>430</v>
      </c>
      <c r="V15" s="619"/>
      <c r="W15" s="619"/>
      <c r="X15" s="619" t="s">
        <v>431</v>
      </c>
      <c r="Y15" s="619"/>
      <c r="Z15" s="619"/>
      <c r="AA15" s="619" t="s">
        <v>432</v>
      </c>
      <c r="AB15" s="619"/>
      <c r="AC15" s="619"/>
      <c r="AD15" s="619" t="s">
        <v>433</v>
      </c>
      <c r="AE15" s="619"/>
      <c r="AF15" s="619"/>
      <c r="AG15" s="619" t="s">
        <v>434</v>
      </c>
      <c r="AH15" s="619"/>
      <c r="AI15" s="619"/>
      <c r="AJ15" s="619" t="s">
        <v>435</v>
      </c>
      <c r="AK15" s="619"/>
      <c r="AL15" s="619"/>
      <c r="AM15" s="619" t="s">
        <v>436</v>
      </c>
      <c r="AN15" s="619"/>
      <c r="AO15" s="619"/>
      <c r="AP15" s="621" t="s">
        <v>437</v>
      </c>
      <c r="AQ15" s="621"/>
      <c r="AR15" s="621"/>
    </row>
    <row r="16" spans="1:47" ht="16.899999999999999" customHeight="1" x14ac:dyDescent="0.25">
      <c r="A16" s="72" t="s">
        <v>696</v>
      </c>
      <c r="B16" s="620"/>
      <c r="C16" s="626"/>
      <c r="D16" s="626"/>
      <c r="E16" s="630"/>
      <c r="F16" s="245" t="s">
        <v>438</v>
      </c>
      <c r="G16" s="148" t="s">
        <v>439</v>
      </c>
      <c r="H16" s="48" t="s">
        <v>440</v>
      </c>
      <c r="I16" s="148" t="s">
        <v>438</v>
      </c>
      <c r="J16" s="48" t="s">
        <v>439</v>
      </c>
      <c r="K16" s="48" t="s">
        <v>440</v>
      </c>
      <c r="L16" s="48" t="s">
        <v>438</v>
      </c>
      <c r="M16" s="48" t="s">
        <v>439</v>
      </c>
      <c r="N16" s="48" t="s">
        <v>440</v>
      </c>
      <c r="O16" s="48" t="s">
        <v>438</v>
      </c>
      <c r="P16" s="48" t="s">
        <v>439</v>
      </c>
      <c r="Q16" s="48" t="s">
        <v>440</v>
      </c>
      <c r="R16" s="48" t="s">
        <v>438</v>
      </c>
      <c r="S16" s="48" t="s">
        <v>439</v>
      </c>
      <c r="T16" s="48" t="s">
        <v>440</v>
      </c>
      <c r="U16" s="48" t="s">
        <v>438</v>
      </c>
      <c r="V16" s="48" t="s">
        <v>439</v>
      </c>
      <c r="W16" s="48" t="s">
        <v>440</v>
      </c>
      <c r="X16" s="48" t="s">
        <v>438</v>
      </c>
      <c r="Y16" s="48" t="s">
        <v>439</v>
      </c>
      <c r="Z16" s="48" t="s">
        <v>440</v>
      </c>
      <c r="AA16" s="48" t="s">
        <v>438</v>
      </c>
      <c r="AB16" s="48" t="s">
        <v>439</v>
      </c>
      <c r="AC16" s="48" t="s">
        <v>440</v>
      </c>
      <c r="AD16" s="48" t="s">
        <v>438</v>
      </c>
      <c r="AE16" s="48" t="s">
        <v>439</v>
      </c>
      <c r="AF16" s="48" t="s">
        <v>440</v>
      </c>
      <c r="AG16" s="48" t="s">
        <v>438</v>
      </c>
      <c r="AH16" s="48" t="s">
        <v>439</v>
      </c>
      <c r="AI16" s="48" t="s">
        <v>440</v>
      </c>
      <c r="AJ16" s="48" t="s">
        <v>438</v>
      </c>
      <c r="AK16" s="48" t="s">
        <v>439</v>
      </c>
      <c r="AL16" s="48" t="s">
        <v>440</v>
      </c>
      <c r="AM16" s="48" t="s">
        <v>438</v>
      </c>
      <c r="AN16" s="48" t="s">
        <v>439</v>
      </c>
      <c r="AO16" s="48" t="s">
        <v>440</v>
      </c>
      <c r="AP16" s="48" t="s">
        <v>438</v>
      </c>
      <c r="AQ16" s="48" t="s">
        <v>439</v>
      </c>
      <c r="AR16" s="48" t="s">
        <v>440</v>
      </c>
      <c r="AS16" s="258"/>
      <c r="AT16" s="259"/>
      <c r="AU16" s="259"/>
    </row>
    <row r="17" spans="1:49" s="393" customFormat="1" ht="20.25" hidden="1" customHeight="1" x14ac:dyDescent="0.25">
      <c r="A17" s="337" t="s">
        <v>762</v>
      </c>
      <c r="B17" s="338">
        <v>0.15</v>
      </c>
      <c r="C17" s="339">
        <f>B17/12*$C$14</f>
        <v>7.4999999999999997E-2</v>
      </c>
      <c r="D17" s="339">
        <f>C17/12*$C$14</f>
        <v>3.7499999999999999E-2</v>
      </c>
      <c r="E17" s="346">
        <f>IF(D17&gt;0%,C17/D17,100%)</f>
        <v>2</v>
      </c>
      <c r="F17" s="421">
        <v>36</v>
      </c>
      <c r="G17" s="388"/>
      <c r="H17" s="565">
        <f>G17/F17</f>
        <v>0</v>
      </c>
      <c r="I17" s="421">
        <v>35</v>
      </c>
      <c r="J17" s="566">
        <v>1</v>
      </c>
      <c r="K17" s="397">
        <f>J17/I17</f>
        <v>2.8571428571428571E-2</v>
      </c>
      <c r="L17" s="389">
        <v>37</v>
      </c>
      <c r="M17" s="422">
        <v>2</v>
      </c>
      <c r="N17" s="397">
        <f t="shared" ref="N17:N42" si="18">M17/L17</f>
        <v>5.4054054054054057E-2</v>
      </c>
      <c r="O17" s="389"/>
      <c r="P17" s="422"/>
      <c r="Q17" s="397" t="e">
        <f>P17/O17</f>
        <v>#DIV/0!</v>
      </c>
      <c r="R17" s="389"/>
      <c r="S17" s="422"/>
      <c r="T17" s="397" t="e">
        <f>S17/R17</f>
        <v>#DIV/0!</v>
      </c>
      <c r="U17" s="389"/>
      <c r="V17" s="422"/>
      <c r="W17" s="397" t="e">
        <f>V17/U17</f>
        <v>#DIV/0!</v>
      </c>
      <c r="X17" s="389"/>
      <c r="Y17" s="422"/>
      <c r="Z17" s="397" t="e">
        <f>Y17/X17</f>
        <v>#DIV/0!</v>
      </c>
      <c r="AA17" s="389"/>
      <c r="AB17" s="422"/>
      <c r="AC17" s="397" t="e">
        <f>AB17/AA17</f>
        <v>#DIV/0!</v>
      </c>
      <c r="AD17" s="389"/>
      <c r="AE17" s="422"/>
      <c r="AF17" s="397" t="e">
        <f>AE17/AD17</f>
        <v>#DIV/0!</v>
      </c>
      <c r="AG17" s="389"/>
      <c r="AH17" s="422"/>
      <c r="AI17" s="397" t="e">
        <f>AH17/AG17</f>
        <v>#DIV/0!</v>
      </c>
      <c r="AJ17" s="389"/>
      <c r="AK17" s="422"/>
      <c r="AL17" s="397" t="e">
        <f>AK17/AJ17</f>
        <v>#DIV/0!</v>
      </c>
      <c r="AM17" s="389"/>
      <c r="AN17" s="422"/>
      <c r="AO17" s="423" t="e">
        <f>AN17/AM17</f>
        <v>#DIV/0!</v>
      </c>
      <c r="AP17" s="398">
        <f>AVERAGE(F17,I17,L17,O17,R17,U17,X17,AA17,AD17,AG17,AJ17,AM17)</f>
        <v>36</v>
      </c>
      <c r="AQ17" s="398">
        <f t="shared" ref="AQ17:AQ22" si="19">SUM(G17,J17,M17,P17,S17,V17,Y17,AB17,AE17,AH17,AK17,AN17)</f>
        <v>3</v>
      </c>
      <c r="AR17" s="399">
        <f>AQ17/AP17</f>
        <v>8.3333333333333329E-2</v>
      </c>
      <c r="AS17" s="390"/>
      <c r="AT17" s="391"/>
      <c r="AU17" s="390"/>
      <c r="AV17" s="390"/>
      <c r="AW17" s="392"/>
    </row>
    <row r="18" spans="1:49" s="420" customFormat="1" ht="17.25" hidden="1" customHeight="1" x14ac:dyDescent="0.25">
      <c r="A18" s="406" t="s">
        <v>1098</v>
      </c>
      <c r="B18" s="407">
        <v>0.18</v>
      </c>
      <c r="C18" s="407">
        <f>B18/12*$C$14</f>
        <v>0.09</v>
      </c>
      <c r="D18" s="407">
        <v>0</v>
      </c>
      <c r="E18" s="408">
        <f t="shared" ref="E18:E26" si="20">IF(D18&gt;0%,C18/D18,100%)</f>
        <v>1</v>
      </c>
      <c r="F18" s="409">
        <f>F57+F26+F41+F73+F68+F92+F61+F65+F22+1+3</f>
        <v>390</v>
      </c>
      <c r="G18" s="409">
        <f>G57+G26+G41+G73+G68+G92+G61+G65+G22+1+3</f>
        <v>7</v>
      </c>
      <c r="H18" s="568">
        <f>G18/F18</f>
        <v>1.7948717948717947E-2</v>
      </c>
      <c r="I18" s="409">
        <f>I57+I26+I41+I73+I68+I92+I61+I65+I22+1+3</f>
        <v>376</v>
      </c>
      <c r="J18" s="410"/>
      <c r="K18" s="411">
        <f>J18/I18</f>
        <v>0</v>
      </c>
      <c r="L18" s="410">
        <v>15</v>
      </c>
      <c r="M18" s="410">
        <v>2</v>
      </c>
      <c r="N18" s="411">
        <f t="shared" si="18"/>
        <v>0.13333333333333333</v>
      </c>
      <c r="O18" s="410"/>
      <c r="P18" s="410"/>
      <c r="Q18" s="411" t="e">
        <f>P18/O18</f>
        <v>#DIV/0!</v>
      </c>
      <c r="R18" s="410"/>
      <c r="S18" s="410"/>
      <c r="T18" s="412" t="e">
        <f>S18/R18</f>
        <v>#DIV/0!</v>
      </c>
      <c r="U18" s="410"/>
      <c r="V18" s="410"/>
      <c r="W18" s="412" t="e">
        <f>V18/U18</f>
        <v>#DIV/0!</v>
      </c>
      <c r="X18" s="410"/>
      <c r="Y18" s="410"/>
      <c r="Z18" s="412" t="e">
        <f>Y18/X18</f>
        <v>#DIV/0!</v>
      </c>
      <c r="AA18" s="410"/>
      <c r="AB18" s="410"/>
      <c r="AC18" s="412" t="e">
        <f>AB18/AA18</f>
        <v>#DIV/0!</v>
      </c>
      <c r="AD18" s="410"/>
      <c r="AE18" s="410"/>
      <c r="AF18" s="412" t="e">
        <f t="shared" ref="AF18:AF56" si="21">AE18/AD18</f>
        <v>#DIV/0!</v>
      </c>
      <c r="AG18" s="410"/>
      <c r="AH18" s="413"/>
      <c r="AI18" s="411" t="e">
        <f>AH18/AG18</f>
        <v>#DIV/0!</v>
      </c>
      <c r="AJ18" s="410"/>
      <c r="AK18" s="413"/>
      <c r="AL18" s="411" t="e">
        <f>AK18/AJ18</f>
        <v>#DIV/0!</v>
      </c>
      <c r="AM18" s="410"/>
      <c r="AN18" s="413"/>
      <c r="AO18" s="414" t="e">
        <f>AN18/AM18</f>
        <v>#DIV/0!</v>
      </c>
      <c r="AP18" s="415">
        <f t="shared" ref="AP18:AP33" si="22">AVERAGE(F18,I18,L18,O18,R18,U18,X18,AA18,AD18,AG18,AJ18,AM18)</f>
        <v>260.33333333333331</v>
      </c>
      <c r="AQ18" s="415">
        <f t="shared" si="19"/>
        <v>9</v>
      </c>
      <c r="AR18" s="416">
        <f>AQ18/AP18</f>
        <v>3.4571062740076826E-2</v>
      </c>
      <c r="AS18" s="417"/>
      <c r="AT18" s="418"/>
      <c r="AU18" s="417"/>
      <c r="AV18" s="417"/>
      <c r="AW18" s="419"/>
    </row>
    <row r="19" spans="1:49" s="273" customFormat="1" ht="17.25" hidden="1" customHeight="1" outlineLevel="1" x14ac:dyDescent="0.25">
      <c r="A19" s="330" t="s">
        <v>1056</v>
      </c>
      <c r="B19" s="329">
        <v>0.1</v>
      </c>
      <c r="C19" s="329">
        <f t="shared" ref="C19:C26" si="23">B19/12*$C$14</f>
        <v>0.05</v>
      </c>
      <c r="D19" s="329">
        <f t="shared" ref="D19:D56" si="24">AR19</f>
        <v>0</v>
      </c>
      <c r="E19" s="347">
        <f t="shared" si="20"/>
        <v>1</v>
      </c>
      <c r="F19" s="246">
        <v>7</v>
      </c>
      <c r="G19" s="246"/>
      <c r="H19" s="349">
        <f>G19/F19</f>
        <v>0</v>
      </c>
      <c r="I19" s="246">
        <v>7</v>
      </c>
      <c r="J19" s="246"/>
      <c r="K19" s="303">
        <f>J19/I19</f>
        <v>0</v>
      </c>
      <c r="L19" s="246">
        <v>6</v>
      </c>
      <c r="M19" s="246"/>
      <c r="N19" s="303">
        <f t="shared" si="18"/>
        <v>0</v>
      </c>
      <c r="O19" s="246">
        <v>6</v>
      </c>
      <c r="P19" s="246"/>
      <c r="Q19" s="301">
        <f>P19/O19</f>
        <v>0</v>
      </c>
      <c r="R19" s="246"/>
      <c r="S19" s="246"/>
      <c r="T19" s="266" t="e">
        <f>S19/R19</f>
        <v>#DIV/0!</v>
      </c>
      <c r="U19" s="246"/>
      <c r="V19" s="246"/>
      <c r="W19" s="266" t="e">
        <f>V19/U19</f>
        <v>#DIV/0!</v>
      </c>
      <c r="X19" s="246"/>
      <c r="Y19" s="246"/>
      <c r="Z19" s="266" t="e">
        <f>Y19/X19</f>
        <v>#DIV/0!</v>
      </c>
      <c r="AA19" s="246"/>
      <c r="AB19" s="246"/>
      <c r="AC19" s="266" t="e">
        <f>AB19/AA19</f>
        <v>#DIV/0!</v>
      </c>
      <c r="AD19" s="246"/>
      <c r="AE19" s="246"/>
      <c r="AF19" s="266" t="e">
        <f t="shared" si="21"/>
        <v>#DIV/0!</v>
      </c>
      <c r="AG19" s="104"/>
      <c r="AH19" s="306"/>
      <c r="AI19" s="301" t="e">
        <f>AH19/AG19</f>
        <v>#DIV/0!</v>
      </c>
      <c r="AJ19" s="104"/>
      <c r="AK19" s="306"/>
      <c r="AL19" s="301" t="e">
        <f>AK19/AJ19</f>
        <v>#DIV/0!</v>
      </c>
      <c r="AM19" s="104"/>
      <c r="AN19" s="306"/>
      <c r="AO19" s="307" t="e">
        <f>AN19/AM19</f>
        <v>#DIV/0!</v>
      </c>
      <c r="AP19" s="308">
        <f t="shared" si="22"/>
        <v>6.5</v>
      </c>
      <c r="AQ19" s="308">
        <f t="shared" si="19"/>
        <v>0</v>
      </c>
      <c r="AR19" s="309">
        <f>AQ19/AP19</f>
        <v>0</v>
      </c>
      <c r="AS19" s="292"/>
      <c r="AT19" s="293"/>
      <c r="AU19" s="292"/>
      <c r="AV19" s="292"/>
      <c r="AW19" s="294"/>
    </row>
    <row r="20" spans="1:49" s="273" customFormat="1" ht="17.25" hidden="1" customHeight="1" outlineLevel="1" x14ac:dyDescent="0.25">
      <c r="A20" s="330" t="s">
        <v>139</v>
      </c>
      <c r="B20" s="329">
        <v>0.04</v>
      </c>
      <c r="C20" s="329">
        <f t="shared" si="23"/>
        <v>0.02</v>
      </c>
      <c r="D20" s="329">
        <f t="shared" si="24"/>
        <v>0</v>
      </c>
      <c r="E20" s="347">
        <f t="shared" si="20"/>
        <v>1</v>
      </c>
      <c r="F20" s="246">
        <v>5</v>
      </c>
      <c r="G20" s="246"/>
      <c r="H20" s="350">
        <f>G20/F20</f>
        <v>0</v>
      </c>
      <c r="I20" s="324">
        <v>8</v>
      </c>
      <c r="J20" s="324"/>
      <c r="K20" s="325">
        <f>J20/I20</f>
        <v>0</v>
      </c>
      <c r="L20" s="324">
        <v>5</v>
      </c>
      <c r="M20" s="324"/>
      <c r="N20" s="325">
        <f t="shared" si="18"/>
        <v>0</v>
      </c>
      <c r="O20" s="324">
        <v>5</v>
      </c>
      <c r="P20" s="324"/>
      <c r="Q20" s="301">
        <f>P20/O20</f>
        <v>0</v>
      </c>
      <c r="R20" s="324"/>
      <c r="S20" s="324"/>
      <c r="T20" s="301" t="e">
        <f>S20/R20</f>
        <v>#DIV/0!</v>
      </c>
      <c r="U20" s="324"/>
      <c r="V20" s="324"/>
      <c r="W20" s="301" t="e">
        <f>V20/U20</f>
        <v>#DIV/0!</v>
      </c>
      <c r="X20" s="324"/>
      <c r="Y20" s="324"/>
      <c r="Z20" s="301" t="e">
        <f>Y20/X20</f>
        <v>#DIV/0!</v>
      </c>
      <c r="AA20" s="324"/>
      <c r="AB20" s="324"/>
      <c r="AC20" s="301" t="e">
        <f>AB20/AA20</f>
        <v>#DIV/0!</v>
      </c>
      <c r="AD20" s="324"/>
      <c r="AE20" s="324"/>
      <c r="AF20" s="266" t="e">
        <f t="shared" si="21"/>
        <v>#DIV/0!</v>
      </c>
      <c r="AG20" s="324"/>
      <c r="AH20" s="326"/>
      <c r="AI20" s="319" t="e">
        <f>AH20/AG20</f>
        <v>#DIV/0!</v>
      </c>
      <c r="AJ20" s="104"/>
      <c r="AK20" s="306"/>
      <c r="AL20" s="301" t="e">
        <f>AK20/AJ20</f>
        <v>#DIV/0!</v>
      </c>
      <c r="AM20" s="104"/>
      <c r="AN20" s="306"/>
      <c r="AO20" s="307" t="e">
        <f>AN20/AM20</f>
        <v>#DIV/0!</v>
      </c>
      <c r="AP20" s="308">
        <f t="shared" si="22"/>
        <v>5.75</v>
      </c>
      <c r="AQ20" s="308">
        <f t="shared" si="19"/>
        <v>0</v>
      </c>
      <c r="AR20" s="309">
        <f>AQ20/AP20</f>
        <v>0</v>
      </c>
      <c r="AS20" s="292"/>
      <c r="AT20" s="293"/>
      <c r="AU20" s="292"/>
      <c r="AV20" s="292"/>
      <c r="AW20" s="294"/>
    </row>
    <row r="21" spans="1:49" s="273" customFormat="1" ht="17.25" hidden="1" customHeight="1" outlineLevel="1" x14ac:dyDescent="0.25">
      <c r="A21" s="330" t="s">
        <v>486</v>
      </c>
      <c r="B21" s="329">
        <v>0.03</v>
      </c>
      <c r="C21" s="329">
        <f t="shared" si="23"/>
        <v>1.4999999999999999E-2</v>
      </c>
      <c r="D21" s="329">
        <f t="shared" si="24"/>
        <v>0</v>
      </c>
      <c r="E21" s="347">
        <f t="shared" si="20"/>
        <v>1</v>
      </c>
      <c r="F21" s="246">
        <v>5</v>
      </c>
      <c r="G21" s="246"/>
      <c r="H21" s="350">
        <f t="shared" ref="H21:H95" si="25">G21/F21</f>
        <v>0</v>
      </c>
      <c r="I21" s="324">
        <v>5</v>
      </c>
      <c r="J21" s="324"/>
      <c r="K21" s="325">
        <f t="shared" ref="K21:K96" si="26">J21/I21</f>
        <v>0</v>
      </c>
      <c r="L21" s="324">
        <v>4</v>
      </c>
      <c r="M21" s="324"/>
      <c r="N21" s="325">
        <f t="shared" si="18"/>
        <v>0</v>
      </c>
      <c r="O21" s="324">
        <v>4</v>
      </c>
      <c r="P21" s="324"/>
      <c r="Q21" s="301">
        <f t="shared" ref="Q21:Q95" si="27">P21/O21</f>
        <v>0</v>
      </c>
      <c r="R21" s="324"/>
      <c r="S21" s="324"/>
      <c r="T21" s="301" t="e">
        <f t="shared" ref="T21:T95" si="28">S21/R21</f>
        <v>#DIV/0!</v>
      </c>
      <c r="U21" s="324"/>
      <c r="V21" s="324"/>
      <c r="W21" s="301" t="e">
        <f t="shared" ref="W21:W95" si="29">V21/U21</f>
        <v>#DIV/0!</v>
      </c>
      <c r="X21" s="324"/>
      <c r="Y21" s="324"/>
      <c r="Z21" s="301" t="e">
        <f t="shared" ref="Z21:Z95" si="30">Y21/X21</f>
        <v>#DIV/0!</v>
      </c>
      <c r="AA21" s="324"/>
      <c r="AB21" s="324"/>
      <c r="AC21" s="301" t="e">
        <f t="shared" ref="AC21:AC95" si="31">AB21/AA21</f>
        <v>#DIV/0!</v>
      </c>
      <c r="AD21" s="324"/>
      <c r="AE21" s="324"/>
      <c r="AF21" s="266" t="e">
        <f t="shared" si="21"/>
        <v>#DIV/0!</v>
      </c>
      <c r="AG21" s="324"/>
      <c r="AH21" s="326"/>
      <c r="AI21" s="319" t="e">
        <f t="shared" ref="AI21:AI95" si="32">AH21/AG21</f>
        <v>#DIV/0!</v>
      </c>
      <c r="AJ21" s="104"/>
      <c r="AK21" s="306"/>
      <c r="AL21" s="301" t="e">
        <f t="shared" ref="AL21:AL95" si="33">AK21/AJ21</f>
        <v>#DIV/0!</v>
      </c>
      <c r="AM21" s="104"/>
      <c r="AN21" s="306"/>
      <c r="AO21" s="307" t="e">
        <f t="shared" ref="AO21:AO95" si="34">AN21/AM21</f>
        <v>#DIV/0!</v>
      </c>
      <c r="AP21" s="311">
        <f t="shared" si="22"/>
        <v>4.5</v>
      </c>
      <c r="AQ21" s="311"/>
      <c r="AR21" s="312"/>
      <c r="AS21" s="292"/>
      <c r="AT21" s="293"/>
      <c r="AU21" s="292"/>
      <c r="AV21" s="292"/>
      <c r="AW21" s="294"/>
    </row>
    <row r="22" spans="1:49" s="441" customFormat="1" ht="17.25" customHeight="1" collapsed="1" x14ac:dyDescent="0.25">
      <c r="A22" s="403" t="s">
        <v>811</v>
      </c>
      <c r="B22" s="404">
        <v>0.1</v>
      </c>
      <c r="C22" s="404">
        <f t="shared" si="23"/>
        <v>0.05</v>
      </c>
      <c r="D22" s="404">
        <f>AR22</f>
        <v>0.14814814814814814</v>
      </c>
      <c r="E22" s="405">
        <f t="shared" si="20"/>
        <v>0.33750000000000002</v>
      </c>
      <c r="F22" s="424">
        <v>23</v>
      </c>
      <c r="G22" s="425">
        <f>SUM(G23:G25)</f>
        <v>0</v>
      </c>
      <c r="H22" s="426">
        <f t="shared" si="25"/>
        <v>0</v>
      </c>
      <c r="I22" s="427">
        <v>22</v>
      </c>
      <c r="J22" s="427">
        <f>SUM(J23:J25)</f>
        <v>0</v>
      </c>
      <c r="K22" s="428">
        <f t="shared" si="26"/>
        <v>0</v>
      </c>
      <c r="L22" s="427">
        <v>20</v>
      </c>
      <c r="M22" s="427">
        <v>2</v>
      </c>
      <c r="N22" s="428">
        <f t="shared" si="18"/>
        <v>0.1</v>
      </c>
      <c r="O22" s="427">
        <f>O23+O24+O25</f>
        <v>16</v>
      </c>
      <c r="P22" s="427">
        <f>SUM(P23:P25)</f>
        <v>0</v>
      </c>
      <c r="Q22" s="429">
        <f t="shared" si="27"/>
        <v>0</v>
      </c>
      <c r="R22" s="427"/>
      <c r="S22" s="427">
        <f>SUM(S23:S25)</f>
        <v>0</v>
      </c>
      <c r="T22" s="429" t="e">
        <f t="shared" si="28"/>
        <v>#DIV/0!</v>
      </c>
      <c r="U22" s="427"/>
      <c r="V22" s="427">
        <v>1</v>
      </c>
      <c r="W22" s="429" t="e">
        <f t="shared" si="29"/>
        <v>#DIV/0!</v>
      </c>
      <c r="X22" s="427"/>
      <c r="Y22" s="427">
        <f>SUM(Y23:Y25)</f>
        <v>0</v>
      </c>
      <c r="Z22" s="429" t="e">
        <f t="shared" si="30"/>
        <v>#DIV/0!</v>
      </c>
      <c r="AA22" s="427"/>
      <c r="AB22" s="427">
        <f>SUM(AB23:AB25)</f>
        <v>0</v>
      </c>
      <c r="AC22" s="429" t="e">
        <f t="shared" si="31"/>
        <v>#DIV/0!</v>
      </c>
      <c r="AD22" s="427"/>
      <c r="AE22" s="427">
        <f>SUM(AE23:AE25)</f>
        <v>0</v>
      </c>
      <c r="AF22" s="430" t="e">
        <f t="shared" si="21"/>
        <v>#DIV/0!</v>
      </c>
      <c r="AG22" s="427"/>
      <c r="AH22" s="431">
        <f>SUM(AH23:AH25)</f>
        <v>0</v>
      </c>
      <c r="AI22" s="432" t="e">
        <f t="shared" si="32"/>
        <v>#DIV/0!</v>
      </c>
      <c r="AJ22" s="433"/>
      <c r="AK22" s="434">
        <f>SUM(AK23:AK25)</f>
        <v>0</v>
      </c>
      <c r="AL22" s="576" t="e">
        <f t="shared" si="33"/>
        <v>#DIV/0!</v>
      </c>
      <c r="AM22" s="594"/>
      <c r="AN22" s="584">
        <f>SUM(AN23:AN25)</f>
        <v>0</v>
      </c>
      <c r="AO22" s="435" t="e">
        <f t="shared" si="34"/>
        <v>#DIV/0!</v>
      </c>
      <c r="AP22" s="436">
        <f t="shared" si="22"/>
        <v>20.25</v>
      </c>
      <c r="AQ22" s="436">
        <f t="shared" si="19"/>
        <v>3</v>
      </c>
      <c r="AR22" s="437">
        <f t="shared" ref="AR22:AR32" si="35">AQ22/AP22</f>
        <v>0.14814814814814814</v>
      </c>
      <c r="AS22" s="438"/>
      <c r="AT22" s="439"/>
      <c r="AU22" s="438"/>
      <c r="AV22" s="438"/>
      <c r="AW22" s="440"/>
    </row>
    <row r="23" spans="1:49" s="273" customFormat="1" ht="17.25" hidden="1" customHeight="1" outlineLevel="1" x14ac:dyDescent="0.25">
      <c r="A23" s="330" t="s">
        <v>1063</v>
      </c>
      <c r="B23" s="336">
        <v>0.04</v>
      </c>
      <c r="C23" s="332">
        <f t="shared" si="23"/>
        <v>0.02</v>
      </c>
      <c r="D23" s="329">
        <f>AR23</f>
        <v>0</v>
      </c>
      <c r="E23" s="347">
        <f t="shared" si="20"/>
        <v>1</v>
      </c>
      <c r="F23" s="106">
        <v>13</v>
      </c>
      <c r="G23" s="304"/>
      <c r="H23" s="350">
        <f t="shared" si="25"/>
        <v>0</v>
      </c>
      <c r="I23" s="324">
        <v>13</v>
      </c>
      <c r="J23" s="324"/>
      <c r="K23" s="325">
        <f t="shared" si="26"/>
        <v>0</v>
      </c>
      <c r="L23" s="324">
        <v>11</v>
      </c>
      <c r="M23" s="324"/>
      <c r="N23" s="325">
        <f t="shared" si="18"/>
        <v>0</v>
      </c>
      <c r="O23" s="324">
        <v>11</v>
      </c>
      <c r="P23" s="324"/>
      <c r="Q23" s="301">
        <f t="shared" si="27"/>
        <v>0</v>
      </c>
      <c r="R23" s="324"/>
      <c r="S23" s="324"/>
      <c r="T23" s="301" t="e">
        <f t="shared" si="28"/>
        <v>#DIV/0!</v>
      </c>
      <c r="U23" s="324"/>
      <c r="V23" s="324"/>
      <c r="W23" s="301" t="e">
        <f t="shared" si="29"/>
        <v>#DIV/0!</v>
      </c>
      <c r="X23" s="324"/>
      <c r="Y23" s="324"/>
      <c r="Z23" s="301" t="e">
        <f t="shared" si="30"/>
        <v>#DIV/0!</v>
      </c>
      <c r="AA23" s="324"/>
      <c r="AB23" s="324"/>
      <c r="AC23" s="301" t="e">
        <f t="shared" si="31"/>
        <v>#DIV/0!</v>
      </c>
      <c r="AD23" s="324"/>
      <c r="AE23" s="324"/>
      <c r="AF23" s="266" t="e">
        <f t="shared" si="21"/>
        <v>#DIV/0!</v>
      </c>
      <c r="AG23" s="324"/>
      <c r="AH23" s="326"/>
      <c r="AI23" s="319" t="e">
        <f t="shared" si="32"/>
        <v>#DIV/0!</v>
      </c>
      <c r="AJ23" s="104"/>
      <c r="AK23" s="306"/>
      <c r="AL23" s="318" t="e">
        <f t="shared" si="33"/>
        <v>#DIV/0!</v>
      </c>
      <c r="AM23" s="246"/>
      <c r="AN23" s="585"/>
      <c r="AO23" s="307" t="e">
        <f t="shared" si="34"/>
        <v>#DIV/0!</v>
      </c>
      <c r="AP23" s="271">
        <f t="shared" si="22"/>
        <v>12</v>
      </c>
      <c r="AQ23" s="271">
        <f t="shared" ref="AQ23:AQ32" si="36">SUM(G23,J23,M23,P23,S23,V23,Y23,AB23,AE23,AH23,AK23,AN23)</f>
        <v>0</v>
      </c>
      <c r="AR23" s="272">
        <f t="shared" si="35"/>
        <v>0</v>
      </c>
      <c r="AS23" s="292"/>
      <c r="AT23" s="293"/>
      <c r="AU23" s="292"/>
      <c r="AV23" s="292"/>
      <c r="AW23" s="294"/>
    </row>
    <row r="24" spans="1:49" s="273" customFormat="1" ht="17.25" hidden="1" customHeight="1" outlineLevel="1" x14ac:dyDescent="0.25">
      <c r="A24" s="330" t="s">
        <v>1064</v>
      </c>
      <c r="B24" s="336">
        <v>0.02</v>
      </c>
      <c r="C24" s="332">
        <f t="shared" si="23"/>
        <v>0.01</v>
      </c>
      <c r="D24" s="329">
        <f t="shared" si="24"/>
        <v>0</v>
      </c>
      <c r="E24" s="347">
        <f t="shared" si="20"/>
        <v>1</v>
      </c>
      <c r="F24" s="106">
        <v>3</v>
      </c>
      <c r="G24" s="304"/>
      <c r="H24" s="350">
        <f t="shared" si="25"/>
        <v>0</v>
      </c>
      <c r="I24" s="324">
        <v>3</v>
      </c>
      <c r="J24" s="324"/>
      <c r="K24" s="325">
        <f t="shared" si="26"/>
        <v>0</v>
      </c>
      <c r="L24" s="324">
        <v>3</v>
      </c>
      <c r="M24" s="324"/>
      <c r="N24" s="325">
        <f t="shared" si="18"/>
        <v>0</v>
      </c>
      <c r="O24" s="324">
        <v>3</v>
      </c>
      <c r="P24" s="324"/>
      <c r="Q24" s="301">
        <f t="shared" si="27"/>
        <v>0</v>
      </c>
      <c r="R24" s="324"/>
      <c r="S24" s="324"/>
      <c r="T24" s="301" t="e">
        <f t="shared" si="28"/>
        <v>#DIV/0!</v>
      </c>
      <c r="U24" s="324"/>
      <c r="V24" s="324"/>
      <c r="W24" s="301" t="e">
        <f t="shared" si="29"/>
        <v>#DIV/0!</v>
      </c>
      <c r="X24" s="324"/>
      <c r="Y24" s="324"/>
      <c r="Z24" s="301" t="e">
        <f t="shared" si="30"/>
        <v>#DIV/0!</v>
      </c>
      <c r="AA24" s="324"/>
      <c r="AB24" s="324"/>
      <c r="AC24" s="301" t="e">
        <f t="shared" si="31"/>
        <v>#DIV/0!</v>
      </c>
      <c r="AD24" s="324"/>
      <c r="AE24" s="324"/>
      <c r="AF24" s="266" t="e">
        <f t="shared" si="21"/>
        <v>#DIV/0!</v>
      </c>
      <c r="AG24" s="324"/>
      <c r="AH24" s="326"/>
      <c r="AI24" s="319" t="e">
        <f t="shared" si="32"/>
        <v>#DIV/0!</v>
      </c>
      <c r="AJ24" s="104"/>
      <c r="AK24" s="306"/>
      <c r="AL24" s="318" t="e">
        <f t="shared" si="33"/>
        <v>#DIV/0!</v>
      </c>
      <c r="AM24" s="246"/>
      <c r="AN24" s="585"/>
      <c r="AO24" s="307" t="e">
        <f t="shared" si="34"/>
        <v>#DIV/0!</v>
      </c>
      <c r="AP24" s="271">
        <f t="shared" si="22"/>
        <v>3</v>
      </c>
      <c r="AQ24" s="271">
        <f t="shared" si="36"/>
        <v>0</v>
      </c>
      <c r="AR24" s="272">
        <f t="shared" si="35"/>
        <v>0</v>
      </c>
      <c r="AS24" s="292"/>
      <c r="AT24" s="293"/>
      <c r="AU24" s="292"/>
      <c r="AV24" s="292"/>
      <c r="AW24" s="294"/>
    </row>
    <row r="25" spans="1:49" s="273" customFormat="1" ht="17.25" hidden="1" customHeight="1" outlineLevel="1" x14ac:dyDescent="0.25">
      <c r="A25" s="330" t="s">
        <v>1066</v>
      </c>
      <c r="B25" s="336">
        <v>0.02</v>
      </c>
      <c r="C25" s="332">
        <f t="shared" si="23"/>
        <v>0.01</v>
      </c>
      <c r="D25" s="329">
        <f t="shared" si="24"/>
        <v>0</v>
      </c>
      <c r="E25" s="347">
        <f t="shared" si="20"/>
        <v>1</v>
      </c>
      <c r="F25" s="106">
        <v>2</v>
      </c>
      <c r="G25" s="304"/>
      <c r="H25" s="350">
        <f t="shared" si="25"/>
        <v>0</v>
      </c>
      <c r="I25" s="324">
        <v>2</v>
      </c>
      <c r="J25" s="324"/>
      <c r="K25" s="325">
        <f t="shared" si="26"/>
        <v>0</v>
      </c>
      <c r="L25" s="324">
        <v>2</v>
      </c>
      <c r="M25" s="324"/>
      <c r="N25" s="325">
        <f t="shared" si="18"/>
        <v>0</v>
      </c>
      <c r="O25" s="324">
        <v>2</v>
      </c>
      <c r="P25" s="324"/>
      <c r="Q25" s="301">
        <f t="shared" si="27"/>
        <v>0</v>
      </c>
      <c r="R25" s="324"/>
      <c r="S25" s="324"/>
      <c r="T25" s="301" t="e">
        <f t="shared" si="28"/>
        <v>#DIV/0!</v>
      </c>
      <c r="U25" s="324"/>
      <c r="V25" s="324"/>
      <c r="W25" s="301" t="e">
        <f t="shared" si="29"/>
        <v>#DIV/0!</v>
      </c>
      <c r="X25" s="324"/>
      <c r="Y25" s="324"/>
      <c r="Z25" s="301" t="e">
        <f t="shared" si="30"/>
        <v>#DIV/0!</v>
      </c>
      <c r="AA25" s="324"/>
      <c r="AB25" s="324"/>
      <c r="AC25" s="301" t="e">
        <f t="shared" si="31"/>
        <v>#DIV/0!</v>
      </c>
      <c r="AD25" s="324"/>
      <c r="AE25" s="324"/>
      <c r="AF25" s="266" t="e">
        <f t="shared" si="21"/>
        <v>#DIV/0!</v>
      </c>
      <c r="AG25" s="324"/>
      <c r="AH25" s="326"/>
      <c r="AI25" s="319" t="e">
        <f t="shared" si="32"/>
        <v>#DIV/0!</v>
      </c>
      <c r="AJ25" s="104"/>
      <c r="AK25" s="306"/>
      <c r="AL25" s="318" t="e">
        <f t="shared" si="33"/>
        <v>#DIV/0!</v>
      </c>
      <c r="AM25" s="246"/>
      <c r="AN25" s="585"/>
      <c r="AO25" s="307" t="e">
        <f t="shared" si="34"/>
        <v>#DIV/0!</v>
      </c>
      <c r="AP25" s="271">
        <f t="shared" si="22"/>
        <v>2</v>
      </c>
      <c r="AQ25" s="271">
        <f t="shared" si="36"/>
        <v>0</v>
      </c>
      <c r="AR25" s="272">
        <f t="shared" si="35"/>
        <v>0</v>
      </c>
      <c r="AS25" s="292"/>
      <c r="AT25" s="293"/>
      <c r="AU25" s="292"/>
      <c r="AV25" s="292"/>
      <c r="AW25" s="294"/>
    </row>
    <row r="26" spans="1:49" s="459" customFormat="1" ht="17.25" customHeight="1" collapsed="1" x14ac:dyDescent="0.25">
      <c r="A26" s="400" t="s">
        <v>821</v>
      </c>
      <c r="B26" s="401">
        <v>0.17</v>
      </c>
      <c r="C26" s="401">
        <f t="shared" si="23"/>
        <v>8.5000000000000006E-2</v>
      </c>
      <c r="D26" s="401">
        <f t="shared" si="24"/>
        <v>0.25531914893617019</v>
      </c>
      <c r="E26" s="402">
        <f t="shared" si="20"/>
        <v>0.33291666666666669</v>
      </c>
      <c r="F26" s="442">
        <v>33</v>
      </c>
      <c r="G26" s="443">
        <v>1</v>
      </c>
      <c r="H26" s="444">
        <f t="shared" si="25"/>
        <v>3.0303030303030304E-2</v>
      </c>
      <c r="I26" s="445">
        <v>36</v>
      </c>
      <c r="J26" s="445">
        <f>SUM(J27:J34)</f>
        <v>1</v>
      </c>
      <c r="K26" s="446">
        <f t="shared" si="26"/>
        <v>2.7777777777777776E-2</v>
      </c>
      <c r="L26" s="445">
        <v>36</v>
      </c>
      <c r="M26" s="445">
        <f>SUM(M27:M34)</f>
        <v>0</v>
      </c>
      <c r="N26" s="446">
        <f t="shared" si="18"/>
        <v>0</v>
      </c>
      <c r="O26" s="445">
        <v>36</v>
      </c>
      <c r="P26" s="445">
        <f>SUM(P27:P34)</f>
        <v>1</v>
      </c>
      <c r="Q26" s="447">
        <f t="shared" si="27"/>
        <v>2.7777777777777776E-2</v>
      </c>
      <c r="R26" s="445">
        <f>SUM(R27:R34)</f>
        <v>0</v>
      </c>
      <c r="S26" s="445">
        <f>SUM(S27:S34)</f>
        <v>0</v>
      </c>
      <c r="T26" s="447" t="e">
        <f t="shared" si="28"/>
        <v>#DIV/0!</v>
      </c>
      <c r="U26" s="445">
        <f>SUM(U27:U34)</f>
        <v>0</v>
      </c>
      <c r="V26" s="445">
        <f>SUM(V27:V34)</f>
        <v>0</v>
      </c>
      <c r="W26" s="447" t="e">
        <f t="shared" si="29"/>
        <v>#DIV/0!</v>
      </c>
      <c r="X26" s="445">
        <f>SUM(X27:X34)</f>
        <v>0</v>
      </c>
      <c r="Y26" s="445">
        <f>SUM(Y27:Y34)</f>
        <v>0</v>
      </c>
      <c r="Z26" s="447" t="e">
        <f t="shared" si="30"/>
        <v>#DIV/0!</v>
      </c>
      <c r="AA26" s="445">
        <f>SUM(AA27:AA34)</f>
        <v>0</v>
      </c>
      <c r="AB26" s="445">
        <f>SUM(AB27:AB34)</f>
        <v>0</v>
      </c>
      <c r="AC26" s="447" t="e">
        <f t="shared" si="31"/>
        <v>#DIV/0!</v>
      </c>
      <c r="AD26" s="445">
        <f>SUM(AD27:AD34)</f>
        <v>0</v>
      </c>
      <c r="AE26" s="445">
        <f>SUM(AE27:AE34)</f>
        <v>0</v>
      </c>
      <c r="AF26" s="448" t="e">
        <f t="shared" si="21"/>
        <v>#DIV/0!</v>
      </c>
      <c r="AG26" s="445">
        <f>SUM(AG27:AG34)</f>
        <v>0</v>
      </c>
      <c r="AH26" s="449">
        <f>SUM(AH27:AH34)</f>
        <v>0</v>
      </c>
      <c r="AI26" s="450" t="e">
        <f t="shared" si="32"/>
        <v>#DIV/0!</v>
      </c>
      <c r="AJ26" s="451">
        <f>SUM(AJ27:AJ34)</f>
        <v>0</v>
      </c>
      <c r="AK26" s="452">
        <f>SUM(AK27:AK34)</f>
        <v>0</v>
      </c>
      <c r="AL26" s="577" t="e">
        <f t="shared" si="33"/>
        <v>#DIV/0!</v>
      </c>
      <c r="AM26" s="595">
        <f>SUM(AM27:AM34)</f>
        <v>0</v>
      </c>
      <c r="AN26" s="586">
        <f>SUM(AN27:AN34)</f>
        <v>0</v>
      </c>
      <c r="AO26" s="453" t="e">
        <f t="shared" si="34"/>
        <v>#DIV/0!</v>
      </c>
      <c r="AP26" s="454">
        <f t="shared" si="22"/>
        <v>11.75</v>
      </c>
      <c r="AQ26" s="454">
        <f t="shared" si="36"/>
        <v>3</v>
      </c>
      <c r="AR26" s="455">
        <f t="shared" si="35"/>
        <v>0.25531914893617019</v>
      </c>
      <c r="AS26" s="456"/>
      <c r="AT26" s="457"/>
      <c r="AU26" s="456"/>
      <c r="AV26" s="456"/>
      <c r="AW26" s="458"/>
    </row>
    <row r="27" spans="1:49" s="273" customFormat="1" ht="17.25" hidden="1" customHeight="1" outlineLevel="1" x14ac:dyDescent="0.25">
      <c r="A27" s="330" t="s">
        <v>1103</v>
      </c>
      <c r="B27" s="332">
        <v>0.06</v>
      </c>
      <c r="C27" s="332">
        <f t="shared" ref="C27:C34" si="37">B27/12*$C$14</f>
        <v>0.03</v>
      </c>
      <c r="D27" s="329">
        <f t="shared" si="24"/>
        <v>0</v>
      </c>
      <c r="E27" s="347">
        <f t="shared" ref="E27:E34" si="38">IF(D27&gt;0%,C27/D27,100%)</f>
        <v>1</v>
      </c>
      <c r="F27" s="106">
        <v>5</v>
      </c>
      <c r="G27" s="304"/>
      <c r="H27" s="350">
        <f t="shared" si="25"/>
        <v>0</v>
      </c>
      <c r="I27" s="324">
        <v>4</v>
      </c>
      <c r="J27" s="324"/>
      <c r="K27" s="325">
        <f t="shared" si="26"/>
        <v>0</v>
      </c>
      <c r="L27" s="324">
        <v>6</v>
      </c>
      <c r="M27" s="324"/>
      <c r="N27" s="325">
        <f t="shared" si="18"/>
        <v>0</v>
      </c>
      <c r="O27" s="324">
        <v>5</v>
      </c>
      <c r="P27" s="324"/>
      <c r="Q27" s="301">
        <f t="shared" si="27"/>
        <v>0</v>
      </c>
      <c r="R27" s="324"/>
      <c r="S27" s="324"/>
      <c r="T27" s="301" t="e">
        <f t="shared" si="28"/>
        <v>#DIV/0!</v>
      </c>
      <c r="U27" s="324"/>
      <c r="V27" s="324"/>
      <c r="W27" s="301" t="e">
        <f t="shared" si="29"/>
        <v>#DIV/0!</v>
      </c>
      <c r="X27" s="324"/>
      <c r="Y27" s="324"/>
      <c r="Z27" s="301" t="e">
        <f t="shared" si="30"/>
        <v>#DIV/0!</v>
      </c>
      <c r="AA27" s="324"/>
      <c r="AB27" s="324"/>
      <c r="AC27" s="301" t="e">
        <f t="shared" si="31"/>
        <v>#DIV/0!</v>
      </c>
      <c r="AD27" s="324"/>
      <c r="AE27" s="324"/>
      <c r="AF27" s="266" t="e">
        <f t="shared" si="21"/>
        <v>#DIV/0!</v>
      </c>
      <c r="AG27" s="324"/>
      <c r="AH27" s="326"/>
      <c r="AI27" s="319" t="e">
        <f t="shared" si="32"/>
        <v>#DIV/0!</v>
      </c>
      <c r="AJ27" s="104"/>
      <c r="AK27" s="306"/>
      <c r="AL27" s="318" t="e">
        <f t="shared" si="33"/>
        <v>#DIV/0!</v>
      </c>
      <c r="AM27" s="246"/>
      <c r="AN27" s="585"/>
      <c r="AO27" s="307" t="e">
        <f t="shared" si="34"/>
        <v>#DIV/0!</v>
      </c>
      <c r="AP27" s="271">
        <f t="shared" si="22"/>
        <v>5</v>
      </c>
      <c r="AQ27" s="271">
        <f t="shared" si="36"/>
        <v>0</v>
      </c>
      <c r="AR27" s="272">
        <f t="shared" si="35"/>
        <v>0</v>
      </c>
      <c r="AS27" s="292"/>
      <c r="AT27" s="293"/>
      <c r="AU27" s="292"/>
      <c r="AV27" s="292"/>
      <c r="AW27" s="294"/>
    </row>
    <row r="28" spans="1:49" s="273" customFormat="1" ht="17.25" hidden="1" customHeight="1" outlineLevel="1" x14ac:dyDescent="0.25">
      <c r="A28" s="330" t="s">
        <v>1026</v>
      </c>
      <c r="B28" s="332">
        <v>0.03</v>
      </c>
      <c r="C28" s="332">
        <f t="shared" si="37"/>
        <v>1.4999999999999999E-2</v>
      </c>
      <c r="D28" s="329">
        <f t="shared" si="24"/>
        <v>0</v>
      </c>
      <c r="E28" s="347">
        <f t="shared" si="38"/>
        <v>1</v>
      </c>
      <c r="F28" s="106">
        <v>3</v>
      </c>
      <c r="G28" s="304"/>
      <c r="H28" s="350">
        <f t="shared" si="25"/>
        <v>0</v>
      </c>
      <c r="I28" s="324">
        <v>3</v>
      </c>
      <c r="J28" s="324"/>
      <c r="K28" s="325">
        <f t="shared" si="26"/>
        <v>0</v>
      </c>
      <c r="L28" s="324">
        <v>3</v>
      </c>
      <c r="M28" s="324"/>
      <c r="N28" s="325">
        <f t="shared" si="18"/>
        <v>0</v>
      </c>
      <c r="O28" s="324">
        <v>3</v>
      </c>
      <c r="P28" s="324"/>
      <c r="Q28" s="301">
        <f t="shared" si="27"/>
        <v>0</v>
      </c>
      <c r="R28" s="324"/>
      <c r="S28" s="324"/>
      <c r="T28" s="301" t="e">
        <f t="shared" si="28"/>
        <v>#DIV/0!</v>
      </c>
      <c r="U28" s="324"/>
      <c r="V28" s="324"/>
      <c r="W28" s="301" t="e">
        <f t="shared" si="29"/>
        <v>#DIV/0!</v>
      </c>
      <c r="X28" s="324"/>
      <c r="Y28" s="324"/>
      <c r="Z28" s="301" t="e">
        <f t="shared" si="30"/>
        <v>#DIV/0!</v>
      </c>
      <c r="AA28" s="324"/>
      <c r="AB28" s="324"/>
      <c r="AC28" s="301" t="e">
        <f t="shared" si="31"/>
        <v>#DIV/0!</v>
      </c>
      <c r="AD28" s="324"/>
      <c r="AE28" s="324"/>
      <c r="AF28" s="266" t="e">
        <f t="shared" si="21"/>
        <v>#DIV/0!</v>
      </c>
      <c r="AG28" s="324"/>
      <c r="AH28" s="326"/>
      <c r="AI28" s="319" t="e">
        <f t="shared" si="32"/>
        <v>#DIV/0!</v>
      </c>
      <c r="AJ28" s="104"/>
      <c r="AK28" s="306"/>
      <c r="AL28" s="318" t="e">
        <f t="shared" si="33"/>
        <v>#DIV/0!</v>
      </c>
      <c r="AM28" s="246"/>
      <c r="AN28" s="585"/>
      <c r="AO28" s="307" t="e">
        <f t="shared" si="34"/>
        <v>#DIV/0!</v>
      </c>
      <c r="AP28" s="271">
        <f t="shared" si="22"/>
        <v>3</v>
      </c>
      <c r="AQ28" s="271">
        <f t="shared" si="36"/>
        <v>0</v>
      </c>
      <c r="AR28" s="272">
        <f t="shared" si="35"/>
        <v>0</v>
      </c>
      <c r="AS28" s="292"/>
      <c r="AT28" s="293"/>
      <c r="AU28" s="292"/>
      <c r="AV28" s="292"/>
      <c r="AW28" s="294"/>
    </row>
    <row r="29" spans="1:49" s="273" customFormat="1" ht="17.25" hidden="1" customHeight="1" outlineLevel="1" x14ac:dyDescent="0.25">
      <c r="A29" s="330" t="s">
        <v>1067</v>
      </c>
      <c r="B29" s="332">
        <v>0.1</v>
      </c>
      <c r="C29" s="332">
        <f t="shared" si="37"/>
        <v>0.05</v>
      </c>
      <c r="D29" s="329">
        <f t="shared" si="24"/>
        <v>0</v>
      </c>
      <c r="E29" s="347">
        <f t="shared" si="38"/>
        <v>1</v>
      </c>
      <c r="F29" s="106">
        <v>5</v>
      </c>
      <c r="G29" s="304"/>
      <c r="H29" s="350">
        <f>G29/F29</f>
        <v>0</v>
      </c>
      <c r="I29" s="324">
        <v>4</v>
      </c>
      <c r="J29" s="324"/>
      <c r="K29" s="325">
        <f t="shared" si="26"/>
        <v>0</v>
      </c>
      <c r="L29" s="324">
        <v>5</v>
      </c>
      <c r="M29" s="324"/>
      <c r="N29" s="325">
        <f t="shared" si="18"/>
        <v>0</v>
      </c>
      <c r="O29" s="324">
        <v>3</v>
      </c>
      <c r="P29" s="324"/>
      <c r="Q29" s="301">
        <f t="shared" si="27"/>
        <v>0</v>
      </c>
      <c r="R29" s="324"/>
      <c r="S29" s="324"/>
      <c r="T29" s="301" t="e">
        <f t="shared" si="28"/>
        <v>#DIV/0!</v>
      </c>
      <c r="U29" s="324"/>
      <c r="V29" s="324"/>
      <c r="W29" s="301" t="e">
        <f t="shared" si="29"/>
        <v>#DIV/0!</v>
      </c>
      <c r="X29" s="324"/>
      <c r="Y29" s="324"/>
      <c r="Z29" s="301" t="e">
        <f t="shared" si="30"/>
        <v>#DIV/0!</v>
      </c>
      <c r="AA29" s="324"/>
      <c r="AB29" s="324"/>
      <c r="AC29" s="301" t="e">
        <f t="shared" si="31"/>
        <v>#DIV/0!</v>
      </c>
      <c r="AD29" s="324"/>
      <c r="AE29" s="324"/>
      <c r="AF29" s="266" t="e">
        <f t="shared" si="21"/>
        <v>#DIV/0!</v>
      </c>
      <c r="AG29" s="324"/>
      <c r="AH29" s="326"/>
      <c r="AI29" s="319" t="e">
        <f t="shared" si="32"/>
        <v>#DIV/0!</v>
      </c>
      <c r="AJ29" s="104"/>
      <c r="AK29" s="306"/>
      <c r="AL29" s="318" t="e">
        <f t="shared" si="33"/>
        <v>#DIV/0!</v>
      </c>
      <c r="AM29" s="246"/>
      <c r="AN29" s="585"/>
      <c r="AO29" s="307" t="e">
        <f t="shared" si="34"/>
        <v>#DIV/0!</v>
      </c>
      <c r="AP29" s="271">
        <f t="shared" si="22"/>
        <v>4.25</v>
      </c>
      <c r="AQ29" s="271">
        <f t="shared" si="36"/>
        <v>0</v>
      </c>
      <c r="AR29" s="272">
        <f t="shared" si="35"/>
        <v>0</v>
      </c>
      <c r="AS29" s="292"/>
      <c r="AT29" s="293"/>
      <c r="AU29" s="292"/>
      <c r="AV29" s="292"/>
      <c r="AW29" s="294"/>
    </row>
    <row r="30" spans="1:49" s="273" customFormat="1" ht="17.25" hidden="1" customHeight="1" outlineLevel="1" x14ac:dyDescent="0.25">
      <c r="A30" s="330" t="s">
        <v>1084</v>
      </c>
      <c r="B30" s="332">
        <v>0.1</v>
      </c>
      <c r="C30" s="332">
        <f t="shared" si="37"/>
        <v>0.05</v>
      </c>
      <c r="D30" s="329">
        <f t="shared" si="24"/>
        <v>0</v>
      </c>
      <c r="E30" s="347">
        <f>IF(D30&gt;0%,C30/D30,100%)</f>
        <v>1</v>
      </c>
      <c r="F30" s="106">
        <v>8</v>
      </c>
      <c r="G30" s="304"/>
      <c r="H30" s="350">
        <f t="shared" si="25"/>
        <v>0</v>
      </c>
      <c r="I30" s="324">
        <v>9</v>
      </c>
      <c r="J30" s="324"/>
      <c r="K30" s="325">
        <f t="shared" si="26"/>
        <v>0</v>
      </c>
      <c r="L30" s="324">
        <v>9</v>
      </c>
      <c r="M30" s="324"/>
      <c r="N30" s="325">
        <f t="shared" si="18"/>
        <v>0</v>
      </c>
      <c r="O30" s="324">
        <v>9</v>
      </c>
      <c r="P30" s="324"/>
      <c r="Q30" s="301">
        <f t="shared" si="27"/>
        <v>0</v>
      </c>
      <c r="R30" s="324"/>
      <c r="S30" s="324"/>
      <c r="T30" s="301" t="e">
        <f t="shared" si="28"/>
        <v>#DIV/0!</v>
      </c>
      <c r="U30" s="324"/>
      <c r="V30" s="324"/>
      <c r="W30" s="301" t="e">
        <f t="shared" si="29"/>
        <v>#DIV/0!</v>
      </c>
      <c r="X30" s="324"/>
      <c r="Y30" s="324"/>
      <c r="Z30" s="301" t="e">
        <f t="shared" si="30"/>
        <v>#DIV/0!</v>
      </c>
      <c r="AA30" s="324"/>
      <c r="AB30" s="324"/>
      <c r="AC30" s="301" t="e">
        <f t="shared" si="31"/>
        <v>#DIV/0!</v>
      </c>
      <c r="AD30" s="324"/>
      <c r="AE30" s="324"/>
      <c r="AF30" s="266" t="e">
        <f t="shared" si="21"/>
        <v>#DIV/0!</v>
      </c>
      <c r="AG30" s="324"/>
      <c r="AH30" s="326"/>
      <c r="AI30" s="319" t="e">
        <f t="shared" si="32"/>
        <v>#DIV/0!</v>
      </c>
      <c r="AJ30" s="104"/>
      <c r="AK30" s="306"/>
      <c r="AL30" s="318" t="e">
        <f t="shared" si="33"/>
        <v>#DIV/0!</v>
      </c>
      <c r="AM30" s="246"/>
      <c r="AN30" s="585"/>
      <c r="AO30" s="307" t="e">
        <f t="shared" si="34"/>
        <v>#DIV/0!</v>
      </c>
      <c r="AP30" s="271">
        <f t="shared" si="22"/>
        <v>8.75</v>
      </c>
      <c r="AQ30" s="271">
        <f t="shared" si="36"/>
        <v>0</v>
      </c>
      <c r="AR30" s="272">
        <f t="shared" si="35"/>
        <v>0</v>
      </c>
      <c r="AS30" s="292"/>
      <c r="AT30" s="293"/>
      <c r="AU30" s="292"/>
      <c r="AV30" s="292"/>
      <c r="AW30" s="294"/>
    </row>
    <row r="31" spans="1:49" s="273" customFormat="1" ht="17.25" hidden="1" customHeight="1" outlineLevel="1" x14ac:dyDescent="0.25">
      <c r="A31" s="330" t="s">
        <v>1068</v>
      </c>
      <c r="B31" s="332">
        <v>7.0000000000000007E-2</v>
      </c>
      <c r="C31" s="332">
        <f t="shared" si="37"/>
        <v>3.5000000000000003E-2</v>
      </c>
      <c r="D31" s="329">
        <f t="shared" si="24"/>
        <v>0.25</v>
      </c>
      <c r="E31" s="347">
        <f t="shared" si="38"/>
        <v>0.14000000000000001</v>
      </c>
      <c r="F31" s="106">
        <v>4</v>
      </c>
      <c r="G31" s="304"/>
      <c r="H31" s="350">
        <f t="shared" si="25"/>
        <v>0</v>
      </c>
      <c r="I31" s="324">
        <v>4</v>
      </c>
      <c r="J31" s="324">
        <v>1</v>
      </c>
      <c r="K31" s="325">
        <f t="shared" si="26"/>
        <v>0.25</v>
      </c>
      <c r="L31" s="324">
        <v>4</v>
      </c>
      <c r="M31" s="324"/>
      <c r="N31" s="325">
        <f t="shared" si="18"/>
        <v>0</v>
      </c>
      <c r="O31" s="324">
        <v>4</v>
      </c>
      <c r="P31" s="324"/>
      <c r="Q31" s="301">
        <f t="shared" si="27"/>
        <v>0</v>
      </c>
      <c r="R31" s="324"/>
      <c r="S31" s="324"/>
      <c r="T31" s="301" t="e">
        <f t="shared" si="28"/>
        <v>#DIV/0!</v>
      </c>
      <c r="U31" s="324"/>
      <c r="V31" s="324"/>
      <c r="W31" s="301" t="e">
        <f t="shared" si="29"/>
        <v>#DIV/0!</v>
      </c>
      <c r="X31" s="324"/>
      <c r="Y31" s="324"/>
      <c r="Z31" s="301" t="e">
        <f t="shared" si="30"/>
        <v>#DIV/0!</v>
      </c>
      <c r="AA31" s="324"/>
      <c r="AB31" s="324"/>
      <c r="AC31" s="301" t="e">
        <f t="shared" si="31"/>
        <v>#DIV/0!</v>
      </c>
      <c r="AD31" s="324"/>
      <c r="AE31" s="324"/>
      <c r="AF31" s="266" t="e">
        <f t="shared" si="21"/>
        <v>#DIV/0!</v>
      </c>
      <c r="AG31" s="324"/>
      <c r="AH31" s="326"/>
      <c r="AI31" s="319" t="e">
        <f t="shared" si="32"/>
        <v>#DIV/0!</v>
      </c>
      <c r="AJ31" s="104"/>
      <c r="AK31" s="306"/>
      <c r="AL31" s="318" t="e">
        <f t="shared" si="33"/>
        <v>#DIV/0!</v>
      </c>
      <c r="AM31" s="246"/>
      <c r="AN31" s="585"/>
      <c r="AO31" s="307" t="e">
        <f t="shared" si="34"/>
        <v>#DIV/0!</v>
      </c>
      <c r="AP31" s="271">
        <f t="shared" si="22"/>
        <v>4</v>
      </c>
      <c r="AQ31" s="271">
        <f t="shared" si="36"/>
        <v>1</v>
      </c>
      <c r="AR31" s="272">
        <f t="shared" si="35"/>
        <v>0.25</v>
      </c>
      <c r="AS31" s="292"/>
      <c r="AT31" s="293"/>
      <c r="AU31" s="292"/>
      <c r="AV31" s="292"/>
      <c r="AW31" s="294"/>
    </row>
    <row r="32" spans="1:49" s="273" customFormat="1" ht="17.25" hidden="1" customHeight="1" outlineLevel="1" x14ac:dyDescent="0.25">
      <c r="A32" s="330" t="s">
        <v>718</v>
      </c>
      <c r="B32" s="332">
        <v>0.05</v>
      </c>
      <c r="C32" s="332">
        <f t="shared" si="37"/>
        <v>2.5000000000000001E-2</v>
      </c>
      <c r="D32" s="329">
        <f t="shared" si="24"/>
        <v>0.18181818181818182</v>
      </c>
      <c r="E32" s="347">
        <f t="shared" si="38"/>
        <v>0.13750000000000001</v>
      </c>
      <c r="F32" s="106">
        <v>5</v>
      </c>
      <c r="G32" s="304"/>
      <c r="H32" s="350">
        <f t="shared" si="25"/>
        <v>0</v>
      </c>
      <c r="I32" s="324">
        <v>5</v>
      </c>
      <c r="J32" s="324"/>
      <c r="K32" s="325">
        <f t="shared" si="26"/>
        <v>0</v>
      </c>
      <c r="L32" s="324">
        <v>5</v>
      </c>
      <c r="M32" s="324"/>
      <c r="N32" s="325">
        <f t="shared" si="18"/>
        <v>0</v>
      </c>
      <c r="O32" s="324">
        <v>7</v>
      </c>
      <c r="P32" s="324">
        <v>1</v>
      </c>
      <c r="Q32" s="301">
        <f t="shared" si="27"/>
        <v>0.14285714285714285</v>
      </c>
      <c r="R32" s="324"/>
      <c r="S32" s="324"/>
      <c r="T32" s="301" t="e">
        <f t="shared" si="28"/>
        <v>#DIV/0!</v>
      </c>
      <c r="U32" s="324"/>
      <c r="V32" s="324"/>
      <c r="W32" s="301" t="e">
        <f t="shared" si="29"/>
        <v>#DIV/0!</v>
      </c>
      <c r="X32" s="324"/>
      <c r="Y32" s="324"/>
      <c r="Z32" s="301" t="e">
        <f t="shared" si="30"/>
        <v>#DIV/0!</v>
      </c>
      <c r="AA32" s="324"/>
      <c r="AB32" s="324"/>
      <c r="AC32" s="301" t="e">
        <f t="shared" si="31"/>
        <v>#DIV/0!</v>
      </c>
      <c r="AD32" s="324"/>
      <c r="AE32" s="324"/>
      <c r="AF32" s="266" t="e">
        <f t="shared" si="21"/>
        <v>#DIV/0!</v>
      </c>
      <c r="AG32" s="324"/>
      <c r="AH32" s="326"/>
      <c r="AI32" s="319" t="e">
        <f t="shared" si="32"/>
        <v>#DIV/0!</v>
      </c>
      <c r="AJ32" s="104"/>
      <c r="AK32" s="306"/>
      <c r="AL32" s="318" t="e">
        <f t="shared" si="33"/>
        <v>#DIV/0!</v>
      </c>
      <c r="AM32" s="246"/>
      <c r="AN32" s="585"/>
      <c r="AO32" s="307" t="e">
        <f t="shared" si="34"/>
        <v>#DIV/0!</v>
      </c>
      <c r="AP32" s="271">
        <f t="shared" si="22"/>
        <v>5.5</v>
      </c>
      <c r="AQ32" s="271">
        <f t="shared" si="36"/>
        <v>1</v>
      </c>
      <c r="AR32" s="272">
        <f t="shared" si="35"/>
        <v>0.18181818181818182</v>
      </c>
      <c r="AS32" s="292"/>
      <c r="AT32" s="293"/>
      <c r="AU32" s="292"/>
      <c r="AV32" s="292"/>
      <c r="AW32" s="294"/>
    </row>
    <row r="33" spans="1:49" s="273" customFormat="1" ht="17.25" hidden="1" customHeight="1" outlineLevel="1" x14ac:dyDescent="0.25">
      <c r="A33" s="330" t="s">
        <v>1079</v>
      </c>
      <c r="B33" s="332">
        <v>0</v>
      </c>
      <c r="C33" s="332">
        <f>B33/12*$C$14</f>
        <v>0</v>
      </c>
      <c r="D33" s="329">
        <f t="shared" si="24"/>
        <v>0</v>
      </c>
      <c r="E33" s="347">
        <f t="shared" si="38"/>
        <v>1</v>
      </c>
      <c r="F33" s="106">
        <v>2</v>
      </c>
      <c r="G33" s="304"/>
      <c r="H33" s="350">
        <f t="shared" si="25"/>
        <v>0</v>
      </c>
      <c r="I33" s="324">
        <v>2</v>
      </c>
      <c r="J33" s="324"/>
      <c r="K33" s="325">
        <f t="shared" si="26"/>
        <v>0</v>
      </c>
      <c r="L33" s="324">
        <v>2</v>
      </c>
      <c r="M33" s="324"/>
      <c r="N33" s="325">
        <f t="shared" si="18"/>
        <v>0</v>
      </c>
      <c r="O33" s="324">
        <v>4</v>
      </c>
      <c r="P33" s="324"/>
      <c r="Q33" s="301">
        <f t="shared" si="27"/>
        <v>0</v>
      </c>
      <c r="R33" s="324"/>
      <c r="S33" s="324"/>
      <c r="T33" s="301" t="e">
        <f t="shared" si="28"/>
        <v>#DIV/0!</v>
      </c>
      <c r="U33" s="324"/>
      <c r="V33" s="324"/>
      <c r="W33" s="301" t="e">
        <f t="shared" si="29"/>
        <v>#DIV/0!</v>
      </c>
      <c r="X33" s="324"/>
      <c r="Y33" s="324"/>
      <c r="Z33" s="301" t="e">
        <f t="shared" si="30"/>
        <v>#DIV/0!</v>
      </c>
      <c r="AA33" s="324"/>
      <c r="AB33" s="324"/>
      <c r="AC33" s="301" t="e">
        <f t="shared" si="31"/>
        <v>#DIV/0!</v>
      </c>
      <c r="AD33" s="324"/>
      <c r="AE33" s="324"/>
      <c r="AF33" s="266" t="e">
        <f t="shared" si="21"/>
        <v>#DIV/0!</v>
      </c>
      <c r="AG33" s="324"/>
      <c r="AH33" s="326"/>
      <c r="AI33" s="319" t="e">
        <f t="shared" si="32"/>
        <v>#DIV/0!</v>
      </c>
      <c r="AJ33" s="104"/>
      <c r="AK33" s="306"/>
      <c r="AL33" s="318" t="e">
        <f t="shared" si="33"/>
        <v>#DIV/0!</v>
      </c>
      <c r="AM33" s="246"/>
      <c r="AN33" s="585"/>
      <c r="AO33" s="307" t="e">
        <f t="shared" si="34"/>
        <v>#DIV/0!</v>
      </c>
      <c r="AP33" s="271">
        <f t="shared" si="22"/>
        <v>2.5</v>
      </c>
      <c r="AQ33" s="271"/>
      <c r="AR33" s="272"/>
      <c r="AS33" s="292"/>
      <c r="AT33" s="293"/>
      <c r="AU33" s="292"/>
      <c r="AV33" s="292"/>
      <c r="AW33" s="294"/>
    </row>
    <row r="34" spans="1:49" s="273" customFormat="1" ht="17.25" hidden="1" customHeight="1" outlineLevel="1" x14ac:dyDescent="0.25">
      <c r="A34" s="330" t="s">
        <v>1039</v>
      </c>
      <c r="B34" s="332">
        <v>0</v>
      </c>
      <c r="C34" s="332">
        <f t="shared" si="37"/>
        <v>0</v>
      </c>
      <c r="D34" s="329">
        <f t="shared" si="24"/>
        <v>0</v>
      </c>
      <c r="E34" s="347">
        <f t="shared" si="38"/>
        <v>1</v>
      </c>
      <c r="F34" s="106">
        <v>1</v>
      </c>
      <c r="G34" s="304"/>
      <c r="H34" s="350">
        <f t="shared" si="25"/>
        <v>0</v>
      </c>
      <c r="I34" s="324">
        <v>2</v>
      </c>
      <c r="J34" s="324"/>
      <c r="K34" s="325">
        <f t="shared" si="26"/>
        <v>0</v>
      </c>
      <c r="L34" s="324">
        <v>2</v>
      </c>
      <c r="M34" s="324"/>
      <c r="N34" s="325">
        <f t="shared" si="18"/>
        <v>0</v>
      </c>
      <c r="O34" s="324">
        <v>1</v>
      </c>
      <c r="P34" s="324"/>
      <c r="Q34" s="301">
        <f t="shared" si="27"/>
        <v>0</v>
      </c>
      <c r="R34" s="324"/>
      <c r="S34" s="324"/>
      <c r="T34" s="301" t="e">
        <f t="shared" si="28"/>
        <v>#DIV/0!</v>
      </c>
      <c r="U34" s="324"/>
      <c r="V34" s="324"/>
      <c r="W34" s="301" t="e">
        <f t="shared" si="29"/>
        <v>#DIV/0!</v>
      </c>
      <c r="X34" s="324"/>
      <c r="Y34" s="324"/>
      <c r="Z34" s="301" t="e">
        <f t="shared" si="30"/>
        <v>#DIV/0!</v>
      </c>
      <c r="AA34" s="324"/>
      <c r="AB34" s="324"/>
      <c r="AC34" s="301" t="e">
        <f t="shared" si="31"/>
        <v>#DIV/0!</v>
      </c>
      <c r="AD34" s="324"/>
      <c r="AE34" s="324"/>
      <c r="AF34" s="266" t="e">
        <f t="shared" si="21"/>
        <v>#DIV/0!</v>
      </c>
      <c r="AG34" s="324"/>
      <c r="AH34" s="326"/>
      <c r="AI34" s="319" t="e">
        <f t="shared" si="32"/>
        <v>#DIV/0!</v>
      </c>
      <c r="AJ34" s="104"/>
      <c r="AK34" s="306"/>
      <c r="AL34" s="318" t="e">
        <f t="shared" si="33"/>
        <v>#DIV/0!</v>
      </c>
      <c r="AM34" s="246"/>
      <c r="AN34" s="585"/>
      <c r="AO34" s="307" t="e">
        <f t="shared" si="34"/>
        <v>#DIV/0!</v>
      </c>
      <c r="AP34" s="271">
        <f t="shared" ref="AP34:AP46" si="39">AVERAGE(F34,I34,L34,O34,R34,U34,X34,AA34,AD34,AG34,AJ34,AM34)</f>
        <v>1.5</v>
      </c>
      <c r="AQ34" s="271">
        <f t="shared" ref="AQ34:AQ42" si="40">SUM(G34,J34,M34,P34,S34,V34,Y34,AB34,AE34,AH34,AK34,AN34)</f>
        <v>0</v>
      </c>
      <c r="AR34" s="272">
        <f t="shared" ref="AR34:AR42" si="41">AQ34/AP34</f>
        <v>0</v>
      </c>
      <c r="AS34" s="292"/>
      <c r="AT34" s="293"/>
      <c r="AU34" s="292"/>
      <c r="AV34" s="292"/>
      <c r="AW34" s="294"/>
    </row>
    <row r="35" spans="1:49" s="480" customFormat="1" ht="17.25" customHeight="1" collapsed="1" x14ac:dyDescent="0.25">
      <c r="A35" s="460" t="s">
        <v>809</v>
      </c>
      <c r="B35" s="461">
        <v>0.16500000000000001</v>
      </c>
      <c r="C35" s="461">
        <f>B35/12*$C$14</f>
        <v>8.2500000000000004E-2</v>
      </c>
      <c r="D35" s="461">
        <f t="shared" si="24"/>
        <v>7.3619631901840496E-2</v>
      </c>
      <c r="E35" s="462">
        <f t="shared" ref="E35:E51" si="42">IF(D35&gt;0%,C35/D35,100%)</f>
        <v>1.120625</v>
      </c>
      <c r="F35" s="463">
        <v>40</v>
      </c>
      <c r="G35" s="464"/>
      <c r="H35" s="465">
        <f t="shared" si="25"/>
        <v>0</v>
      </c>
      <c r="I35" s="466">
        <v>42</v>
      </c>
      <c r="J35" s="466">
        <v>1</v>
      </c>
      <c r="K35" s="467">
        <f t="shared" si="26"/>
        <v>2.3809523809523808E-2</v>
      </c>
      <c r="L35" s="466">
        <v>41</v>
      </c>
      <c r="M35" s="466">
        <v>1</v>
      </c>
      <c r="N35" s="467">
        <f t="shared" si="18"/>
        <v>2.4390243902439025E-2</v>
      </c>
      <c r="O35" s="466">
        <v>40</v>
      </c>
      <c r="P35" s="466">
        <v>1</v>
      </c>
      <c r="Q35" s="468">
        <f t="shared" si="27"/>
        <v>2.5000000000000001E-2</v>
      </c>
      <c r="R35" s="466"/>
      <c r="S35" s="466"/>
      <c r="T35" s="468" t="e">
        <f>S35/R35</f>
        <v>#DIV/0!</v>
      </c>
      <c r="U35" s="466"/>
      <c r="V35" s="466"/>
      <c r="W35" s="468" t="e">
        <f t="shared" si="29"/>
        <v>#DIV/0!</v>
      </c>
      <c r="X35" s="466"/>
      <c r="Y35" s="466"/>
      <c r="Z35" s="468" t="e">
        <f t="shared" si="30"/>
        <v>#DIV/0!</v>
      </c>
      <c r="AA35" s="466"/>
      <c r="AB35" s="466"/>
      <c r="AC35" s="468" t="e">
        <f t="shared" si="31"/>
        <v>#DIV/0!</v>
      </c>
      <c r="AD35" s="466"/>
      <c r="AE35" s="466"/>
      <c r="AF35" s="469" t="e">
        <f t="shared" si="21"/>
        <v>#DIV/0!</v>
      </c>
      <c r="AG35" s="466"/>
      <c r="AH35" s="470"/>
      <c r="AI35" s="471" t="e">
        <f t="shared" si="32"/>
        <v>#DIV/0!</v>
      </c>
      <c r="AJ35" s="472"/>
      <c r="AK35" s="473"/>
      <c r="AL35" s="578" t="e">
        <f t="shared" si="33"/>
        <v>#DIV/0!</v>
      </c>
      <c r="AM35" s="596"/>
      <c r="AN35" s="587"/>
      <c r="AO35" s="474" t="e">
        <f t="shared" si="34"/>
        <v>#DIV/0!</v>
      </c>
      <c r="AP35" s="475">
        <f t="shared" si="39"/>
        <v>40.75</v>
      </c>
      <c r="AQ35" s="475">
        <f t="shared" si="40"/>
        <v>3</v>
      </c>
      <c r="AR35" s="476">
        <f t="shared" si="41"/>
        <v>7.3619631901840496E-2</v>
      </c>
      <c r="AS35" s="477"/>
      <c r="AT35" s="478"/>
      <c r="AU35" s="477"/>
      <c r="AV35" s="477"/>
      <c r="AW35" s="479"/>
    </row>
    <row r="36" spans="1:49" s="480" customFormat="1" ht="17.25" customHeight="1" x14ac:dyDescent="0.25">
      <c r="A36" s="460" t="s">
        <v>897</v>
      </c>
      <c r="B36" s="461">
        <v>0.12</v>
      </c>
      <c r="C36" s="481">
        <f t="shared" ref="C36:C70" si="43">B36/12*$C$14</f>
        <v>0.06</v>
      </c>
      <c r="D36" s="481">
        <f t="shared" si="24"/>
        <v>0</v>
      </c>
      <c r="E36" s="482">
        <f t="shared" si="42"/>
        <v>1</v>
      </c>
      <c r="F36" s="463">
        <f>SUM(F37:F40)</f>
        <v>17</v>
      </c>
      <c r="G36" s="464">
        <f>SUM(G37:G40)</f>
        <v>0</v>
      </c>
      <c r="H36" s="465">
        <f t="shared" si="25"/>
        <v>0</v>
      </c>
      <c r="I36" s="466">
        <f>SUM(I37:I40)</f>
        <v>17</v>
      </c>
      <c r="J36" s="466">
        <f>SUM(J37:J40)</f>
        <v>0</v>
      </c>
      <c r="K36" s="467">
        <f t="shared" si="26"/>
        <v>0</v>
      </c>
      <c r="L36" s="466">
        <v>19</v>
      </c>
      <c r="M36" s="466">
        <f>SUM(M37:M40)</f>
        <v>0</v>
      </c>
      <c r="N36" s="467">
        <f t="shared" si="18"/>
        <v>0</v>
      </c>
      <c r="O36" s="466">
        <v>17</v>
      </c>
      <c r="P36" s="466">
        <f>SUM(P37:P40)</f>
        <v>0</v>
      </c>
      <c r="Q36" s="468">
        <f t="shared" si="27"/>
        <v>0</v>
      </c>
      <c r="R36" s="466">
        <f>SUM(R37:R40)</f>
        <v>0</v>
      </c>
      <c r="S36" s="466">
        <f>SUM(S37:S40)</f>
        <v>0</v>
      </c>
      <c r="T36" s="468" t="e">
        <f t="shared" si="28"/>
        <v>#DIV/0!</v>
      </c>
      <c r="U36" s="466">
        <f>SUM(U37:U40)</f>
        <v>0</v>
      </c>
      <c r="V36" s="466">
        <f>SUM(V37:V40)</f>
        <v>0</v>
      </c>
      <c r="W36" s="468" t="e">
        <f t="shared" si="29"/>
        <v>#DIV/0!</v>
      </c>
      <c r="X36" s="466">
        <f>SUM(X37:X40)</f>
        <v>0</v>
      </c>
      <c r="Y36" s="466">
        <f>SUM(Y37:Y40)</f>
        <v>0</v>
      </c>
      <c r="Z36" s="468" t="e">
        <f t="shared" si="30"/>
        <v>#DIV/0!</v>
      </c>
      <c r="AA36" s="466">
        <f>SUM(AA37:AA40)</f>
        <v>0</v>
      </c>
      <c r="AB36" s="466">
        <f>SUM(AB37:AB40)</f>
        <v>0</v>
      </c>
      <c r="AC36" s="468" t="e">
        <f t="shared" si="31"/>
        <v>#DIV/0!</v>
      </c>
      <c r="AD36" s="466">
        <f>SUM(AD37:AD40)</f>
        <v>0</v>
      </c>
      <c r="AE36" s="466">
        <f>SUM(AE37:AE40)</f>
        <v>0</v>
      </c>
      <c r="AF36" s="469" t="e">
        <f t="shared" si="21"/>
        <v>#DIV/0!</v>
      </c>
      <c r="AG36" s="466">
        <f>SUM(AG37:AG40)</f>
        <v>0</v>
      </c>
      <c r="AH36" s="470">
        <f>SUM(AH37:AH40)</f>
        <v>0</v>
      </c>
      <c r="AI36" s="471" t="e">
        <f t="shared" si="32"/>
        <v>#DIV/0!</v>
      </c>
      <c r="AJ36" s="472">
        <f>SUM(AJ37:AJ40)</f>
        <v>0</v>
      </c>
      <c r="AK36" s="473">
        <f>SUM(AK37:AK40)</f>
        <v>0</v>
      </c>
      <c r="AL36" s="578" t="e">
        <f t="shared" si="33"/>
        <v>#DIV/0!</v>
      </c>
      <c r="AM36" s="596">
        <f>SUM(AM37:AM40)</f>
        <v>0</v>
      </c>
      <c r="AN36" s="587">
        <f>SUM(AN37:AN40)</f>
        <v>0</v>
      </c>
      <c r="AO36" s="474" t="e">
        <f t="shared" si="34"/>
        <v>#DIV/0!</v>
      </c>
      <c r="AP36" s="475">
        <f t="shared" si="39"/>
        <v>5.833333333333333</v>
      </c>
      <c r="AQ36" s="475">
        <f t="shared" si="40"/>
        <v>0</v>
      </c>
      <c r="AR36" s="476">
        <f t="shared" si="41"/>
        <v>0</v>
      </c>
      <c r="AS36" s="477"/>
      <c r="AT36" s="478"/>
      <c r="AU36" s="477"/>
      <c r="AV36" s="477"/>
      <c r="AW36" s="479"/>
    </row>
    <row r="37" spans="1:49" s="273" customFormat="1" ht="17.25" hidden="1" customHeight="1" outlineLevel="1" x14ac:dyDescent="0.25">
      <c r="A37" s="330" t="s">
        <v>1124</v>
      </c>
      <c r="B37" s="329">
        <v>0</v>
      </c>
      <c r="C37" s="329">
        <f t="shared" si="43"/>
        <v>0</v>
      </c>
      <c r="D37" s="329">
        <f t="shared" si="24"/>
        <v>0</v>
      </c>
      <c r="E37" s="348">
        <f t="shared" si="42"/>
        <v>1</v>
      </c>
      <c r="F37" s="106">
        <v>3</v>
      </c>
      <c r="G37" s="304"/>
      <c r="H37" s="350">
        <f t="shared" si="25"/>
        <v>0</v>
      </c>
      <c r="I37" s="324">
        <v>3</v>
      </c>
      <c r="J37" s="324"/>
      <c r="K37" s="325">
        <f t="shared" si="26"/>
        <v>0</v>
      </c>
      <c r="L37" s="324">
        <v>3</v>
      </c>
      <c r="M37" s="324"/>
      <c r="N37" s="325">
        <f t="shared" si="18"/>
        <v>0</v>
      </c>
      <c r="O37" s="324"/>
      <c r="P37" s="324"/>
      <c r="Q37" s="301" t="e">
        <f t="shared" si="27"/>
        <v>#DIV/0!</v>
      </c>
      <c r="R37" s="324"/>
      <c r="S37" s="324"/>
      <c r="T37" s="301" t="e">
        <f t="shared" si="28"/>
        <v>#DIV/0!</v>
      </c>
      <c r="U37" s="324"/>
      <c r="V37" s="324"/>
      <c r="W37" s="301" t="e">
        <f t="shared" si="29"/>
        <v>#DIV/0!</v>
      </c>
      <c r="X37" s="324"/>
      <c r="Y37" s="324"/>
      <c r="Z37" s="301" t="e">
        <f t="shared" si="30"/>
        <v>#DIV/0!</v>
      </c>
      <c r="AA37" s="324"/>
      <c r="AB37" s="324"/>
      <c r="AC37" s="301" t="e">
        <f t="shared" si="31"/>
        <v>#DIV/0!</v>
      </c>
      <c r="AD37" s="324"/>
      <c r="AE37" s="324"/>
      <c r="AF37" s="266" t="e">
        <f t="shared" si="21"/>
        <v>#DIV/0!</v>
      </c>
      <c r="AG37" s="324"/>
      <c r="AH37" s="326"/>
      <c r="AI37" s="319" t="e">
        <f t="shared" si="32"/>
        <v>#DIV/0!</v>
      </c>
      <c r="AJ37" s="104"/>
      <c r="AK37" s="306"/>
      <c r="AL37" s="318" t="e">
        <f t="shared" si="33"/>
        <v>#DIV/0!</v>
      </c>
      <c r="AM37" s="246"/>
      <c r="AN37" s="585"/>
      <c r="AO37" s="307" t="e">
        <f t="shared" si="34"/>
        <v>#DIV/0!</v>
      </c>
      <c r="AP37" s="271">
        <f t="shared" si="39"/>
        <v>3</v>
      </c>
      <c r="AQ37" s="271">
        <f t="shared" si="40"/>
        <v>0</v>
      </c>
      <c r="AR37" s="272">
        <f t="shared" si="41"/>
        <v>0</v>
      </c>
      <c r="AS37" s="292"/>
      <c r="AT37" s="293"/>
      <c r="AU37" s="292"/>
      <c r="AV37" s="292"/>
      <c r="AW37" s="294"/>
    </row>
    <row r="38" spans="1:49" s="273" customFormat="1" ht="17.25" hidden="1" customHeight="1" outlineLevel="1" x14ac:dyDescent="0.25">
      <c r="A38" s="330" t="s">
        <v>1069</v>
      </c>
      <c r="B38" s="329">
        <v>0.3</v>
      </c>
      <c r="C38" s="329">
        <f t="shared" si="43"/>
        <v>0.15</v>
      </c>
      <c r="D38" s="329">
        <f t="shared" si="24"/>
        <v>0</v>
      </c>
      <c r="E38" s="348">
        <f>IF(D38&gt;0%,C38/D38,100%)</f>
        <v>1</v>
      </c>
      <c r="F38" s="106">
        <v>6</v>
      </c>
      <c r="G38" s="304"/>
      <c r="H38" s="350">
        <f>G38/F38</f>
        <v>0</v>
      </c>
      <c r="I38" s="324">
        <v>6</v>
      </c>
      <c r="J38" s="324"/>
      <c r="K38" s="325">
        <f>J38/I38</f>
        <v>0</v>
      </c>
      <c r="L38" s="324">
        <v>6</v>
      </c>
      <c r="M38" s="324"/>
      <c r="N38" s="325">
        <f t="shared" si="18"/>
        <v>0</v>
      </c>
      <c r="O38" s="324"/>
      <c r="P38" s="324"/>
      <c r="Q38" s="301" t="e">
        <f>P38/O38</f>
        <v>#DIV/0!</v>
      </c>
      <c r="R38" s="324"/>
      <c r="S38" s="324"/>
      <c r="T38" s="301" t="e">
        <f>S38/R38</f>
        <v>#DIV/0!</v>
      </c>
      <c r="U38" s="324"/>
      <c r="V38" s="324"/>
      <c r="W38" s="301" t="e">
        <f>V38/U38</f>
        <v>#DIV/0!</v>
      </c>
      <c r="X38" s="324"/>
      <c r="Y38" s="324"/>
      <c r="Z38" s="301" t="e">
        <f>Y38/X38</f>
        <v>#DIV/0!</v>
      </c>
      <c r="AA38" s="324"/>
      <c r="AB38" s="324"/>
      <c r="AC38" s="301" t="e">
        <f>AB38/AA38</f>
        <v>#DIV/0!</v>
      </c>
      <c r="AD38" s="324"/>
      <c r="AE38" s="324"/>
      <c r="AF38" s="266" t="e">
        <f t="shared" si="21"/>
        <v>#DIV/0!</v>
      </c>
      <c r="AG38" s="324"/>
      <c r="AH38" s="326"/>
      <c r="AI38" s="319" t="e">
        <f>AH38/AG38</f>
        <v>#DIV/0!</v>
      </c>
      <c r="AJ38" s="104"/>
      <c r="AK38" s="306"/>
      <c r="AL38" s="318" t="e">
        <f>AK38/AJ38</f>
        <v>#DIV/0!</v>
      </c>
      <c r="AM38" s="246"/>
      <c r="AN38" s="585"/>
      <c r="AO38" s="307" t="e">
        <f>AN38/AM38</f>
        <v>#DIV/0!</v>
      </c>
      <c r="AP38" s="271">
        <f t="shared" si="39"/>
        <v>6</v>
      </c>
      <c r="AQ38" s="271">
        <f t="shared" si="40"/>
        <v>0</v>
      </c>
      <c r="AR38" s="272">
        <f t="shared" si="41"/>
        <v>0</v>
      </c>
      <c r="AS38" s="292"/>
      <c r="AT38" s="293"/>
      <c r="AU38" s="292"/>
      <c r="AV38" s="292"/>
      <c r="AW38" s="294"/>
    </row>
    <row r="39" spans="1:49" s="273" customFormat="1" ht="17.25" hidden="1" customHeight="1" outlineLevel="1" x14ac:dyDescent="0.25">
      <c r="A39" s="330" t="s">
        <v>1070</v>
      </c>
      <c r="B39" s="329">
        <v>0.05</v>
      </c>
      <c r="C39" s="329">
        <f t="shared" si="43"/>
        <v>2.5000000000000001E-2</v>
      </c>
      <c r="D39" s="329">
        <f t="shared" si="24"/>
        <v>0</v>
      </c>
      <c r="E39" s="348">
        <f t="shared" si="42"/>
        <v>1</v>
      </c>
      <c r="F39" s="106">
        <v>4</v>
      </c>
      <c r="G39" s="304"/>
      <c r="H39" s="350">
        <f t="shared" si="25"/>
        <v>0</v>
      </c>
      <c r="I39" s="324">
        <v>4</v>
      </c>
      <c r="J39" s="324"/>
      <c r="K39" s="325">
        <f t="shared" si="26"/>
        <v>0</v>
      </c>
      <c r="L39" s="324">
        <v>4</v>
      </c>
      <c r="M39" s="324"/>
      <c r="N39" s="325">
        <f t="shared" si="18"/>
        <v>0</v>
      </c>
      <c r="O39" s="324"/>
      <c r="P39" s="324"/>
      <c r="Q39" s="301" t="e">
        <f t="shared" si="27"/>
        <v>#DIV/0!</v>
      </c>
      <c r="R39" s="324"/>
      <c r="S39" s="324"/>
      <c r="T39" s="301" t="e">
        <f t="shared" si="28"/>
        <v>#DIV/0!</v>
      </c>
      <c r="U39" s="324"/>
      <c r="V39" s="324"/>
      <c r="W39" s="301" t="e">
        <f t="shared" si="29"/>
        <v>#DIV/0!</v>
      </c>
      <c r="X39" s="324"/>
      <c r="Y39" s="324"/>
      <c r="Z39" s="301" t="e">
        <f t="shared" si="30"/>
        <v>#DIV/0!</v>
      </c>
      <c r="AA39" s="324"/>
      <c r="AB39" s="324"/>
      <c r="AC39" s="301" t="e">
        <f t="shared" si="31"/>
        <v>#DIV/0!</v>
      </c>
      <c r="AD39" s="324"/>
      <c r="AE39" s="324"/>
      <c r="AF39" s="266" t="e">
        <f t="shared" si="21"/>
        <v>#DIV/0!</v>
      </c>
      <c r="AG39" s="324"/>
      <c r="AH39" s="326"/>
      <c r="AI39" s="319" t="e">
        <f t="shared" si="32"/>
        <v>#DIV/0!</v>
      </c>
      <c r="AJ39" s="104"/>
      <c r="AK39" s="306"/>
      <c r="AL39" s="318" t="e">
        <f t="shared" si="33"/>
        <v>#DIV/0!</v>
      </c>
      <c r="AM39" s="246"/>
      <c r="AN39" s="585"/>
      <c r="AO39" s="307" t="e">
        <f t="shared" si="34"/>
        <v>#DIV/0!</v>
      </c>
      <c r="AP39" s="271">
        <f t="shared" si="39"/>
        <v>4</v>
      </c>
      <c r="AQ39" s="271">
        <f t="shared" si="40"/>
        <v>0</v>
      </c>
      <c r="AR39" s="272">
        <f t="shared" si="41"/>
        <v>0</v>
      </c>
      <c r="AS39" s="292"/>
      <c r="AT39" s="293"/>
      <c r="AU39" s="292"/>
      <c r="AV39" s="292"/>
      <c r="AW39" s="294"/>
    </row>
    <row r="40" spans="1:49" s="273" customFormat="1" ht="17.25" hidden="1" customHeight="1" outlineLevel="1" x14ac:dyDescent="0.25">
      <c r="A40" s="330" t="s">
        <v>1071</v>
      </c>
      <c r="B40" s="329">
        <v>0.3</v>
      </c>
      <c r="C40" s="329">
        <f t="shared" si="43"/>
        <v>0.15</v>
      </c>
      <c r="D40" s="329">
        <f t="shared" si="24"/>
        <v>0</v>
      </c>
      <c r="E40" s="348">
        <f t="shared" si="42"/>
        <v>1</v>
      </c>
      <c r="F40" s="106">
        <v>4</v>
      </c>
      <c r="G40" s="304"/>
      <c r="H40" s="350">
        <f t="shared" si="25"/>
        <v>0</v>
      </c>
      <c r="I40" s="324">
        <v>4</v>
      </c>
      <c r="J40" s="324"/>
      <c r="K40" s="325">
        <f t="shared" si="26"/>
        <v>0</v>
      </c>
      <c r="L40" s="324">
        <v>6</v>
      </c>
      <c r="M40" s="324"/>
      <c r="N40" s="325">
        <f t="shared" si="18"/>
        <v>0</v>
      </c>
      <c r="O40" s="324"/>
      <c r="P40" s="324"/>
      <c r="Q40" s="301" t="e">
        <f t="shared" si="27"/>
        <v>#DIV/0!</v>
      </c>
      <c r="R40" s="324"/>
      <c r="S40" s="324"/>
      <c r="T40" s="301" t="e">
        <f t="shared" si="28"/>
        <v>#DIV/0!</v>
      </c>
      <c r="U40" s="324"/>
      <c r="V40" s="324"/>
      <c r="W40" s="301" t="e">
        <f t="shared" si="29"/>
        <v>#DIV/0!</v>
      </c>
      <c r="X40" s="324"/>
      <c r="Y40" s="324"/>
      <c r="Z40" s="301" t="e">
        <f t="shared" si="30"/>
        <v>#DIV/0!</v>
      </c>
      <c r="AA40" s="324"/>
      <c r="AB40" s="324"/>
      <c r="AC40" s="301" t="e">
        <f t="shared" si="31"/>
        <v>#DIV/0!</v>
      </c>
      <c r="AD40" s="324"/>
      <c r="AE40" s="324"/>
      <c r="AF40" s="266" t="e">
        <f t="shared" si="21"/>
        <v>#DIV/0!</v>
      </c>
      <c r="AG40" s="324"/>
      <c r="AH40" s="326"/>
      <c r="AI40" s="319" t="e">
        <f t="shared" si="32"/>
        <v>#DIV/0!</v>
      </c>
      <c r="AJ40" s="104"/>
      <c r="AK40" s="306"/>
      <c r="AL40" s="318" t="e">
        <f t="shared" si="33"/>
        <v>#DIV/0!</v>
      </c>
      <c r="AM40" s="246"/>
      <c r="AN40" s="585"/>
      <c r="AO40" s="307" t="e">
        <f t="shared" si="34"/>
        <v>#DIV/0!</v>
      </c>
      <c r="AP40" s="308">
        <f t="shared" si="39"/>
        <v>4.666666666666667</v>
      </c>
      <c r="AQ40" s="308">
        <f t="shared" si="40"/>
        <v>0</v>
      </c>
      <c r="AR40" s="309">
        <f t="shared" si="41"/>
        <v>0</v>
      </c>
      <c r="AS40" s="292"/>
      <c r="AT40" s="293"/>
      <c r="AU40" s="292"/>
      <c r="AV40" s="292"/>
      <c r="AW40" s="294"/>
    </row>
    <row r="41" spans="1:49" s="499" customFormat="1" ht="17.25" customHeight="1" collapsed="1" x14ac:dyDescent="0.25">
      <c r="A41" s="295" t="s">
        <v>807</v>
      </c>
      <c r="B41" s="297">
        <v>0.15</v>
      </c>
      <c r="C41" s="297">
        <f t="shared" si="43"/>
        <v>7.4999999999999997E-2</v>
      </c>
      <c r="D41" s="297">
        <f t="shared" si="24"/>
        <v>0.15660685154975529</v>
      </c>
      <c r="E41" s="305">
        <f t="shared" si="42"/>
        <v>0.47890625000000003</v>
      </c>
      <c r="F41" s="384">
        <f>F42+F43+F48+F54+F61+F65+F68</f>
        <v>204</v>
      </c>
      <c r="G41" s="483">
        <f>G42+G43+G48+G54+G61+G65+G68</f>
        <v>2</v>
      </c>
      <c r="H41" s="484">
        <f t="shared" si="25"/>
        <v>9.8039215686274508E-3</v>
      </c>
      <c r="I41" s="485">
        <f>I42+I43+I48+I54+I61+I65+I68</f>
        <v>196</v>
      </c>
      <c r="J41" s="485">
        <f>J42+J43+J48+J54+J61+J65</f>
        <v>3</v>
      </c>
      <c r="K41" s="486">
        <f t="shared" si="26"/>
        <v>1.5306122448979591E-2</v>
      </c>
      <c r="L41" s="485">
        <v>102</v>
      </c>
      <c r="M41" s="485">
        <f>M42+M43+M48+M54+M61+M65+M68</f>
        <v>2</v>
      </c>
      <c r="N41" s="486">
        <f t="shared" si="18"/>
        <v>1.9607843137254902E-2</v>
      </c>
      <c r="O41" s="485">
        <v>111</v>
      </c>
      <c r="P41" s="485">
        <f>P42+P43+P48+P54+P61+P65+P68</f>
        <v>1</v>
      </c>
      <c r="Q41" s="487">
        <f t="shared" si="27"/>
        <v>9.0090090090090089E-3</v>
      </c>
      <c r="R41" s="485">
        <f>R42+R43+R48+R54+R61+R65+R68</f>
        <v>0</v>
      </c>
      <c r="S41" s="485">
        <f>S42+S43+S48+S54+S61+S65+S68</f>
        <v>0</v>
      </c>
      <c r="T41" s="487" t="e">
        <f t="shared" si="28"/>
        <v>#DIV/0!</v>
      </c>
      <c r="U41" s="485">
        <f>U42+U43+U48+U54+U61+U65+U68</f>
        <v>0</v>
      </c>
      <c r="V41" s="485">
        <f>V42+V43+V48+V54+V61+V65+V68</f>
        <v>0</v>
      </c>
      <c r="W41" s="487" t="e">
        <f t="shared" si="29"/>
        <v>#DIV/0!</v>
      </c>
      <c r="X41" s="485">
        <f>X42+X43+X48+X54+X61+X65+X68</f>
        <v>0</v>
      </c>
      <c r="Y41" s="485">
        <f>Y42+Y43+Y48+Y54+Y61+Y65+Y68</f>
        <v>0</v>
      </c>
      <c r="Z41" s="487" t="e">
        <f t="shared" si="30"/>
        <v>#DIV/0!</v>
      </c>
      <c r="AA41" s="485">
        <f>AA42+AA43+AA48+AA54+AA61+AA65+AA68</f>
        <v>0</v>
      </c>
      <c r="AB41" s="485">
        <f>AB42+AB43+AB48+AB54+AB61+AB65+AB68</f>
        <v>0</v>
      </c>
      <c r="AC41" s="487" t="e">
        <f t="shared" si="31"/>
        <v>#DIV/0!</v>
      </c>
      <c r="AD41" s="485">
        <f>AD42+AD43+AD48+AD54+AD61+AD65+AD68</f>
        <v>0</v>
      </c>
      <c r="AE41" s="485">
        <f>AE42+AE43+AE48+AE54+AE61+AE65+AE68</f>
        <v>0</v>
      </c>
      <c r="AF41" s="488" t="e">
        <f t="shared" si="21"/>
        <v>#DIV/0!</v>
      </c>
      <c r="AG41" s="485">
        <f>AG42+AG43+AG48+AG54+AG61+AG65+AG68</f>
        <v>0</v>
      </c>
      <c r="AH41" s="489">
        <f>AH42+AH43+AH48+AH54+AH61+AH65+AH68</f>
        <v>0</v>
      </c>
      <c r="AI41" s="490" t="e">
        <f t="shared" si="32"/>
        <v>#DIV/0!</v>
      </c>
      <c r="AJ41" s="491">
        <f>AJ42+AJ43+AJ48+AJ54+AJ61+AJ65+AJ68</f>
        <v>0</v>
      </c>
      <c r="AK41" s="492">
        <f>AK42+AK43+AK48+AK54+AK61+AK65+AK68</f>
        <v>0</v>
      </c>
      <c r="AL41" s="509" t="e">
        <f t="shared" si="33"/>
        <v>#DIV/0!</v>
      </c>
      <c r="AM41" s="501">
        <f>AM42+AM43+AM48+AM54+AM61+AM65+AM68</f>
        <v>0</v>
      </c>
      <c r="AN41" s="588">
        <f>AN42+AN43+AN48+AN54+AN61+AN65+AN68</f>
        <v>0</v>
      </c>
      <c r="AO41" s="493" t="e">
        <f t="shared" si="34"/>
        <v>#DIV/0!</v>
      </c>
      <c r="AP41" s="494">
        <f>AVERAGE(F41,I41,L41,O41,R41,U41,X41,AA41,AD41,AG41,AJ41,AM41)</f>
        <v>51.083333333333336</v>
      </c>
      <c r="AQ41" s="494">
        <f t="shared" si="40"/>
        <v>8</v>
      </c>
      <c r="AR41" s="495">
        <f t="shared" si="41"/>
        <v>0.15660685154975529</v>
      </c>
      <c r="AS41" s="496"/>
      <c r="AT41" s="497"/>
      <c r="AU41" s="496"/>
      <c r="AV41" s="496"/>
      <c r="AW41" s="498"/>
    </row>
    <row r="42" spans="1:49" s="273" customFormat="1" ht="17.25" customHeight="1" x14ac:dyDescent="0.25">
      <c r="A42" s="370" t="s">
        <v>1143</v>
      </c>
      <c r="B42" s="329">
        <v>0</v>
      </c>
      <c r="C42" s="329">
        <f t="shared" si="43"/>
        <v>0</v>
      </c>
      <c r="D42" s="329">
        <f t="shared" si="24"/>
        <v>0</v>
      </c>
      <c r="E42" s="333">
        <f t="shared" si="42"/>
        <v>1</v>
      </c>
      <c r="F42" s="106">
        <v>3</v>
      </c>
      <c r="G42" s="304"/>
      <c r="H42" s="350">
        <f t="shared" si="25"/>
        <v>0</v>
      </c>
      <c r="I42" s="324">
        <v>3</v>
      </c>
      <c r="J42" s="324"/>
      <c r="K42" s="325">
        <f t="shared" si="26"/>
        <v>0</v>
      </c>
      <c r="L42" s="324">
        <v>3</v>
      </c>
      <c r="M42" s="324"/>
      <c r="N42" s="325">
        <f t="shared" si="18"/>
        <v>0</v>
      </c>
      <c r="O42" s="324">
        <v>3</v>
      </c>
      <c r="P42" s="324"/>
      <c r="Q42" s="301">
        <f t="shared" si="27"/>
        <v>0</v>
      </c>
      <c r="R42" s="324"/>
      <c r="S42" s="324"/>
      <c r="T42" s="301" t="e">
        <f t="shared" si="28"/>
        <v>#DIV/0!</v>
      </c>
      <c r="U42" s="324"/>
      <c r="V42" s="324"/>
      <c r="W42" s="301" t="e">
        <f t="shared" si="29"/>
        <v>#DIV/0!</v>
      </c>
      <c r="X42" s="324"/>
      <c r="Y42" s="324"/>
      <c r="Z42" s="301" t="e">
        <f t="shared" si="30"/>
        <v>#DIV/0!</v>
      </c>
      <c r="AA42" s="324"/>
      <c r="AB42" s="324"/>
      <c r="AC42" s="301" t="e">
        <f t="shared" si="31"/>
        <v>#DIV/0!</v>
      </c>
      <c r="AD42" s="324"/>
      <c r="AE42" s="324"/>
      <c r="AF42" s="266" t="e">
        <f t="shared" si="21"/>
        <v>#DIV/0!</v>
      </c>
      <c r="AG42" s="324"/>
      <c r="AH42" s="326"/>
      <c r="AI42" s="319" t="e">
        <f t="shared" si="32"/>
        <v>#DIV/0!</v>
      </c>
      <c r="AJ42" s="104"/>
      <c r="AK42" s="306"/>
      <c r="AL42" s="318" t="e">
        <f t="shared" si="33"/>
        <v>#DIV/0!</v>
      </c>
      <c r="AM42" s="246"/>
      <c r="AN42" s="585"/>
      <c r="AO42" s="307" t="e">
        <f t="shared" si="34"/>
        <v>#DIV/0!</v>
      </c>
      <c r="AP42" s="311">
        <f t="shared" si="39"/>
        <v>3</v>
      </c>
      <c r="AQ42" s="311">
        <f t="shared" si="40"/>
        <v>0</v>
      </c>
      <c r="AR42" s="312">
        <f t="shared" si="41"/>
        <v>0</v>
      </c>
      <c r="AS42" s="292"/>
      <c r="AT42" s="293"/>
      <c r="AU42" s="292"/>
      <c r="AV42" s="292"/>
      <c r="AW42" s="294"/>
    </row>
    <row r="43" spans="1:49" s="499" customFormat="1" ht="17.25" customHeight="1" x14ac:dyDescent="0.25">
      <c r="A43" s="369" t="s">
        <v>1131</v>
      </c>
      <c r="B43" s="297">
        <v>0.1</v>
      </c>
      <c r="C43" s="297">
        <f>B43/12*$C$14</f>
        <v>0.05</v>
      </c>
      <c r="D43" s="297">
        <f t="shared" si="24"/>
        <v>0</v>
      </c>
      <c r="E43" s="305">
        <f t="shared" ref="E43:E49" si="44">IF(D43&gt;0%,C43/D43,100%)</f>
        <v>1</v>
      </c>
      <c r="F43" s="384">
        <f>SUM(F44:F47)</f>
        <v>21</v>
      </c>
      <c r="G43" s="483">
        <f>SUM(G44:G47)</f>
        <v>0</v>
      </c>
      <c r="H43" s="484">
        <f t="shared" si="25"/>
        <v>0</v>
      </c>
      <c r="I43" s="485">
        <f>SUM(I44:I47)</f>
        <v>20</v>
      </c>
      <c r="J43" s="485">
        <f>SUM(J44:J47)</f>
        <v>1</v>
      </c>
      <c r="K43" s="486">
        <f t="shared" ref="K43:K48" si="45">J43/I43</f>
        <v>0.05</v>
      </c>
      <c r="L43" s="485">
        <f>SUM(L44:L47)</f>
        <v>20</v>
      </c>
      <c r="M43" s="485">
        <f>SUM(M44:M47)</f>
        <v>0</v>
      </c>
      <c r="N43" s="486">
        <f t="shared" ref="N43:N48" si="46">M43/L43</f>
        <v>0</v>
      </c>
      <c r="O43" s="485">
        <f>SUM(O44:O47)</f>
        <v>20</v>
      </c>
      <c r="P43" s="485">
        <f>SUM(P44:P47)</f>
        <v>0</v>
      </c>
      <c r="Q43" s="487">
        <f t="shared" ref="Q43:Q48" si="47">P43/O43</f>
        <v>0</v>
      </c>
      <c r="R43" s="485">
        <f>SUM(R44:R47)</f>
        <v>0</v>
      </c>
      <c r="S43" s="485">
        <f>SUM(S44:S47)</f>
        <v>0</v>
      </c>
      <c r="T43" s="487" t="e">
        <f t="shared" ref="T43:T48" si="48">S43/R43</f>
        <v>#DIV/0!</v>
      </c>
      <c r="U43" s="485">
        <f>SUM(U44:U47)</f>
        <v>0</v>
      </c>
      <c r="V43" s="485">
        <f>SUM(V44:V47)</f>
        <v>0</v>
      </c>
      <c r="W43" s="487" t="e">
        <f t="shared" ref="W43:W48" si="49">V43/U43</f>
        <v>#DIV/0!</v>
      </c>
      <c r="X43" s="485">
        <f>SUM(X44:X47)</f>
        <v>0</v>
      </c>
      <c r="Y43" s="485">
        <f>SUM(Y44:Y47)</f>
        <v>0</v>
      </c>
      <c r="Z43" s="487" t="e">
        <f t="shared" ref="Z43:Z48" si="50">Y43/X43</f>
        <v>#DIV/0!</v>
      </c>
      <c r="AA43" s="485">
        <f>SUM(AA44:AA47)</f>
        <v>0</v>
      </c>
      <c r="AB43" s="485">
        <f>SUM(AB44:AB47)</f>
        <v>0</v>
      </c>
      <c r="AC43" s="487" t="e">
        <f t="shared" ref="AC43:AC48" si="51">AB43/AA43</f>
        <v>#DIV/0!</v>
      </c>
      <c r="AD43" s="485">
        <f>SUM(AD44:AD47)</f>
        <v>0</v>
      </c>
      <c r="AE43" s="485">
        <f>SUM(AE44:AE47)</f>
        <v>0</v>
      </c>
      <c r="AF43" s="488" t="e">
        <f t="shared" si="21"/>
        <v>#DIV/0!</v>
      </c>
      <c r="AG43" s="485">
        <f>SUM(AG44:AG47)</f>
        <v>0</v>
      </c>
      <c r="AH43" s="489">
        <f>SUM(AH44:AH47)</f>
        <v>0</v>
      </c>
      <c r="AI43" s="490" t="e">
        <f t="shared" si="32"/>
        <v>#DIV/0!</v>
      </c>
      <c r="AJ43" s="491">
        <f>SUM(AJ44:AJ47)</f>
        <v>0</v>
      </c>
      <c r="AK43" s="492">
        <f>SUM(AK44:AK47)</f>
        <v>0</v>
      </c>
      <c r="AL43" s="509" t="e">
        <f t="shared" si="33"/>
        <v>#DIV/0!</v>
      </c>
      <c r="AM43" s="501">
        <f>SUM(AM44:AM47)</f>
        <v>0</v>
      </c>
      <c r="AN43" s="588">
        <f>SUM(AN44:AN47)</f>
        <v>0</v>
      </c>
      <c r="AO43" s="493" t="e">
        <f t="shared" si="34"/>
        <v>#DIV/0!</v>
      </c>
      <c r="AP43" s="494">
        <f t="shared" si="39"/>
        <v>6.75</v>
      </c>
      <c r="AQ43" s="494"/>
      <c r="AR43" s="495"/>
      <c r="AS43" s="496"/>
      <c r="AT43" s="497"/>
      <c r="AU43" s="496"/>
      <c r="AV43" s="496"/>
      <c r="AW43" s="498"/>
    </row>
    <row r="44" spans="1:49" s="273" customFormat="1" ht="17.25" hidden="1" customHeight="1" outlineLevel="1" x14ac:dyDescent="0.25">
      <c r="A44" s="370" t="s">
        <v>1132</v>
      </c>
      <c r="B44" s="329">
        <v>0.05</v>
      </c>
      <c r="C44" s="329">
        <f>B44/12*$C$14</f>
        <v>2.5000000000000001E-2</v>
      </c>
      <c r="D44" s="329">
        <f t="shared" si="24"/>
        <v>0</v>
      </c>
      <c r="E44" s="333">
        <f t="shared" si="44"/>
        <v>1</v>
      </c>
      <c r="F44" s="355">
        <v>3</v>
      </c>
      <c r="G44" s="304"/>
      <c r="H44" s="350">
        <f t="shared" si="25"/>
        <v>0</v>
      </c>
      <c r="I44" s="324">
        <v>3</v>
      </c>
      <c r="J44" s="324"/>
      <c r="K44" s="325">
        <f t="shared" si="45"/>
        <v>0</v>
      </c>
      <c r="L44" s="324">
        <v>5</v>
      </c>
      <c r="M44" s="324"/>
      <c r="N44" s="325">
        <f t="shared" si="46"/>
        <v>0</v>
      </c>
      <c r="O44" s="324">
        <v>5</v>
      </c>
      <c r="P44" s="324"/>
      <c r="Q44" s="301">
        <f t="shared" si="47"/>
        <v>0</v>
      </c>
      <c r="R44" s="324"/>
      <c r="S44" s="324"/>
      <c r="T44" s="301" t="e">
        <f t="shared" si="48"/>
        <v>#DIV/0!</v>
      </c>
      <c r="U44" s="324"/>
      <c r="V44" s="324"/>
      <c r="W44" s="301" t="e">
        <f t="shared" si="49"/>
        <v>#DIV/0!</v>
      </c>
      <c r="X44" s="324"/>
      <c r="Y44" s="324"/>
      <c r="Z44" s="301" t="e">
        <f t="shared" si="50"/>
        <v>#DIV/0!</v>
      </c>
      <c r="AA44" s="324"/>
      <c r="AB44" s="324"/>
      <c r="AC44" s="301" t="e">
        <f t="shared" si="51"/>
        <v>#DIV/0!</v>
      </c>
      <c r="AD44" s="324"/>
      <c r="AE44" s="324"/>
      <c r="AF44" s="266" t="e">
        <f t="shared" si="21"/>
        <v>#DIV/0!</v>
      </c>
      <c r="AG44" s="324"/>
      <c r="AH44" s="326"/>
      <c r="AI44" s="319" t="e">
        <f t="shared" si="32"/>
        <v>#DIV/0!</v>
      </c>
      <c r="AJ44" s="104"/>
      <c r="AK44" s="306"/>
      <c r="AL44" s="318" t="e">
        <f t="shared" si="33"/>
        <v>#DIV/0!</v>
      </c>
      <c r="AM44" s="246"/>
      <c r="AN44" s="585"/>
      <c r="AO44" s="307" t="e">
        <f t="shared" si="34"/>
        <v>#DIV/0!</v>
      </c>
      <c r="AP44" s="311">
        <f t="shared" si="39"/>
        <v>4</v>
      </c>
      <c r="AQ44" s="311"/>
      <c r="AR44" s="312"/>
      <c r="AS44" s="292"/>
      <c r="AT44" s="293"/>
      <c r="AU44" s="292"/>
      <c r="AV44" s="292"/>
      <c r="AW44" s="294"/>
    </row>
    <row r="45" spans="1:49" s="273" customFormat="1" ht="30.75" hidden="1" customHeight="1" outlineLevel="1" x14ac:dyDescent="0.25">
      <c r="A45" s="371" t="s">
        <v>1133</v>
      </c>
      <c r="B45" s="329">
        <v>0.05</v>
      </c>
      <c r="C45" s="329">
        <f>B45/12*$C$14</f>
        <v>2.5000000000000001E-2</v>
      </c>
      <c r="D45" s="329">
        <f t="shared" si="24"/>
        <v>0</v>
      </c>
      <c r="E45" s="333">
        <f t="shared" si="44"/>
        <v>1</v>
      </c>
      <c r="F45" s="355">
        <v>8</v>
      </c>
      <c r="G45" s="304"/>
      <c r="H45" s="350">
        <f t="shared" si="25"/>
        <v>0</v>
      </c>
      <c r="I45" s="324">
        <v>8</v>
      </c>
      <c r="J45" s="324"/>
      <c r="K45" s="325">
        <f t="shared" si="45"/>
        <v>0</v>
      </c>
      <c r="L45" s="324">
        <v>6</v>
      </c>
      <c r="M45" s="324"/>
      <c r="N45" s="325">
        <f t="shared" si="46"/>
        <v>0</v>
      </c>
      <c r="O45" s="324">
        <v>6</v>
      </c>
      <c r="P45" s="324"/>
      <c r="Q45" s="301">
        <f t="shared" si="47"/>
        <v>0</v>
      </c>
      <c r="R45" s="324"/>
      <c r="S45" s="324"/>
      <c r="T45" s="301" t="e">
        <f t="shared" si="48"/>
        <v>#DIV/0!</v>
      </c>
      <c r="U45" s="324"/>
      <c r="V45" s="324"/>
      <c r="W45" s="301" t="e">
        <f t="shared" si="49"/>
        <v>#DIV/0!</v>
      </c>
      <c r="X45" s="324"/>
      <c r="Y45" s="324"/>
      <c r="Z45" s="301" t="e">
        <f t="shared" si="50"/>
        <v>#DIV/0!</v>
      </c>
      <c r="AA45" s="324"/>
      <c r="AB45" s="324"/>
      <c r="AC45" s="301" t="e">
        <f t="shared" si="51"/>
        <v>#DIV/0!</v>
      </c>
      <c r="AD45" s="324"/>
      <c r="AE45" s="324"/>
      <c r="AF45" s="266" t="e">
        <f t="shared" si="21"/>
        <v>#DIV/0!</v>
      </c>
      <c r="AG45" s="324"/>
      <c r="AH45" s="326"/>
      <c r="AI45" s="319" t="e">
        <f t="shared" si="32"/>
        <v>#DIV/0!</v>
      </c>
      <c r="AJ45" s="104"/>
      <c r="AK45" s="306"/>
      <c r="AL45" s="318" t="e">
        <f t="shared" si="33"/>
        <v>#DIV/0!</v>
      </c>
      <c r="AM45" s="246"/>
      <c r="AN45" s="585"/>
      <c r="AO45" s="307" t="e">
        <f t="shared" si="34"/>
        <v>#DIV/0!</v>
      </c>
      <c r="AP45" s="311">
        <f t="shared" si="39"/>
        <v>7</v>
      </c>
      <c r="AQ45" s="311"/>
      <c r="AR45" s="312"/>
      <c r="AS45" s="292"/>
      <c r="AT45" s="293"/>
      <c r="AU45" s="292"/>
      <c r="AV45" s="292"/>
      <c r="AW45" s="294"/>
    </row>
    <row r="46" spans="1:49" s="273" customFormat="1" ht="29.25" hidden="1" customHeight="1" outlineLevel="1" x14ac:dyDescent="0.25">
      <c r="A46" s="371" t="s">
        <v>1134</v>
      </c>
      <c r="B46" s="329">
        <v>0.05</v>
      </c>
      <c r="C46" s="329">
        <f t="shared" si="43"/>
        <v>2.5000000000000001E-2</v>
      </c>
      <c r="D46" s="329">
        <f t="shared" si="24"/>
        <v>0</v>
      </c>
      <c r="E46" s="333">
        <f t="shared" si="44"/>
        <v>1</v>
      </c>
      <c r="F46" s="355">
        <v>6</v>
      </c>
      <c r="G46" s="304"/>
      <c r="H46" s="350">
        <f t="shared" si="25"/>
        <v>0</v>
      </c>
      <c r="I46" s="324">
        <v>5</v>
      </c>
      <c r="J46" s="324"/>
      <c r="K46" s="325">
        <f t="shared" si="45"/>
        <v>0</v>
      </c>
      <c r="L46" s="324">
        <v>5</v>
      </c>
      <c r="M46" s="324"/>
      <c r="N46" s="325">
        <f t="shared" si="46"/>
        <v>0</v>
      </c>
      <c r="O46" s="324">
        <v>5</v>
      </c>
      <c r="P46" s="324"/>
      <c r="Q46" s="301">
        <f t="shared" si="47"/>
        <v>0</v>
      </c>
      <c r="R46" s="324"/>
      <c r="S46" s="324"/>
      <c r="T46" s="301" t="e">
        <f t="shared" si="48"/>
        <v>#DIV/0!</v>
      </c>
      <c r="U46" s="324"/>
      <c r="V46" s="324"/>
      <c r="W46" s="301" t="e">
        <f t="shared" si="49"/>
        <v>#DIV/0!</v>
      </c>
      <c r="X46" s="324"/>
      <c r="Y46" s="324"/>
      <c r="Z46" s="301" t="e">
        <f t="shared" si="50"/>
        <v>#DIV/0!</v>
      </c>
      <c r="AA46" s="324"/>
      <c r="AB46" s="324"/>
      <c r="AC46" s="301" t="e">
        <f t="shared" si="51"/>
        <v>#DIV/0!</v>
      </c>
      <c r="AD46" s="324"/>
      <c r="AE46" s="324"/>
      <c r="AF46" s="266" t="e">
        <f t="shared" si="21"/>
        <v>#DIV/0!</v>
      </c>
      <c r="AG46" s="324"/>
      <c r="AH46" s="326"/>
      <c r="AI46" s="319" t="e">
        <f t="shared" si="32"/>
        <v>#DIV/0!</v>
      </c>
      <c r="AJ46" s="104"/>
      <c r="AK46" s="306"/>
      <c r="AL46" s="318" t="e">
        <f t="shared" si="33"/>
        <v>#DIV/0!</v>
      </c>
      <c r="AM46" s="246"/>
      <c r="AN46" s="585"/>
      <c r="AO46" s="307" t="e">
        <f t="shared" si="34"/>
        <v>#DIV/0!</v>
      </c>
      <c r="AP46" s="311">
        <f t="shared" si="39"/>
        <v>5.25</v>
      </c>
      <c r="AQ46" s="311"/>
      <c r="AR46" s="312"/>
      <c r="AS46" s="292"/>
      <c r="AT46" s="293"/>
      <c r="AU46" s="292"/>
      <c r="AV46" s="292"/>
      <c r="AW46" s="294"/>
    </row>
    <row r="47" spans="1:49" s="273" customFormat="1" ht="35.25" hidden="1" customHeight="1" outlineLevel="1" x14ac:dyDescent="0.25">
      <c r="A47" s="371" t="s">
        <v>1135</v>
      </c>
      <c r="B47" s="329">
        <v>0.05</v>
      </c>
      <c r="C47" s="329">
        <f t="shared" si="43"/>
        <v>2.5000000000000001E-2</v>
      </c>
      <c r="D47" s="329">
        <f t="shared" si="24"/>
        <v>0</v>
      </c>
      <c r="E47" s="333">
        <f t="shared" si="44"/>
        <v>1</v>
      </c>
      <c r="F47" s="355">
        <v>4</v>
      </c>
      <c r="G47" s="304"/>
      <c r="H47" s="350">
        <f t="shared" si="25"/>
        <v>0</v>
      </c>
      <c r="I47" s="324">
        <v>4</v>
      </c>
      <c r="J47" s="324">
        <v>1</v>
      </c>
      <c r="K47" s="325">
        <f t="shared" si="45"/>
        <v>0.25</v>
      </c>
      <c r="L47" s="324">
        <v>4</v>
      </c>
      <c r="M47" s="324"/>
      <c r="N47" s="325">
        <f t="shared" si="46"/>
        <v>0</v>
      </c>
      <c r="O47" s="324">
        <v>4</v>
      </c>
      <c r="P47" s="324"/>
      <c r="Q47" s="301">
        <f t="shared" si="47"/>
        <v>0</v>
      </c>
      <c r="R47" s="324"/>
      <c r="S47" s="324"/>
      <c r="T47" s="301" t="e">
        <f t="shared" si="48"/>
        <v>#DIV/0!</v>
      </c>
      <c r="U47" s="324"/>
      <c r="V47" s="324"/>
      <c r="W47" s="301" t="e">
        <f t="shared" si="49"/>
        <v>#DIV/0!</v>
      </c>
      <c r="X47" s="324"/>
      <c r="Y47" s="324"/>
      <c r="Z47" s="301" t="e">
        <f t="shared" si="50"/>
        <v>#DIV/0!</v>
      </c>
      <c r="AA47" s="324"/>
      <c r="AB47" s="324"/>
      <c r="AC47" s="301" t="e">
        <f t="shared" si="51"/>
        <v>#DIV/0!</v>
      </c>
      <c r="AD47" s="324"/>
      <c r="AE47" s="324"/>
      <c r="AF47" s="266" t="e">
        <f t="shared" si="21"/>
        <v>#DIV/0!</v>
      </c>
      <c r="AG47" s="324"/>
      <c r="AH47" s="326"/>
      <c r="AI47" s="319" t="e">
        <f t="shared" si="32"/>
        <v>#DIV/0!</v>
      </c>
      <c r="AJ47" s="104"/>
      <c r="AK47" s="306"/>
      <c r="AL47" s="318" t="e">
        <f t="shared" si="33"/>
        <v>#DIV/0!</v>
      </c>
      <c r="AM47" s="246"/>
      <c r="AN47" s="585"/>
      <c r="AO47" s="307" t="e">
        <f t="shared" si="34"/>
        <v>#DIV/0!</v>
      </c>
      <c r="AP47" s="311"/>
      <c r="AQ47" s="311"/>
      <c r="AR47" s="312"/>
      <c r="AS47" s="292"/>
      <c r="AT47" s="293"/>
      <c r="AU47" s="292"/>
      <c r="AV47" s="292"/>
      <c r="AW47" s="294"/>
    </row>
    <row r="48" spans="1:49" s="499" customFormat="1" ht="20.25" customHeight="1" collapsed="1" x14ac:dyDescent="0.25">
      <c r="A48" s="372" t="s">
        <v>1136</v>
      </c>
      <c r="B48" s="297">
        <v>0.2</v>
      </c>
      <c r="C48" s="297">
        <f t="shared" si="43"/>
        <v>0.1</v>
      </c>
      <c r="D48" s="297">
        <f t="shared" si="24"/>
        <v>0</v>
      </c>
      <c r="E48" s="351">
        <f t="shared" si="44"/>
        <v>1</v>
      </c>
      <c r="F48" s="500">
        <f>SUM(F49:F53)</f>
        <v>111</v>
      </c>
      <c r="G48" s="483">
        <f>SUM(G49:G53)</f>
        <v>1</v>
      </c>
      <c r="H48" s="484">
        <f t="shared" si="25"/>
        <v>9.0090090090090089E-3</v>
      </c>
      <c r="I48" s="485">
        <f>SUM(I49:I53)</f>
        <v>111</v>
      </c>
      <c r="J48" s="485">
        <f>SUM(J49:J53)</f>
        <v>1</v>
      </c>
      <c r="K48" s="486">
        <f t="shared" si="45"/>
        <v>9.0090090090090089E-3</v>
      </c>
      <c r="L48" s="485">
        <f>SUM(L49:L53)</f>
        <v>128</v>
      </c>
      <c r="M48" s="485">
        <f>SUM(M49:M53)</f>
        <v>1</v>
      </c>
      <c r="N48" s="486">
        <f t="shared" si="46"/>
        <v>7.8125E-3</v>
      </c>
      <c r="O48" s="485">
        <f>SUM(O49:O53)</f>
        <v>127</v>
      </c>
      <c r="P48" s="485">
        <f>SUM(P49:P53)</f>
        <v>1</v>
      </c>
      <c r="Q48" s="487">
        <f t="shared" si="47"/>
        <v>7.874015748031496E-3</v>
      </c>
      <c r="R48" s="485">
        <f>SUM(R49:R53)</f>
        <v>0</v>
      </c>
      <c r="S48" s="485">
        <f>SUM(S49:S53)</f>
        <v>0</v>
      </c>
      <c r="T48" s="487" t="e">
        <f t="shared" si="48"/>
        <v>#DIV/0!</v>
      </c>
      <c r="U48" s="485">
        <f>SUM(U49:U53)</f>
        <v>0</v>
      </c>
      <c r="V48" s="485">
        <f>SUM(V49:V53)</f>
        <v>0</v>
      </c>
      <c r="W48" s="487" t="e">
        <f t="shared" si="49"/>
        <v>#DIV/0!</v>
      </c>
      <c r="X48" s="485">
        <f>SUM(X49:X53)</f>
        <v>0</v>
      </c>
      <c r="Y48" s="485">
        <f>SUM(Y49:Y53)</f>
        <v>0</v>
      </c>
      <c r="Z48" s="487" t="e">
        <f t="shared" si="50"/>
        <v>#DIV/0!</v>
      </c>
      <c r="AA48" s="485">
        <f>SUM(AA49:AA53)</f>
        <v>0</v>
      </c>
      <c r="AB48" s="485">
        <f>SUM(AB49:AB53)</f>
        <v>0</v>
      </c>
      <c r="AC48" s="487" t="e">
        <f t="shared" si="51"/>
        <v>#DIV/0!</v>
      </c>
      <c r="AD48" s="485">
        <f>SUM(AD49:AD53)</f>
        <v>0</v>
      </c>
      <c r="AE48" s="485">
        <f>SUM(AE49:AE53)</f>
        <v>0</v>
      </c>
      <c r="AF48" s="488" t="e">
        <f t="shared" si="21"/>
        <v>#DIV/0!</v>
      </c>
      <c r="AG48" s="485">
        <f>SUM(AG49:AG53)</f>
        <v>0</v>
      </c>
      <c r="AH48" s="489">
        <f>SUM(AH49:AH53)</f>
        <v>0</v>
      </c>
      <c r="AI48" s="490" t="e">
        <f t="shared" si="32"/>
        <v>#DIV/0!</v>
      </c>
      <c r="AJ48" s="491">
        <f>SUM(AJ49:AJ53)</f>
        <v>0</v>
      </c>
      <c r="AK48" s="492">
        <f>SUM(AK49:AK53)</f>
        <v>0</v>
      </c>
      <c r="AL48" s="509" t="e">
        <f t="shared" si="33"/>
        <v>#DIV/0!</v>
      </c>
      <c r="AM48" s="501">
        <f>SUM(AM49:AM53)</f>
        <v>0</v>
      </c>
      <c r="AN48" s="588">
        <f>SUM(AN49:AN53)</f>
        <v>0</v>
      </c>
      <c r="AO48" s="493" t="e">
        <f t="shared" si="34"/>
        <v>#DIV/0!</v>
      </c>
      <c r="AP48" s="494"/>
      <c r="AQ48" s="494"/>
      <c r="AR48" s="495"/>
      <c r="AS48" s="496"/>
      <c r="AT48" s="497"/>
      <c r="AU48" s="496"/>
      <c r="AV48" s="496"/>
      <c r="AW48" s="498"/>
    </row>
    <row r="49" spans="1:49" s="273" customFormat="1" ht="17.25" hidden="1" customHeight="1" outlineLevel="1" x14ac:dyDescent="0.25">
      <c r="A49" s="370" t="s">
        <v>1139</v>
      </c>
      <c r="B49" s="329">
        <v>0.08</v>
      </c>
      <c r="C49" s="329">
        <f>B49/12*$C$14</f>
        <v>0.04</v>
      </c>
      <c r="D49" s="329">
        <f t="shared" si="24"/>
        <v>0</v>
      </c>
      <c r="E49" s="333">
        <f t="shared" si="44"/>
        <v>1</v>
      </c>
      <c r="F49" s="355">
        <v>12</v>
      </c>
      <c r="G49" s="304"/>
      <c r="H49" s="350">
        <f t="shared" si="25"/>
        <v>0</v>
      </c>
      <c r="I49" s="324">
        <v>16</v>
      </c>
      <c r="J49" s="324"/>
      <c r="K49" s="325">
        <f t="shared" si="26"/>
        <v>0</v>
      </c>
      <c r="L49" s="383">
        <v>16</v>
      </c>
      <c r="M49" s="324"/>
      <c r="N49" s="325">
        <f t="shared" ref="N49:N61" si="52">M49/L49</f>
        <v>0</v>
      </c>
      <c r="O49" s="324">
        <v>28</v>
      </c>
      <c r="P49" s="324"/>
      <c r="Q49" s="301">
        <f t="shared" si="27"/>
        <v>0</v>
      </c>
      <c r="R49" s="324"/>
      <c r="S49" s="324"/>
      <c r="T49" s="301" t="e">
        <f t="shared" si="28"/>
        <v>#DIV/0!</v>
      </c>
      <c r="U49" s="324"/>
      <c r="V49" s="324"/>
      <c r="W49" s="301" t="e">
        <f t="shared" si="29"/>
        <v>#DIV/0!</v>
      </c>
      <c r="X49" s="324"/>
      <c r="Y49" s="324"/>
      <c r="Z49" s="301" t="e">
        <f t="shared" si="30"/>
        <v>#DIV/0!</v>
      </c>
      <c r="AA49" s="324"/>
      <c r="AB49" s="324"/>
      <c r="AC49" s="301" t="e">
        <f t="shared" si="31"/>
        <v>#DIV/0!</v>
      </c>
      <c r="AD49" s="324"/>
      <c r="AE49" s="324"/>
      <c r="AF49" s="266" t="e">
        <f t="shared" si="21"/>
        <v>#DIV/0!</v>
      </c>
      <c r="AG49" s="324"/>
      <c r="AH49" s="326"/>
      <c r="AI49" s="319" t="e">
        <f t="shared" si="32"/>
        <v>#DIV/0!</v>
      </c>
      <c r="AJ49" s="104"/>
      <c r="AK49" s="306"/>
      <c r="AL49" s="318" t="e">
        <f t="shared" si="33"/>
        <v>#DIV/0!</v>
      </c>
      <c r="AM49" s="246"/>
      <c r="AN49" s="585"/>
      <c r="AO49" s="307" t="e">
        <f t="shared" si="34"/>
        <v>#DIV/0!</v>
      </c>
      <c r="AP49" s="311">
        <f>AVERAGE(F49,I49,L49,O49,R49,U49,X49,AA49,AD49,AG49,AJ49,AM49)</f>
        <v>18</v>
      </c>
      <c r="AQ49" s="311">
        <f>SUM(G49,J49,M49,P49,S49,V49,Y49,AB49,AE49,AH49,AK49,AN49)</f>
        <v>0</v>
      </c>
      <c r="AR49" s="312">
        <f>AQ49/AP49</f>
        <v>0</v>
      </c>
      <c r="AS49" s="292"/>
      <c r="AT49" s="293"/>
      <c r="AU49" s="292"/>
      <c r="AV49" s="292"/>
      <c r="AW49" s="294"/>
    </row>
    <row r="50" spans="1:49" s="273" customFormat="1" ht="17.25" hidden="1" customHeight="1" outlineLevel="1" x14ac:dyDescent="0.25">
      <c r="A50" s="370" t="s">
        <v>1140</v>
      </c>
      <c r="B50" s="329">
        <v>0.13</v>
      </c>
      <c r="C50" s="329">
        <f t="shared" si="43"/>
        <v>6.5000000000000002E-2</v>
      </c>
      <c r="D50" s="329">
        <f t="shared" si="24"/>
        <v>0</v>
      </c>
      <c r="E50" s="333">
        <f t="shared" si="42"/>
        <v>1</v>
      </c>
      <c r="F50" s="355">
        <v>39</v>
      </c>
      <c r="G50" s="304"/>
      <c r="H50" s="350">
        <f>G50/F50</f>
        <v>0</v>
      </c>
      <c r="I50" s="324">
        <v>52</v>
      </c>
      <c r="J50" s="324"/>
      <c r="K50" s="325">
        <f t="shared" si="26"/>
        <v>0</v>
      </c>
      <c r="L50" s="324">
        <v>52</v>
      </c>
      <c r="M50" s="324"/>
      <c r="N50" s="325">
        <f t="shared" si="52"/>
        <v>0</v>
      </c>
      <c r="O50" s="324">
        <v>36</v>
      </c>
      <c r="P50" s="324"/>
      <c r="Q50" s="301">
        <f t="shared" si="27"/>
        <v>0</v>
      </c>
      <c r="R50" s="324"/>
      <c r="S50" s="324"/>
      <c r="T50" s="301" t="e">
        <f t="shared" si="28"/>
        <v>#DIV/0!</v>
      </c>
      <c r="U50" s="324"/>
      <c r="V50" s="324"/>
      <c r="W50" s="301" t="e">
        <f t="shared" si="29"/>
        <v>#DIV/0!</v>
      </c>
      <c r="X50" s="324"/>
      <c r="Y50" s="324"/>
      <c r="Z50" s="301" t="e">
        <f t="shared" si="30"/>
        <v>#DIV/0!</v>
      </c>
      <c r="AA50" s="324"/>
      <c r="AB50" s="324"/>
      <c r="AC50" s="301" t="e">
        <f t="shared" si="31"/>
        <v>#DIV/0!</v>
      </c>
      <c r="AD50" s="324"/>
      <c r="AE50" s="324"/>
      <c r="AF50" s="266" t="e">
        <f t="shared" si="21"/>
        <v>#DIV/0!</v>
      </c>
      <c r="AG50" s="324"/>
      <c r="AH50" s="326"/>
      <c r="AI50" s="319" t="e">
        <f t="shared" si="32"/>
        <v>#DIV/0!</v>
      </c>
      <c r="AJ50" s="104"/>
      <c r="AK50" s="306"/>
      <c r="AL50" s="318" t="e">
        <f t="shared" si="33"/>
        <v>#DIV/0!</v>
      </c>
      <c r="AM50" s="246"/>
      <c r="AN50" s="585"/>
      <c r="AO50" s="307" t="e">
        <f t="shared" si="34"/>
        <v>#DIV/0!</v>
      </c>
      <c r="AP50" s="311">
        <f>AVERAGE(F50,I50,L50,O50,R50,U50,X50,AA50,AD50,AG50,AJ50,AM50)</f>
        <v>44.75</v>
      </c>
      <c r="AQ50" s="311">
        <f>SUM(G50,J50,M50,P50,S50,V50,Y50,AB50,AE50,AH50,AK50,AN50)</f>
        <v>0</v>
      </c>
      <c r="AR50" s="312">
        <f>AQ50/AP50</f>
        <v>0</v>
      </c>
      <c r="AS50" s="292"/>
      <c r="AT50" s="293"/>
      <c r="AU50" s="292"/>
      <c r="AV50" s="292"/>
      <c r="AW50" s="294"/>
    </row>
    <row r="51" spans="1:49" s="273" customFormat="1" ht="17.25" hidden="1" customHeight="1" outlineLevel="1" x14ac:dyDescent="0.25">
      <c r="A51" s="370" t="s">
        <v>1141</v>
      </c>
      <c r="B51" s="329">
        <v>0.13</v>
      </c>
      <c r="C51" s="329">
        <f t="shared" si="43"/>
        <v>6.5000000000000002E-2</v>
      </c>
      <c r="D51" s="329">
        <f t="shared" si="24"/>
        <v>3.7735849056603772E-2</v>
      </c>
      <c r="E51" s="333">
        <f t="shared" si="42"/>
        <v>1.7225000000000001</v>
      </c>
      <c r="F51" s="355">
        <v>29</v>
      </c>
      <c r="G51" s="304"/>
      <c r="H51" s="350">
        <f t="shared" si="25"/>
        <v>0</v>
      </c>
      <c r="I51" s="324">
        <v>14</v>
      </c>
      <c r="J51" s="324"/>
      <c r="K51" s="325">
        <f t="shared" si="26"/>
        <v>0</v>
      </c>
      <c r="L51" s="383">
        <v>33</v>
      </c>
      <c r="M51" s="324">
        <v>1</v>
      </c>
      <c r="N51" s="325">
        <f t="shared" si="52"/>
        <v>3.0303030303030304E-2</v>
      </c>
      <c r="O51" s="324">
        <v>30</v>
      </c>
      <c r="P51" s="324"/>
      <c r="Q51" s="301">
        <f t="shared" si="27"/>
        <v>0</v>
      </c>
      <c r="R51" s="324"/>
      <c r="S51" s="324"/>
      <c r="T51" s="301" t="e">
        <f t="shared" si="28"/>
        <v>#DIV/0!</v>
      </c>
      <c r="U51" s="324"/>
      <c r="V51" s="324"/>
      <c r="W51" s="301" t="e">
        <f t="shared" si="29"/>
        <v>#DIV/0!</v>
      </c>
      <c r="X51" s="324"/>
      <c r="Y51" s="324"/>
      <c r="Z51" s="301" t="e">
        <f t="shared" si="30"/>
        <v>#DIV/0!</v>
      </c>
      <c r="AA51" s="324"/>
      <c r="AB51" s="324"/>
      <c r="AC51" s="301" t="e">
        <f t="shared" si="31"/>
        <v>#DIV/0!</v>
      </c>
      <c r="AD51" s="324"/>
      <c r="AE51" s="324"/>
      <c r="AF51" s="266" t="e">
        <f t="shared" si="21"/>
        <v>#DIV/0!</v>
      </c>
      <c r="AG51" s="324"/>
      <c r="AH51" s="326"/>
      <c r="AI51" s="319" t="e">
        <f t="shared" si="32"/>
        <v>#DIV/0!</v>
      </c>
      <c r="AJ51" s="104"/>
      <c r="AK51" s="306"/>
      <c r="AL51" s="318" t="e">
        <f t="shared" si="33"/>
        <v>#DIV/0!</v>
      </c>
      <c r="AM51" s="246"/>
      <c r="AN51" s="585"/>
      <c r="AO51" s="307" t="e">
        <f t="shared" si="34"/>
        <v>#DIV/0!</v>
      </c>
      <c r="AP51" s="311">
        <f>AVERAGE(F51,I51,L51,O51,R51,U51,X51,AA51,AD51,AG51,AJ51,AM51)</f>
        <v>26.5</v>
      </c>
      <c r="AQ51" s="311">
        <f>SUM(G51,J51,M51,P51,S51,V51,Y51,AB51,AE51,AH51,AK51,AN51)</f>
        <v>1</v>
      </c>
      <c r="AR51" s="312">
        <f>AQ51/AP51</f>
        <v>3.7735849056603772E-2</v>
      </c>
      <c r="AS51" s="292"/>
      <c r="AT51" s="293"/>
      <c r="AU51" s="292"/>
      <c r="AV51" s="292"/>
      <c r="AW51" s="294"/>
    </row>
    <row r="52" spans="1:49" s="273" customFormat="1" ht="17.25" hidden="1" customHeight="1" outlineLevel="1" x14ac:dyDescent="0.25">
      <c r="A52" s="370" t="s">
        <v>1138</v>
      </c>
      <c r="B52" s="332">
        <v>0</v>
      </c>
      <c r="C52" s="332">
        <f t="shared" si="43"/>
        <v>0</v>
      </c>
      <c r="D52" s="332">
        <f t="shared" si="24"/>
        <v>0</v>
      </c>
      <c r="E52" s="335">
        <f t="shared" ref="E52:E65" si="53">IF(D52&gt;0%,C52/D52,100%)</f>
        <v>1</v>
      </c>
      <c r="F52" s="355">
        <v>9</v>
      </c>
      <c r="G52" s="304"/>
      <c r="H52" s="350">
        <f>G52/F52</f>
        <v>0</v>
      </c>
      <c r="I52" s="324">
        <v>2</v>
      </c>
      <c r="J52" s="324"/>
      <c r="K52" s="325">
        <f>J52/I52</f>
        <v>0</v>
      </c>
      <c r="L52" s="324">
        <v>2</v>
      </c>
      <c r="M52" s="324"/>
      <c r="N52" s="325">
        <f t="shared" si="52"/>
        <v>0</v>
      </c>
      <c r="O52" s="324">
        <v>6</v>
      </c>
      <c r="P52" s="324"/>
      <c r="Q52" s="301">
        <f>P52/O52</f>
        <v>0</v>
      </c>
      <c r="R52" s="324"/>
      <c r="S52" s="324"/>
      <c r="T52" s="301" t="e">
        <f>S52/R52</f>
        <v>#DIV/0!</v>
      </c>
      <c r="U52" s="324"/>
      <c r="V52" s="324"/>
      <c r="W52" s="301" t="e">
        <f>V52/U52</f>
        <v>#DIV/0!</v>
      </c>
      <c r="X52" s="324"/>
      <c r="Y52" s="324"/>
      <c r="Z52" s="301" t="e">
        <f>Y52/X52</f>
        <v>#DIV/0!</v>
      </c>
      <c r="AA52" s="324"/>
      <c r="AB52" s="324"/>
      <c r="AC52" s="301" t="e">
        <f>AB52/AA52</f>
        <v>#DIV/0!</v>
      </c>
      <c r="AD52" s="324"/>
      <c r="AE52" s="324"/>
      <c r="AF52" s="266" t="e">
        <f t="shared" si="21"/>
        <v>#DIV/0!</v>
      </c>
      <c r="AG52" s="324"/>
      <c r="AH52" s="326"/>
      <c r="AI52" s="319" t="e">
        <f>AH52/AG52</f>
        <v>#DIV/0!</v>
      </c>
      <c r="AJ52" s="104"/>
      <c r="AK52" s="306"/>
      <c r="AL52" s="318" t="e">
        <f t="shared" si="33"/>
        <v>#DIV/0!</v>
      </c>
      <c r="AM52" s="246"/>
      <c r="AN52" s="585"/>
      <c r="AO52" s="307" t="e">
        <f t="shared" si="34"/>
        <v>#DIV/0!</v>
      </c>
      <c r="AP52" s="311"/>
      <c r="AQ52" s="311"/>
      <c r="AR52" s="312"/>
      <c r="AS52" s="292"/>
      <c r="AT52" s="293"/>
      <c r="AU52" s="292"/>
      <c r="AV52" s="292"/>
      <c r="AW52" s="294"/>
    </row>
    <row r="53" spans="1:49" s="273" customFormat="1" ht="17.25" hidden="1" customHeight="1" outlineLevel="1" x14ac:dyDescent="0.25">
      <c r="A53" s="370" t="s">
        <v>1137</v>
      </c>
      <c r="B53" s="332">
        <v>0.2</v>
      </c>
      <c r="C53" s="332">
        <f>B53/12*$C$14</f>
        <v>0.1</v>
      </c>
      <c r="D53" s="332">
        <f t="shared" si="24"/>
        <v>0</v>
      </c>
      <c r="E53" s="571">
        <f t="shared" si="53"/>
        <v>1</v>
      </c>
      <c r="F53" s="572">
        <v>22</v>
      </c>
      <c r="G53" s="326">
        <v>1</v>
      </c>
      <c r="H53" s="350">
        <f>G53/F53</f>
        <v>4.5454545454545456E-2</v>
      </c>
      <c r="I53" s="324">
        <v>27</v>
      </c>
      <c r="J53" s="324">
        <v>1</v>
      </c>
      <c r="K53" s="325">
        <f>J53/I53</f>
        <v>3.7037037037037035E-2</v>
      </c>
      <c r="L53" s="324">
        <v>25</v>
      </c>
      <c r="M53" s="324"/>
      <c r="N53" s="325">
        <f t="shared" si="52"/>
        <v>0</v>
      </c>
      <c r="O53" s="324">
        <v>27</v>
      </c>
      <c r="P53" s="324">
        <v>1</v>
      </c>
      <c r="Q53" s="301">
        <f>P53/O53</f>
        <v>3.7037037037037035E-2</v>
      </c>
      <c r="R53" s="324"/>
      <c r="S53" s="324"/>
      <c r="T53" s="301" t="e">
        <f>S53/R53</f>
        <v>#DIV/0!</v>
      </c>
      <c r="U53" s="324"/>
      <c r="V53" s="324"/>
      <c r="W53" s="301" t="e">
        <f>V53/U53</f>
        <v>#DIV/0!</v>
      </c>
      <c r="X53" s="324"/>
      <c r="Y53" s="324"/>
      <c r="Z53" s="301" t="e">
        <f>Y53/X53</f>
        <v>#DIV/0!</v>
      </c>
      <c r="AA53" s="324"/>
      <c r="AB53" s="324"/>
      <c r="AC53" s="301" t="e">
        <f>AB53/AA53</f>
        <v>#DIV/0!</v>
      </c>
      <c r="AD53" s="324"/>
      <c r="AE53" s="324"/>
      <c r="AF53" s="266" t="e">
        <f t="shared" si="21"/>
        <v>#DIV/0!</v>
      </c>
      <c r="AG53" s="324"/>
      <c r="AH53" s="326"/>
      <c r="AI53" s="319" t="e">
        <f>AH53/AG53</f>
        <v>#DIV/0!</v>
      </c>
      <c r="AJ53" s="104"/>
      <c r="AK53" s="306"/>
      <c r="AL53" s="318" t="e">
        <f t="shared" si="33"/>
        <v>#DIV/0!</v>
      </c>
      <c r="AM53" s="246"/>
      <c r="AN53" s="585"/>
      <c r="AO53" s="307" t="e">
        <f t="shared" si="34"/>
        <v>#DIV/0!</v>
      </c>
      <c r="AP53" s="311"/>
      <c r="AQ53" s="311"/>
      <c r="AR53" s="312"/>
      <c r="AS53" s="292"/>
      <c r="AT53" s="293"/>
      <c r="AU53" s="292"/>
      <c r="AV53" s="292"/>
      <c r="AW53" s="294"/>
    </row>
    <row r="54" spans="1:49" s="499" customFormat="1" ht="17.25" customHeight="1" collapsed="1" x14ac:dyDescent="0.25">
      <c r="A54" s="369" t="s">
        <v>1129</v>
      </c>
      <c r="B54" s="297">
        <v>0.15</v>
      </c>
      <c r="C54" s="297">
        <f t="shared" si="43"/>
        <v>7.4999999999999997E-2</v>
      </c>
      <c r="D54" s="297">
        <f t="shared" si="24"/>
        <v>0</v>
      </c>
      <c r="E54" s="375">
        <f t="shared" si="53"/>
        <v>1</v>
      </c>
      <c r="F54" s="384">
        <f>SUM(F55:F56)</f>
        <v>15</v>
      </c>
      <c r="G54" s="483">
        <f>SUM(G55:G56)</f>
        <v>1</v>
      </c>
      <c r="H54" s="506">
        <f t="shared" si="25"/>
        <v>6.6666666666666666E-2</v>
      </c>
      <c r="I54" s="501">
        <f>SUM(I55:I56)</f>
        <v>13</v>
      </c>
      <c r="J54" s="501">
        <f>SUM(J55:J56)</f>
        <v>1</v>
      </c>
      <c r="K54" s="506">
        <f>J54/I54</f>
        <v>7.6923076923076927E-2</v>
      </c>
      <c r="L54" s="501">
        <f>SUM(L55:L56)</f>
        <v>17</v>
      </c>
      <c r="M54" s="570">
        <f>SUM(M55:M56)</f>
        <v>0</v>
      </c>
      <c r="N54" s="486">
        <f t="shared" si="52"/>
        <v>0</v>
      </c>
      <c r="O54" s="485">
        <f>SUM(O55:O56)</f>
        <v>17</v>
      </c>
      <c r="P54" s="485">
        <f>SUM(P55:P56)</f>
        <v>0</v>
      </c>
      <c r="Q54" s="487">
        <f>P54/O54</f>
        <v>0</v>
      </c>
      <c r="R54" s="485">
        <f>SUM(R55:R56)</f>
        <v>0</v>
      </c>
      <c r="S54" s="485">
        <f>SUM(S55:S56)</f>
        <v>0</v>
      </c>
      <c r="T54" s="487" t="e">
        <f>S54/R54</f>
        <v>#DIV/0!</v>
      </c>
      <c r="U54" s="485">
        <f>SUM(U55:U56)</f>
        <v>0</v>
      </c>
      <c r="V54" s="485">
        <f>SUM(V55:V56)</f>
        <v>0</v>
      </c>
      <c r="W54" s="487" t="e">
        <f>V54/U54</f>
        <v>#DIV/0!</v>
      </c>
      <c r="X54" s="485">
        <f>SUM(X55:X56)</f>
        <v>0</v>
      </c>
      <c r="Y54" s="485">
        <f>SUM(Y55:Y56)</f>
        <v>0</v>
      </c>
      <c r="Z54" s="487" t="e">
        <f>Y54/X54</f>
        <v>#DIV/0!</v>
      </c>
      <c r="AA54" s="485">
        <f>SUM(AA55:AA56)</f>
        <v>0</v>
      </c>
      <c r="AB54" s="485">
        <f>SUM(AB55:AB56)</f>
        <v>0</v>
      </c>
      <c r="AC54" s="487" t="e">
        <f>AB54/AA54</f>
        <v>#DIV/0!</v>
      </c>
      <c r="AD54" s="485">
        <f>SUM(AD55:AD56)</f>
        <v>0</v>
      </c>
      <c r="AE54" s="485">
        <f>SUM(AE55:AE56)</f>
        <v>0</v>
      </c>
      <c r="AF54" s="488" t="e">
        <f t="shared" si="21"/>
        <v>#DIV/0!</v>
      </c>
      <c r="AG54" s="485">
        <f>SUM(AG55:AG56)</f>
        <v>0</v>
      </c>
      <c r="AH54" s="489">
        <f>SUM(AH55:AH56)</f>
        <v>0</v>
      </c>
      <c r="AI54" s="490" t="e">
        <f>AH54/AG54</f>
        <v>#DIV/0!</v>
      </c>
      <c r="AJ54" s="491">
        <f>SUM(AJ55:AJ56)</f>
        <v>0</v>
      </c>
      <c r="AK54" s="492">
        <f>SUM(AK55:AK56)</f>
        <v>0</v>
      </c>
      <c r="AL54" s="509" t="e">
        <f t="shared" si="33"/>
        <v>#DIV/0!</v>
      </c>
      <c r="AM54" s="501">
        <f>SUM(AM55:AM56)</f>
        <v>0</v>
      </c>
      <c r="AN54" s="588">
        <f>SUM(AN55:AN56)</f>
        <v>0</v>
      </c>
      <c r="AO54" s="493" t="e">
        <f t="shared" si="34"/>
        <v>#DIV/0!</v>
      </c>
      <c r="AP54" s="494">
        <f>AVERAGE(F54,I54,L54,O54,R54,U54,X54,AA54,AD54,AG54,AJ54,AM54)</f>
        <v>5.166666666666667</v>
      </c>
      <c r="AQ54" s="494"/>
      <c r="AR54" s="495"/>
      <c r="AS54" s="496"/>
      <c r="AT54" s="497"/>
      <c r="AU54" s="496"/>
      <c r="AV54" s="496"/>
      <c r="AW54" s="498"/>
    </row>
    <row r="55" spans="1:49" s="273" customFormat="1" ht="32.25" hidden="1" customHeight="1" outlineLevel="1" x14ac:dyDescent="0.25">
      <c r="A55" s="334" t="s">
        <v>1130</v>
      </c>
      <c r="B55" s="329">
        <v>0.05</v>
      </c>
      <c r="C55" s="329">
        <f t="shared" si="43"/>
        <v>2.5000000000000001E-2</v>
      </c>
      <c r="D55" s="329">
        <f t="shared" si="24"/>
        <v>0</v>
      </c>
      <c r="E55" s="331">
        <f t="shared" si="53"/>
        <v>1</v>
      </c>
      <c r="F55" s="106">
        <v>6</v>
      </c>
      <c r="G55" s="304"/>
      <c r="H55" s="303">
        <f t="shared" si="25"/>
        <v>0</v>
      </c>
      <c r="I55" s="246">
        <v>5</v>
      </c>
      <c r="J55" s="246">
        <v>1</v>
      </c>
      <c r="K55" s="303">
        <f t="shared" si="26"/>
        <v>0.2</v>
      </c>
      <c r="L55" s="246">
        <v>5</v>
      </c>
      <c r="M55" s="569"/>
      <c r="N55" s="325">
        <f t="shared" si="52"/>
        <v>0</v>
      </c>
      <c r="O55" s="324">
        <v>5</v>
      </c>
      <c r="P55" s="324"/>
      <c r="Q55" s="301">
        <f>P55/O55</f>
        <v>0</v>
      </c>
      <c r="R55" s="324"/>
      <c r="S55" s="324"/>
      <c r="T55" s="301" t="e">
        <f t="shared" si="28"/>
        <v>#DIV/0!</v>
      </c>
      <c r="U55" s="324"/>
      <c r="V55" s="324"/>
      <c r="W55" s="301" t="e">
        <f t="shared" si="29"/>
        <v>#DIV/0!</v>
      </c>
      <c r="X55" s="324"/>
      <c r="Y55" s="324"/>
      <c r="Z55" s="301" t="e">
        <f t="shared" si="30"/>
        <v>#DIV/0!</v>
      </c>
      <c r="AA55" s="324"/>
      <c r="AB55" s="324"/>
      <c r="AC55" s="301" t="e">
        <f t="shared" si="31"/>
        <v>#DIV/0!</v>
      </c>
      <c r="AD55" s="324"/>
      <c r="AE55" s="324"/>
      <c r="AF55" s="266" t="e">
        <f t="shared" si="21"/>
        <v>#DIV/0!</v>
      </c>
      <c r="AG55" s="324"/>
      <c r="AH55" s="326"/>
      <c r="AI55" s="319" t="e">
        <f t="shared" si="32"/>
        <v>#DIV/0!</v>
      </c>
      <c r="AJ55" s="104"/>
      <c r="AK55" s="306"/>
      <c r="AL55" s="318" t="e">
        <f t="shared" si="33"/>
        <v>#DIV/0!</v>
      </c>
      <c r="AM55" s="246"/>
      <c r="AN55" s="585"/>
      <c r="AO55" s="307" t="e">
        <f t="shared" si="34"/>
        <v>#DIV/0!</v>
      </c>
      <c r="AP55" s="311">
        <f>AVERAGE(F55,I55,L55,O55,R55,U55,X55,AA55,AD55,AG55,AJ55,AM55)</f>
        <v>5.25</v>
      </c>
      <c r="AQ55" s="311"/>
      <c r="AR55" s="312"/>
      <c r="AS55" s="292"/>
      <c r="AT55" s="293"/>
      <c r="AU55" s="292"/>
      <c r="AV55" s="292"/>
      <c r="AW55" s="294"/>
    </row>
    <row r="56" spans="1:49" s="273" customFormat="1" ht="21" hidden="1" customHeight="1" outlineLevel="1" x14ac:dyDescent="0.25">
      <c r="A56" s="334" t="s">
        <v>1126</v>
      </c>
      <c r="B56" s="329">
        <v>0.1</v>
      </c>
      <c r="C56" s="329">
        <f t="shared" si="43"/>
        <v>0.05</v>
      </c>
      <c r="D56" s="329">
        <f t="shared" si="24"/>
        <v>0</v>
      </c>
      <c r="E56" s="331">
        <f t="shared" si="53"/>
        <v>1</v>
      </c>
      <c r="F56" s="106">
        <v>9</v>
      </c>
      <c r="G56" s="304">
        <v>1</v>
      </c>
      <c r="H56" s="303">
        <f t="shared" si="25"/>
        <v>0.1111111111111111</v>
      </c>
      <c r="I56" s="246">
        <v>8</v>
      </c>
      <c r="J56" s="246"/>
      <c r="K56" s="303">
        <f t="shared" si="26"/>
        <v>0</v>
      </c>
      <c r="L56" s="246">
        <v>12</v>
      </c>
      <c r="M56" s="569"/>
      <c r="N56" s="325">
        <f t="shared" si="52"/>
        <v>0</v>
      </c>
      <c r="O56" s="324">
        <v>12</v>
      </c>
      <c r="P56" s="324"/>
      <c r="Q56" s="301">
        <f t="shared" si="27"/>
        <v>0</v>
      </c>
      <c r="R56" s="324"/>
      <c r="S56" s="324"/>
      <c r="T56" s="301" t="e">
        <f t="shared" si="28"/>
        <v>#DIV/0!</v>
      </c>
      <c r="U56" s="324"/>
      <c r="V56" s="324"/>
      <c r="W56" s="301" t="e">
        <f t="shared" si="29"/>
        <v>#DIV/0!</v>
      </c>
      <c r="X56" s="324"/>
      <c r="Y56" s="324"/>
      <c r="Z56" s="301" t="e">
        <f t="shared" si="30"/>
        <v>#DIV/0!</v>
      </c>
      <c r="AA56" s="324"/>
      <c r="AB56" s="324"/>
      <c r="AC56" s="301" t="e">
        <f t="shared" si="31"/>
        <v>#DIV/0!</v>
      </c>
      <c r="AD56" s="324"/>
      <c r="AE56" s="324"/>
      <c r="AF56" s="266" t="e">
        <f t="shared" si="21"/>
        <v>#DIV/0!</v>
      </c>
      <c r="AG56" s="324"/>
      <c r="AH56" s="326"/>
      <c r="AI56" s="319" t="e">
        <f t="shared" si="32"/>
        <v>#DIV/0!</v>
      </c>
      <c r="AJ56" s="104"/>
      <c r="AK56" s="306"/>
      <c r="AL56" s="318" t="e">
        <f t="shared" si="33"/>
        <v>#DIV/0!</v>
      </c>
      <c r="AM56" s="246"/>
      <c r="AN56" s="585"/>
      <c r="AO56" s="307" t="e">
        <f t="shared" si="34"/>
        <v>#DIV/0!</v>
      </c>
      <c r="AP56" s="311">
        <f>AVERAGE(F56,I56,L56,O56,R56,U56,X56,AA56,AD56,AG56,AJ56,AM56)</f>
        <v>10.25</v>
      </c>
      <c r="AQ56" s="311"/>
      <c r="AR56" s="312"/>
      <c r="AS56" s="292"/>
      <c r="AT56" s="293"/>
      <c r="AU56" s="292"/>
      <c r="AV56" s="292"/>
      <c r="AW56" s="294"/>
    </row>
    <row r="57" spans="1:49" s="499" customFormat="1" ht="17.25" customHeight="1" collapsed="1" x14ac:dyDescent="0.25">
      <c r="A57" s="295" t="s">
        <v>810</v>
      </c>
      <c r="B57" s="296">
        <v>0.1</v>
      </c>
      <c r="C57" s="297">
        <f>B57/12*$C$14</f>
        <v>0.05</v>
      </c>
      <c r="D57" s="297">
        <f>AR57</f>
        <v>0</v>
      </c>
      <c r="E57" s="375">
        <f>IF(D57&gt;0%,C57/D57,100%)</f>
        <v>1</v>
      </c>
      <c r="F57" s="501">
        <f>SUM(F58:F59)</f>
        <v>17</v>
      </c>
      <c r="G57" s="483">
        <f>SUM(G58:G59)</f>
        <v>0</v>
      </c>
      <c r="H57" s="506">
        <f>G57/F57</f>
        <v>0</v>
      </c>
      <c r="I57" s="501">
        <f>SUM(I58:I59)</f>
        <v>17</v>
      </c>
      <c r="J57" s="483">
        <f>SUM(J58:J59)</f>
        <v>0</v>
      </c>
      <c r="K57" s="506">
        <f>J57/I57</f>
        <v>0</v>
      </c>
      <c r="L57" s="501">
        <v>16</v>
      </c>
      <c r="M57" s="567">
        <v>0</v>
      </c>
      <c r="N57" s="488">
        <f t="shared" si="52"/>
        <v>0</v>
      </c>
      <c r="O57" s="491">
        <f>O58+O59+O60</f>
        <v>21</v>
      </c>
      <c r="P57" s="502">
        <f>SUM(P58:P59)</f>
        <v>0</v>
      </c>
      <c r="Q57" s="488">
        <f>P57/O57</f>
        <v>0</v>
      </c>
      <c r="R57" s="491">
        <f>SUM(R58:R59)</f>
        <v>0</v>
      </c>
      <c r="S57" s="502">
        <f>SUM(S58:S59)</f>
        <v>0</v>
      </c>
      <c r="T57" s="488" t="e">
        <f>S57/R57</f>
        <v>#DIV/0!</v>
      </c>
      <c r="U57" s="491">
        <f>SUM(U58:U59)</f>
        <v>0</v>
      </c>
      <c r="V57" s="502">
        <f>SUM(V58:V59)</f>
        <v>0</v>
      </c>
      <c r="W57" s="488" t="e">
        <f>V57/U57</f>
        <v>#DIV/0!</v>
      </c>
      <c r="X57" s="491">
        <f>SUM(X58:X59)</f>
        <v>0</v>
      </c>
      <c r="Y57" s="502">
        <f>SUM(Y58:Y59)</f>
        <v>0</v>
      </c>
      <c r="Z57" s="488" t="e">
        <f>Y57/X57</f>
        <v>#DIV/0!</v>
      </c>
      <c r="AA57" s="491">
        <f>SUM(AA58:AA59)</f>
        <v>0</v>
      </c>
      <c r="AB57" s="502">
        <f>SUM(AB58:AB59)</f>
        <v>0</v>
      </c>
      <c r="AC57" s="488" t="e">
        <f>AB57/AA57</f>
        <v>#DIV/0!</v>
      </c>
      <c r="AD57" s="491">
        <f>SUM(AD58:AD59)</f>
        <v>0</v>
      </c>
      <c r="AE57" s="502">
        <f>SUM(AE58:AE59)</f>
        <v>0</v>
      </c>
      <c r="AF57" s="488" t="e">
        <f>AE57/AD57</f>
        <v>#DIV/0!</v>
      </c>
      <c r="AG57" s="491">
        <f>SUM(AG58:AG59)</f>
        <v>0</v>
      </c>
      <c r="AH57" s="502">
        <f>SUM(AH58:AH59)</f>
        <v>0</v>
      </c>
      <c r="AI57" s="488" t="e">
        <f>AH57/AG57</f>
        <v>#DIV/0!</v>
      </c>
      <c r="AJ57" s="491">
        <f>SUM(AJ58:AJ59)</f>
        <v>0</v>
      </c>
      <c r="AK57" s="502">
        <f>SUM(AK58:AK59)</f>
        <v>0</v>
      </c>
      <c r="AL57" s="579" t="e">
        <f>AK57/AJ57</f>
        <v>#DIV/0!</v>
      </c>
      <c r="AM57" s="501">
        <f>SUM(AM58:AM59)</f>
        <v>0</v>
      </c>
      <c r="AN57" s="567">
        <f>SUM(AN58:AN59)</f>
        <v>0</v>
      </c>
      <c r="AO57" s="503" t="e">
        <f>AN57/AM57</f>
        <v>#DIV/0!</v>
      </c>
      <c r="AP57" s="504">
        <f>AVERAGE(F57,I57,L57,O57,R57,U57,X57,AA57,AD57,AG57,AJ57,AM57)</f>
        <v>5.916666666666667</v>
      </c>
      <c r="AQ57" s="504">
        <f>SUM(G57,J57,M57,P57,S57,V57,Y57,AB57,AE57,AH57,AK57,AN57)</f>
        <v>0</v>
      </c>
      <c r="AR57" s="505">
        <f>AQ57/AP57</f>
        <v>0</v>
      </c>
      <c r="AS57" s="496"/>
      <c r="AT57" s="497"/>
      <c r="AU57" s="496"/>
      <c r="AV57" s="496"/>
      <c r="AW57" s="498"/>
    </row>
    <row r="58" spans="1:49" s="273" customFormat="1" ht="17.25" hidden="1" customHeight="1" outlineLevel="1" x14ac:dyDescent="0.25">
      <c r="A58" s="313" t="s">
        <v>1106</v>
      </c>
      <c r="B58" s="299">
        <v>0.08</v>
      </c>
      <c r="C58" s="300">
        <f>B58/12*$C$14</f>
        <v>0.04</v>
      </c>
      <c r="D58" s="300">
        <f>AR58</f>
        <v>0</v>
      </c>
      <c r="E58" s="377">
        <f>AS58</f>
        <v>0</v>
      </c>
      <c r="F58" s="246">
        <v>12</v>
      </c>
      <c r="G58" s="304"/>
      <c r="H58" s="303">
        <f>G58/F58</f>
        <v>0</v>
      </c>
      <c r="I58" s="246">
        <v>12</v>
      </c>
      <c r="J58" s="304"/>
      <c r="K58" s="303">
        <f>J58/I58</f>
        <v>0</v>
      </c>
      <c r="L58" s="246">
        <v>11</v>
      </c>
      <c r="M58" s="103"/>
      <c r="N58" s="266">
        <f t="shared" si="52"/>
        <v>0</v>
      </c>
      <c r="O58" s="104">
        <v>11</v>
      </c>
      <c r="P58" s="100"/>
      <c r="Q58" s="266">
        <f>P58/O58</f>
        <v>0</v>
      </c>
      <c r="R58" s="104"/>
      <c r="S58" s="100"/>
      <c r="T58" s="266" t="e">
        <f>S58/R58</f>
        <v>#DIV/0!</v>
      </c>
      <c r="U58" s="104"/>
      <c r="V58" s="100"/>
      <c r="W58" s="266" t="e">
        <f>V58/U58</f>
        <v>#DIV/0!</v>
      </c>
      <c r="X58" s="104"/>
      <c r="Y58" s="100"/>
      <c r="Z58" s="266" t="e">
        <f>Y58/X58</f>
        <v>#DIV/0!</v>
      </c>
      <c r="AA58" s="104"/>
      <c r="AB58" s="100"/>
      <c r="AC58" s="266" t="e">
        <f>AB58/AA58</f>
        <v>#DIV/0!</v>
      </c>
      <c r="AD58" s="104"/>
      <c r="AE58" s="100"/>
      <c r="AF58" s="266" t="e">
        <f>AE58/AD58</f>
        <v>#DIV/0!</v>
      </c>
      <c r="AG58" s="104"/>
      <c r="AH58" s="100"/>
      <c r="AI58" s="266" t="e">
        <f>AH58/AG58</f>
        <v>#DIV/0!</v>
      </c>
      <c r="AJ58" s="104"/>
      <c r="AK58" s="100"/>
      <c r="AL58" s="580" t="e">
        <f>AK58/AJ58</f>
        <v>#DIV/0!</v>
      </c>
      <c r="AM58" s="246"/>
      <c r="AN58" s="103"/>
      <c r="AO58" s="270" t="e">
        <f>AN58/AM58</f>
        <v>#DIV/0!</v>
      </c>
      <c r="AP58" s="308"/>
      <c r="AQ58" s="308"/>
      <c r="AR58" s="309"/>
      <c r="AS58" s="292"/>
      <c r="AT58" s="293"/>
      <c r="AU58" s="292"/>
      <c r="AV58" s="292"/>
      <c r="AW58" s="294"/>
    </row>
    <row r="59" spans="1:49" s="273" customFormat="1" ht="17.25" hidden="1" customHeight="1" outlineLevel="1" x14ac:dyDescent="0.25">
      <c r="A59" s="313" t="s">
        <v>1107</v>
      </c>
      <c r="B59" s="299">
        <v>0.02</v>
      </c>
      <c r="C59" s="300">
        <f>B59/12*$C$14</f>
        <v>0.01</v>
      </c>
      <c r="D59" s="300">
        <f>AR59</f>
        <v>0</v>
      </c>
      <c r="E59" s="377">
        <f>AS59</f>
        <v>0</v>
      </c>
      <c r="F59" s="246">
        <v>5</v>
      </c>
      <c r="G59" s="304"/>
      <c r="H59" s="303">
        <f>G59/F59</f>
        <v>0</v>
      </c>
      <c r="I59" s="246">
        <v>5</v>
      </c>
      <c r="J59" s="304"/>
      <c r="K59" s="303">
        <f>J59/I59</f>
        <v>0</v>
      </c>
      <c r="L59" s="246">
        <v>5</v>
      </c>
      <c r="M59" s="103"/>
      <c r="N59" s="266">
        <f t="shared" si="52"/>
        <v>0</v>
      </c>
      <c r="O59" s="104">
        <v>5</v>
      </c>
      <c r="P59" s="100"/>
      <c r="Q59" s="266">
        <f>P59/O59</f>
        <v>0</v>
      </c>
      <c r="R59" s="104"/>
      <c r="S59" s="100"/>
      <c r="T59" s="266" t="e">
        <f>S59/R59</f>
        <v>#DIV/0!</v>
      </c>
      <c r="U59" s="104"/>
      <c r="V59" s="100"/>
      <c r="W59" s="266" t="e">
        <f>V59/U59</f>
        <v>#DIV/0!</v>
      </c>
      <c r="X59" s="104"/>
      <c r="Y59" s="100"/>
      <c r="Z59" s="266" t="e">
        <f>Y59/X59</f>
        <v>#DIV/0!</v>
      </c>
      <c r="AA59" s="104"/>
      <c r="AB59" s="100"/>
      <c r="AC59" s="266" t="e">
        <f>AB59/AA59</f>
        <v>#DIV/0!</v>
      </c>
      <c r="AD59" s="104"/>
      <c r="AE59" s="100"/>
      <c r="AF59" s="266" t="e">
        <f>AE59/AD59</f>
        <v>#DIV/0!</v>
      </c>
      <c r="AG59" s="104"/>
      <c r="AH59" s="100"/>
      <c r="AI59" s="266" t="e">
        <f>AH59/AG59</f>
        <v>#DIV/0!</v>
      </c>
      <c r="AJ59" s="104"/>
      <c r="AK59" s="100"/>
      <c r="AL59" s="580" t="e">
        <f>AK59/AJ59</f>
        <v>#DIV/0!</v>
      </c>
      <c r="AM59" s="246"/>
      <c r="AN59" s="103"/>
      <c r="AO59" s="270" t="e">
        <f>AN59/AM59</f>
        <v>#DIV/0!</v>
      </c>
      <c r="AP59" s="308"/>
      <c r="AQ59" s="308"/>
      <c r="AR59" s="309"/>
      <c r="AS59" s="292"/>
      <c r="AT59" s="293"/>
      <c r="AU59" s="292"/>
      <c r="AV59" s="292"/>
      <c r="AW59" s="294"/>
    </row>
    <row r="60" spans="1:49" s="273" customFormat="1" ht="17.25" hidden="1" customHeight="1" outlineLevel="1" x14ac:dyDescent="0.25">
      <c r="A60" s="330" t="s">
        <v>1065</v>
      </c>
      <c r="B60" s="336">
        <v>0.02</v>
      </c>
      <c r="C60" s="332">
        <f>B60/12*$C$14</f>
        <v>0.01</v>
      </c>
      <c r="D60" s="329">
        <f>AR60</f>
        <v>0.22222222222222221</v>
      </c>
      <c r="E60" s="331">
        <f>IF(D60&gt;0%,C60/D60,100%)</f>
        <v>4.5000000000000005E-2</v>
      </c>
      <c r="F60" s="106">
        <v>5</v>
      </c>
      <c r="G60" s="304"/>
      <c r="H60" s="303">
        <f>G60/F60</f>
        <v>0</v>
      </c>
      <c r="I60" s="246">
        <v>4</v>
      </c>
      <c r="J60" s="246">
        <v>1</v>
      </c>
      <c r="K60" s="303">
        <f>J60/I60</f>
        <v>0.25</v>
      </c>
      <c r="L60" s="246">
        <v>4</v>
      </c>
      <c r="M60" s="569"/>
      <c r="N60" s="325">
        <f t="shared" si="52"/>
        <v>0</v>
      </c>
      <c r="O60" s="324">
        <v>5</v>
      </c>
      <c r="P60" s="324"/>
      <c r="Q60" s="301">
        <f>P60/O60</f>
        <v>0</v>
      </c>
      <c r="R60" s="324"/>
      <c r="S60" s="324"/>
      <c r="T60" s="301" t="e">
        <f>S60/R60</f>
        <v>#DIV/0!</v>
      </c>
      <c r="U60" s="324"/>
      <c r="V60" s="324"/>
      <c r="W60" s="301" t="e">
        <f>V60/U60</f>
        <v>#DIV/0!</v>
      </c>
      <c r="X60" s="324"/>
      <c r="Y60" s="324"/>
      <c r="Z60" s="301" t="e">
        <f>Y60/X60</f>
        <v>#DIV/0!</v>
      </c>
      <c r="AA60" s="324"/>
      <c r="AB60" s="324"/>
      <c r="AC60" s="301" t="e">
        <f>AB60/AA60</f>
        <v>#DIV/0!</v>
      </c>
      <c r="AD60" s="324"/>
      <c r="AE60" s="324"/>
      <c r="AF60" s="266" t="e">
        <f>AE60/AD60</f>
        <v>#DIV/0!</v>
      </c>
      <c r="AG60" s="324"/>
      <c r="AH60" s="326"/>
      <c r="AI60" s="319" t="e">
        <f>AH60/AG60</f>
        <v>#DIV/0!</v>
      </c>
      <c r="AJ60" s="104"/>
      <c r="AK60" s="306"/>
      <c r="AL60" s="318" t="e">
        <f>AK60/AJ60</f>
        <v>#DIV/0!</v>
      </c>
      <c r="AM60" s="246"/>
      <c r="AN60" s="585"/>
      <c r="AO60" s="307" t="e">
        <f>AN60/AM60</f>
        <v>#DIV/0!</v>
      </c>
      <c r="AP60" s="271">
        <f>AVERAGE(F60,I60,L60,O60,R60,U60,X60,AA60,AD60,AG60,AJ60,AM60)</f>
        <v>4.5</v>
      </c>
      <c r="AQ60" s="271">
        <f>SUM(G60,J60,M60,P60,S60,V60,Y60,AB60,AE60,AH60,AK60,AN60)</f>
        <v>1</v>
      </c>
      <c r="AR60" s="272">
        <f>AQ60/AP60</f>
        <v>0.22222222222222221</v>
      </c>
      <c r="AS60" s="292"/>
      <c r="AT60" s="293"/>
      <c r="AU60" s="292"/>
      <c r="AV60" s="292"/>
      <c r="AW60" s="294"/>
    </row>
    <row r="61" spans="1:49" s="499" customFormat="1" ht="16.899999999999999" customHeight="1" collapsed="1" x14ac:dyDescent="0.25">
      <c r="A61" s="295" t="s">
        <v>1121</v>
      </c>
      <c r="B61" s="297">
        <v>0.15</v>
      </c>
      <c r="C61" s="297">
        <f t="shared" si="43"/>
        <v>7.4999999999999997E-2</v>
      </c>
      <c r="D61" s="297">
        <f t="shared" ref="D61:D67" si="54">AR61</f>
        <v>0</v>
      </c>
      <c r="E61" s="375">
        <f t="shared" si="53"/>
        <v>1</v>
      </c>
      <c r="F61" s="384">
        <f>SUM(F62:F64)</f>
        <v>12</v>
      </c>
      <c r="G61" s="483">
        <f>SUM(G62:G64)</f>
        <v>0</v>
      </c>
      <c r="H61" s="506">
        <f>G61/F61</f>
        <v>0</v>
      </c>
      <c r="I61" s="501">
        <f>SUM(I62:I64)</f>
        <v>13</v>
      </c>
      <c r="J61" s="501">
        <f>SUM(J62:J64)</f>
        <v>0</v>
      </c>
      <c r="K61" s="506">
        <f>J61/I61</f>
        <v>0</v>
      </c>
      <c r="L61" s="501">
        <v>14</v>
      </c>
      <c r="M61" s="501">
        <v>1</v>
      </c>
      <c r="N61" s="506">
        <f t="shared" si="52"/>
        <v>7.1428571428571425E-2</v>
      </c>
      <c r="O61" s="501">
        <v>12</v>
      </c>
      <c r="P61" s="501">
        <f>SUM(P62:P64)</f>
        <v>0</v>
      </c>
      <c r="Q61" s="506">
        <f>P61/O61</f>
        <v>0</v>
      </c>
      <c r="R61" s="501">
        <f>SUM(R62:R64)</f>
        <v>0</v>
      </c>
      <c r="S61" s="501">
        <f>SUM(S62:S64)</f>
        <v>0</v>
      </c>
      <c r="T61" s="506" t="e">
        <f>S61/R61</f>
        <v>#DIV/0!</v>
      </c>
      <c r="U61" s="501">
        <f>SUM(U62:U64)</f>
        <v>0</v>
      </c>
      <c r="V61" s="501">
        <f>SUM(V62:V64)</f>
        <v>0</v>
      </c>
      <c r="W61" s="506" t="e">
        <f>V61/U61</f>
        <v>#DIV/0!</v>
      </c>
      <c r="X61" s="501">
        <f>SUM(X62:X64)</f>
        <v>0</v>
      </c>
      <c r="Y61" s="501">
        <f>SUM(Y62:Y64)</f>
        <v>0</v>
      </c>
      <c r="Z61" s="506" t="e">
        <f>Y61/X61</f>
        <v>#DIV/0!</v>
      </c>
      <c r="AA61" s="501">
        <f>SUM(AA62:AA64)</f>
        <v>0</v>
      </c>
      <c r="AB61" s="501">
        <f>SUM(AB62:AB64)</f>
        <v>0</v>
      </c>
      <c r="AC61" s="506" t="e">
        <f>AB61/AA61</f>
        <v>#DIV/0!</v>
      </c>
      <c r="AD61" s="501">
        <f>SUM(AD62:AD64)</f>
        <v>0</v>
      </c>
      <c r="AE61" s="501">
        <f>SUM(AE62:AE64)</f>
        <v>0</v>
      </c>
      <c r="AF61" s="506" t="e">
        <f>AE61/AD61</f>
        <v>#DIV/0!</v>
      </c>
      <c r="AG61" s="501">
        <f>SUM(AG62:AG64)</f>
        <v>0</v>
      </c>
      <c r="AH61" s="483">
        <f>SUM(AH62:AH64)</f>
        <v>0</v>
      </c>
      <c r="AI61" s="506" t="e">
        <f>AH61/AG61</f>
        <v>#DIV/0!</v>
      </c>
      <c r="AJ61" s="501">
        <f>SUM(AJ62:AJ64)</f>
        <v>0</v>
      </c>
      <c r="AK61" s="483">
        <f>SUM(AK62:AK64)</f>
        <v>0</v>
      </c>
      <c r="AL61" s="581" t="e">
        <f>AK61/AJ61</f>
        <v>#DIV/0!</v>
      </c>
      <c r="AM61" s="501">
        <f>SUM(AM62:AM64)</f>
        <v>0</v>
      </c>
      <c r="AN61" s="589">
        <f>SUM(AN62:AN64)</f>
        <v>0</v>
      </c>
      <c r="AO61" s="507" t="e">
        <f>AN61/AM61</f>
        <v>#DIV/0!</v>
      </c>
      <c r="AP61" s="494"/>
      <c r="AQ61" s="494"/>
      <c r="AR61" s="495"/>
      <c r="AS61" s="496"/>
      <c r="AT61" s="497"/>
      <c r="AU61" s="496"/>
      <c r="AV61" s="496"/>
      <c r="AW61" s="498"/>
    </row>
    <row r="62" spans="1:49" s="273" customFormat="1" ht="16.899999999999999" hidden="1" customHeight="1" outlineLevel="1" x14ac:dyDescent="0.25">
      <c r="A62" s="330" t="s">
        <v>225</v>
      </c>
      <c r="B62" s="329">
        <v>0.09</v>
      </c>
      <c r="C62" s="329">
        <f t="shared" si="43"/>
        <v>4.4999999999999998E-2</v>
      </c>
      <c r="D62" s="329">
        <f t="shared" si="54"/>
        <v>0</v>
      </c>
      <c r="E62" s="331">
        <f t="shared" si="53"/>
        <v>1</v>
      </c>
      <c r="F62" s="106">
        <v>6</v>
      </c>
      <c r="G62" s="304"/>
      <c r="H62" s="303">
        <f t="shared" ref="H62:H67" si="55">G62/F62</f>
        <v>0</v>
      </c>
      <c r="I62" s="246">
        <v>2</v>
      </c>
      <c r="J62" s="246"/>
      <c r="K62" s="303">
        <f t="shared" ref="K62:K67" si="56">J62/I62</f>
        <v>0</v>
      </c>
      <c r="L62" s="246">
        <v>6</v>
      </c>
      <c r="M62" s="246"/>
      <c r="N62" s="303">
        <f t="shared" ref="N62:N67" si="57">M62/L62</f>
        <v>0</v>
      </c>
      <c r="O62" s="246">
        <v>6</v>
      </c>
      <c r="P62" s="246"/>
      <c r="Q62" s="303">
        <f t="shared" ref="Q62:Q67" si="58">P62/O62</f>
        <v>0</v>
      </c>
      <c r="R62" s="246"/>
      <c r="S62" s="246"/>
      <c r="T62" s="303" t="e">
        <f t="shared" ref="T62:T67" si="59">S62/R62</f>
        <v>#DIV/0!</v>
      </c>
      <c r="U62" s="246"/>
      <c r="V62" s="246"/>
      <c r="W62" s="303" t="e">
        <f t="shared" ref="W62:W67" si="60">V62/U62</f>
        <v>#DIV/0!</v>
      </c>
      <c r="X62" s="246"/>
      <c r="Y62" s="246"/>
      <c r="Z62" s="303" t="e">
        <f t="shared" ref="Z62:Z67" si="61">Y62/X62</f>
        <v>#DIV/0!</v>
      </c>
      <c r="AA62" s="246"/>
      <c r="AB62" s="246"/>
      <c r="AC62" s="303" t="e">
        <f t="shared" ref="AC62:AC67" si="62">AB62/AA62</f>
        <v>#DIV/0!</v>
      </c>
      <c r="AD62" s="246"/>
      <c r="AE62" s="246"/>
      <c r="AF62" s="303" t="e">
        <f t="shared" ref="AF62:AF67" si="63">AE62/AD62</f>
        <v>#DIV/0!</v>
      </c>
      <c r="AG62" s="246"/>
      <c r="AH62" s="304"/>
      <c r="AI62" s="303" t="e">
        <f t="shared" ref="AI62:AI67" si="64">AH62/AG62</f>
        <v>#DIV/0!</v>
      </c>
      <c r="AJ62" s="246"/>
      <c r="AK62" s="304"/>
      <c r="AL62" s="582" t="e">
        <f t="shared" ref="AL62:AL67" si="65">AK62/AJ62</f>
        <v>#DIV/0!</v>
      </c>
      <c r="AM62" s="246"/>
      <c r="AN62" s="590"/>
      <c r="AO62" s="310" t="e">
        <f t="shared" ref="AO62:AO67" si="66">AN62/AM62</f>
        <v>#DIV/0!</v>
      </c>
      <c r="AP62" s="311"/>
      <c r="AQ62" s="311"/>
      <c r="AR62" s="312"/>
      <c r="AS62" s="292"/>
      <c r="AT62" s="293"/>
      <c r="AU62" s="292"/>
      <c r="AV62" s="292"/>
      <c r="AW62" s="294"/>
    </row>
    <row r="63" spans="1:49" s="273" customFormat="1" ht="16.899999999999999" hidden="1" customHeight="1" outlineLevel="1" x14ac:dyDescent="0.25">
      <c r="A63" s="330" t="s">
        <v>1076</v>
      </c>
      <c r="B63" s="329">
        <v>0.06</v>
      </c>
      <c r="C63" s="329">
        <f t="shared" si="43"/>
        <v>0.03</v>
      </c>
      <c r="D63" s="329">
        <f t="shared" si="54"/>
        <v>0</v>
      </c>
      <c r="E63" s="331">
        <f t="shared" si="53"/>
        <v>1</v>
      </c>
      <c r="F63" s="106">
        <v>4</v>
      </c>
      <c r="G63" s="304"/>
      <c r="H63" s="303">
        <f t="shared" si="55"/>
        <v>0</v>
      </c>
      <c r="I63" s="246">
        <v>5</v>
      </c>
      <c r="J63" s="246"/>
      <c r="K63" s="303">
        <f t="shared" si="56"/>
        <v>0</v>
      </c>
      <c r="L63" s="246">
        <v>5</v>
      </c>
      <c r="M63" s="246"/>
      <c r="N63" s="303">
        <f t="shared" si="57"/>
        <v>0</v>
      </c>
      <c r="O63" s="246">
        <v>5</v>
      </c>
      <c r="P63" s="246"/>
      <c r="Q63" s="303">
        <f t="shared" si="58"/>
        <v>0</v>
      </c>
      <c r="R63" s="246"/>
      <c r="S63" s="246"/>
      <c r="T63" s="303" t="e">
        <f t="shared" si="59"/>
        <v>#DIV/0!</v>
      </c>
      <c r="U63" s="246"/>
      <c r="V63" s="246"/>
      <c r="W63" s="303" t="e">
        <f t="shared" si="60"/>
        <v>#DIV/0!</v>
      </c>
      <c r="X63" s="246"/>
      <c r="Y63" s="246"/>
      <c r="Z63" s="303" t="e">
        <f t="shared" si="61"/>
        <v>#DIV/0!</v>
      </c>
      <c r="AA63" s="246"/>
      <c r="AB63" s="246"/>
      <c r="AC63" s="303" t="e">
        <f t="shared" si="62"/>
        <v>#DIV/0!</v>
      </c>
      <c r="AD63" s="246"/>
      <c r="AE63" s="246"/>
      <c r="AF63" s="303" t="e">
        <f t="shared" si="63"/>
        <v>#DIV/0!</v>
      </c>
      <c r="AG63" s="246"/>
      <c r="AH63" s="304"/>
      <c r="AI63" s="303" t="e">
        <f t="shared" si="64"/>
        <v>#DIV/0!</v>
      </c>
      <c r="AJ63" s="246"/>
      <c r="AK63" s="304"/>
      <c r="AL63" s="582" t="e">
        <f t="shared" si="65"/>
        <v>#DIV/0!</v>
      </c>
      <c r="AM63" s="246"/>
      <c r="AN63" s="590"/>
      <c r="AO63" s="310" t="e">
        <f t="shared" si="66"/>
        <v>#DIV/0!</v>
      </c>
      <c r="AP63" s="311"/>
      <c r="AQ63" s="311"/>
      <c r="AR63" s="312"/>
      <c r="AS63" s="292"/>
      <c r="AT63" s="293"/>
      <c r="AU63" s="292"/>
      <c r="AV63" s="292"/>
      <c r="AW63" s="294"/>
    </row>
    <row r="64" spans="1:49" s="273" customFormat="1" ht="16.5" hidden="1" customHeight="1" outlineLevel="1" x14ac:dyDescent="0.25">
      <c r="A64" s="330" t="s">
        <v>1105</v>
      </c>
      <c r="B64" s="329">
        <v>0</v>
      </c>
      <c r="C64" s="329">
        <f t="shared" si="43"/>
        <v>0</v>
      </c>
      <c r="D64" s="329">
        <f t="shared" si="54"/>
        <v>0</v>
      </c>
      <c r="E64" s="331">
        <f t="shared" si="53"/>
        <v>1</v>
      </c>
      <c r="F64" s="106">
        <v>2</v>
      </c>
      <c r="G64" s="304"/>
      <c r="H64" s="303">
        <f t="shared" si="55"/>
        <v>0</v>
      </c>
      <c r="I64" s="246">
        <v>6</v>
      </c>
      <c r="J64" s="246"/>
      <c r="K64" s="303">
        <f t="shared" si="56"/>
        <v>0</v>
      </c>
      <c r="L64" s="246">
        <v>1</v>
      </c>
      <c r="M64" s="246">
        <v>1</v>
      </c>
      <c r="N64" s="303">
        <f t="shared" si="57"/>
        <v>1</v>
      </c>
      <c r="O64" s="246">
        <v>1</v>
      </c>
      <c r="P64" s="246"/>
      <c r="Q64" s="303">
        <f t="shared" si="58"/>
        <v>0</v>
      </c>
      <c r="R64" s="246"/>
      <c r="S64" s="246"/>
      <c r="T64" s="303" t="e">
        <f t="shared" si="59"/>
        <v>#DIV/0!</v>
      </c>
      <c r="U64" s="246"/>
      <c r="V64" s="246"/>
      <c r="W64" s="303" t="e">
        <f t="shared" si="60"/>
        <v>#DIV/0!</v>
      </c>
      <c r="X64" s="246"/>
      <c r="Y64" s="246"/>
      <c r="Z64" s="303" t="e">
        <f t="shared" si="61"/>
        <v>#DIV/0!</v>
      </c>
      <c r="AA64" s="246"/>
      <c r="AB64" s="246"/>
      <c r="AC64" s="303" t="e">
        <f t="shared" si="62"/>
        <v>#DIV/0!</v>
      </c>
      <c r="AD64" s="246"/>
      <c r="AE64" s="246"/>
      <c r="AF64" s="303" t="e">
        <f t="shared" si="63"/>
        <v>#DIV/0!</v>
      </c>
      <c r="AG64" s="246"/>
      <c r="AH64" s="304"/>
      <c r="AI64" s="303" t="e">
        <f t="shared" si="64"/>
        <v>#DIV/0!</v>
      </c>
      <c r="AJ64" s="246"/>
      <c r="AK64" s="304"/>
      <c r="AL64" s="582" t="e">
        <f t="shared" si="65"/>
        <v>#DIV/0!</v>
      </c>
      <c r="AM64" s="246"/>
      <c r="AN64" s="590"/>
      <c r="AO64" s="310" t="e">
        <f t="shared" si="66"/>
        <v>#DIV/0!</v>
      </c>
      <c r="AP64" s="311"/>
      <c r="AQ64" s="311"/>
      <c r="AR64" s="312"/>
      <c r="AS64" s="292"/>
      <c r="AT64" s="293"/>
      <c r="AU64" s="292"/>
      <c r="AV64" s="292"/>
      <c r="AW64" s="294"/>
    </row>
    <row r="65" spans="1:49" s="499" customFormat="1" ht="16.5" customHeight="1" collapsed="1" x14ac:dyDescent="0.25">
      <c r="A65" s="295" t="s">
        <v>1059</v>
      </c>
      <c r="B65" s="297">
        <v>0.1</v>
      </c>
      <c r="C65" s="297">
        <f t="shared" si="43"/>
        <v>0.05</v>
      </c>
      <c r="D65" s="297">
        <f t="shared" si="54"/>
        <v>0</v>
      </c>
      <c r="E65" s="375">
        <f t="shared" si="53"/>
        <v>1</v>
      </c>
      <c r="F65" s="384">
        <f>SUM(F66:F67)</f>
        <v>6</v>
      </c>
      <c r="G65" s="508">
        <f>SUM(G66:G67)</f>
        <v>0</v>
      </c>
      <c r="H65" s="506">
        <f t="shared" si="55"/>
        <v>0</v>
      </c>
      <c r="I65" s="501">
        <f>SUM(I66:I67)</f>
        <v>6</v>
      </c>
      <c r="J65" s="501">
        <f>SUM(J66:J67)</f>
        <v>0</v>
      </c>
      <c r="K65" s="506">
        <f t="shared" si="56"/>
        <v>0</v>
      </c>
      <c r="L65" s="501">
        <v>6</v>
      </c>
      <c r="M65" s="501">
        <f>SUM(M66:M67)</f>
        <v>0</v>
      </c>
      <c r="N65" s="506">
        <f t="shared" si="57"/>
        <v>0</v>
      </c>
      <c r="O65" s="501">
        <v>6</v>
      </c>
      <c r="P65" s="501">
        <f>SUM(P66:P67)</f>
        <v>0</v>
      </c>
      <c r="Q65" s="506">
        <f t="shared" si="58"/>
        <v>0</v>
      </c>
      <c r="R65" s="501">
        <f>SUM(R66:R67)</f>
        <v>0</v>
      </c>
      <c r="S65" s="501">
        <f>SUM(S66:S67)</f>
        <v>0</v>
      </c>
      <c r="T65" s="506" t="e">
        <f t="shared" si="59"/>
        <v>#DIV/0!</v>
      </c>
      <c r="U65" s="501">
        <f>SUM(U66:U67)</f>
        <v>0</v>
      </c>
      <c r="V65" s="501">
        <f>SUM(V66:V67)</f>
        <v>0</v>
      </c>
      <c r="W65" s="506" t="e">
        <f t="shared" si="60"/>
        <v>#DIV/0!</v>
      </c>
      <c r="X65" s="501">
        <f>SUM(X66:X67)</f>
        <v>0</v>
      </c>
      <c r="Y65" s="501">
        <f>SUM(Y66:Y67)</f>
        <v>0</v>
      </c>
      <c r="Z65" s="506" t="e">
        <f t="shared" si="61"/>
        <v>#DIV/0!</v>
      </c>
      <c r="AA65" s="501">
        <f>SUM(AA66:AA67)</f>
        <v>0</v>
      </c>
      <c r="AB65" s="501">
        <f>SUM(AB66:AB67)</f>
        <v>0</v>
      </c>
      <c r="AC65" s="506" t="e">
        <f t="shared" si="62"/>
        <v>#DIV/0!</v>
      </c>
      <c r="AD65" s="501">
        <f>SUM(AD66:AD67)</f>
        <v>0</v>
      </c>
      <c r="AE65" s="501">
        <f>SUM(AE66:AE67)</f>
        <v>0</v>
      </c>
      <c r="AF65" s="506" t="e">
        <f t="shared" si="63"/>
        <v>#DIV/0!</v>
      </c>
      <c r="AG65" s="501">
        <f>SUM(AG66:AG67)</f>
        <v>0</v>
      </c>
      <c r="AH65" s="483">
        <f>SUM(AH66:AH67)</f>
        <v>0</v>
      </c>
      <c r="AI65" s="506" t="e">
        <f t="shared" si="64"/>
        <v>#DIV/0!</v>
      </c>
      <c r="AJ65" s="501">
        <f>SUM(AJ66:AJ67)</f>
        <v>0</v>
      </c>
      <c r="AK65" s="483">
        <f>SUM(AK66:AK67)</f>
        <v>0</v>
      </c>
      <c r="AL65" s="581" t="e">
        <f t="shared" si="65"/>
        <v>#DIV/0!</v>
      </c>
      <c r="AM65" s="501">
        <f>SUM(AM66:AM67)</f>
        <v>0</v>
      </c>
      <c r="AN65" s="589">
        <f>SUM(AN66:AN67)</f>
        <v>0</v>
      </c>
      <c r="AO65" s="507" t="e">
        <f t="shared" si="66"/>
        <v>#DIV/0!</v>
      </c>
      <c r="AP65" s="494">
        <f>AVERAGE(F65,I65,L65,O65,R65,U65,X65,AA65,AD65,AG65,AJ65,AM65)</f>
        <v>2</v>
      </c>
      <c r="AQ65" s="494">
        <f>SUM(G65,J65,M65,P65,S65,V65,Y65,AB65,AE65,AH65,AK65,AN65)</f>
        <v>0</v>
      </c>
      <c r="AR65" s="495">
        <f>AQ65/AP65</f>
        <v>0</v>
      </c>
      <c r="AS65" s="496"/>
      <c r="AT65" s="497"/>
      <c r="AU65" s="496"/>
      <c r="AV65" s="496"/>
      <c r="AW65" s="498"/>
    </row>
    <row r="66" spans="1:49" s="273" customFormat="1" ht="16.5" hidden="1" customHeight="1" outlineLevel="1" x14ac:dyDescent="0.25">
      <c r="A66" s="330" t="s">
        <v>1078</v>
      </c>
      <c r="B66" s="329">
        <v>0</v>
      </c>
      <c r="C66" s="329">
        <f t="shared" si="43"/>
        <v>0</v>
      </c>
      <c r="D66" s="329">
        <f>AR66</f>
        <v>0</v>
      </c>
      <c r="E66" s="331">
        <v>0.03</v>
      </c>
      <c r="F66" s="106">
        <v>4</v>
      </c>
      <c r="G66" s="106"/>
      <c r="H66" s="303">
        <f t="shared" si="55"/>
        <v>0</v>
      </c>
      <c r="I66" s="246">
        <v>4</v>
      </c>
      <c r="J66" s="246"/>
      <c r="K66" s="303">
        <f t="shared" si="56"/>
        <v>0</v>
      </c>
      <c r="L66" s="246">
        <v>4</v>
      </c>
      <c r="M66" s="246"/>
      <c r="N66" s="303">
        <f t="shared" si="57"/>
        <v>0</v>
      </c>
      <c r="O66" s="246">
        <v>4</v>
      </c>
      <c r="P66" s="246"/>
      <c r="Q66" s="303">
        <f t="shared" si="58"/>
        <v>0</v>
      </c>
      <c r="R66" s="246"/>
      <c r="S66" s="246"/>
      <c r="T66" s="303" t="e">
        <f t="shared" si="59"/>
        <v>#DIV/0!</v>
      </c>
      <c r="U66" s="246"/>
      <c r="V66" s="246"/>
      <c r="W66" s="303" t="e">
        <f t="shared" si="60"/>
        <v>#DIV/0!</v>
      </c>
      <c r="X66" s="246"/>
      <c r="Y66" s="246"/>
      <c r="Z66" s="303" t="e">
        <f t="shared" si="61"/>
        <v>#DIV/0!</v>
      </c>
      <c r="AA66" s="246"/>
      <c r="AB66" s="246"/>
      <c r="AC66" s="303" t="e">
        <f t="shared" si="62"/>
        <v>#DIV/0!</v>
      </c>
      <c r="AD66" s="246"/>
      <c r="AE66" s="246"/>
      <c r="AF66" s="303" t="e">
        <f t="shared" si="63"/>
        <v>#DIV/0!</v>
      </c>
      <c r="AG66" s="246"/>
      <c r="AH66" s="304"/>
      <c r="AI66" s="303" t="e">
        <f t="shared" si="64"/>
        <v>#DIV/0!</v>
      </c>
      <c r="AJ66" s="246"/>
      <c r="AK66" s="304"/>
      <c r="AL66" s="582" t="e">
        <f t="shared" si="65"/>
        <v>#DIV/0!</v>
      </c>
      <c r="AM66" s="246"/>
      <c r="AN66" s="590"/>
      <c r="AO66" s="310" t="e">
        <f t="shared" si="66"/>
        <v>#DIV/0!</v>
      </c>
      <c r="AP66" s="311">
        <f>AVERAGE(F66,I66,L66,O66,R66,U66,X66,AA66,AD66,AG66,AJ66,AM66)</f>
        <v>4</v>
      </c>
      <c r="AQ66" s="311">
        <f>SUM(G66,J66,M66,P66,S66,V66,Y66,AB66,AE66,AH66,AK66,AN66)</f>
        <v>0</v>
      </c>
      <c r="AR66" s="312">
        <f>AQ66/AP66</f>
        <v>0</v>
      </c>
      <c r="AS66" s="292"/>
      <c r="AT66" s="293"/>
      <c r="AU66" s="292"/>
      <c r="AV66" s="292"/>
      <c r="AW66" s="294"/>
    </row>
    <row r="67" spans="1:49" s="273" customFormat="1" ht="16.5" hidden="1" customHeight="1" outlineLevel="1" x14ac:dyDescent="0.25">
      <c r="A67" s="330" t="s">
        <v>1109</v>
      </c>
      <c r="B67" s="329">
        <v>0</v>
      </c>
      <c r="C67" s="329">
        <f t="shared" si="43"/>
        <v>0</v>
      </c>
      <c r="D67" s="329">
        <f t="shared" si="54"/>
        <v>0</v>
      </c>
      <c r="E67" s="331">
        <v>0.03</v>
      </c>
      <c r="F67" s="106">
        <v>2</v>
      </c>
      <c r="G67" s="106"/>
      <c r="H67" s="303">
        <f t="shared" si="55"/>
        <v>0</v>
      </c>
      <c r="I67" s="246">
        <v>2</v>
      </c>
      <c r="J67" s="246"/>
      <c r="K67" s="303">
        <f t="shared" si="56"/>
        <v>0</v>
      </c>
      <c r="L67" s="246">
        <v>2</v>
      </c>
      <c r="M67" s="246"/>
      <c r="N67" s="303">
        <f t="shared" si="57"/>
        <v>0</v>
      </c>
      <c r="O67" s="246">
        <v>2</v>
      </c>
      <c r="P67" s="246"/>
      <c r="Q67" s="303">
        <f t="shared" si="58"/>
        <v>0</v>
      </c>
      <c r="R67" s="246"/>
      <c r="S67" s="246"/>
      <c r="T67" s="303" t="e">
        <f t="shared" si="59"/>
        <v>#DIV/0!</v>
      </c>
      <c r="U67" s="246"/>
      <c r="V67" s="246"/>
      <c r="W67" s="303" t="e">
        <f t="shared" si="60"/>
        <v>#DIV/0!</v>
      </c>
      <c r="X67" s="246"/>
      <c r="Y67" s="246"/>
      <c r="Z67" s="303" t="e">
        <f t="shared" si="61"/>
        <v>#DIV/0!</v>
      </c>
      <c r="AA67" s="246"/>
      <c r="AB67" s="246"/>
      <c r="AC67" s="303" t="e">
        <f t="shared" si="62"/>
        <v>#DIV/0!</v>
      </c>
      <c r="AD67" s="246"/>
      <c r="AE67" s="246"/>
      <c r="AF67" s="303" t="e">
        <f t="shared" si="63"/>
        <v>#DIV/0!</v>
      </c>
      <c r="AG67" s="246"/>
      <c r="AH67" s="304"/>
      <c r="AI67" s="303" t="e">
        <f t="shared" si="64"/>
        <v>#DIV/0!</v>
      </c>
      <c r="AJ67" s="246"/>
      <c r="AK67" s="304"/>
      <c r="AL67" s="582" t="e">
        <f t="shared" si="65"/>
        <v>#DIV/0!</v>
      </c>
      <c r="AM67" s="246"/>
      <c r="AN67" s="590"/>
      <c r="AO67" s="310" t="e">
        <f t="shared" si="66"/>
        <v>#DIV/0!</v>
      </c>
      <c r="AP67" s="311"/>
      <c r="AQ67" s="311"/>
      <c r="AR67" s="312"/>
      <c r="AS67" s="292"/>
      <c r="AT67" s="293"/>
      <c r="AU67" s="292"/>
      <c r="AV67" s="292"/>
      <c r="AW67" s="294"/>
    </row>
    <row r="68" spans="1:49" s="499" customFormat="1" ht="16.5" customHeight="1" collapsed="1" x14ac:dyDescent="0.25">
      <c r="A68" s="295" t="s">
        <v>819</v>
      </c>
      <c r="B68" s="296">
        <v>0.12</v>
      </c>
      <c r="C68" s="297">
        <f t="shared" si="43"/>
        <v>0.06</v>
      </c>
      <c r="D68" s="297">
        <f t="shared" ref="D68:D73" si="67">AR68</f>
        <v>0.27692307692307688</v>
      </c>
      <c r="E68" s="305">
        <f t="shared" ref="E68:E73" si="68">IF(D68&gt;0%,C68/D68,100%)</f>
        <v>0.2166666666666667</v>
      </c>
      <c r="F68" s="384">
        <f>SUM(F69:F72)</f>
        <v>36</v>
      </c>
      <c r="G68" s="483">
        <f>SUM(G69:G72)</f>
        <v>0</v>
      </c>
      <c r="H68" s="486">
        <f>G68/F68</f>
        <v>0</v>
      </c>
      <c r="I68" s="485">
        <v>30</v>
      </c>
      <c r="J68" s="485">
        <f>SUM(J69:J72)</f>
        <v>3</v>
      </c>
      <c r="K68" s="486">
        <f>J68/I68</f>
        <v>0.1</v>
      </c>
      <c r="L68" s="485">
        <v>32</v>
      </c>
      <c r="M68" s="485">
        <f>SUM(M69:M72)</f>
        <v>0</v>
      </c>
      <c r="N68" s="486">
        <f t="shared" ref="N68:N73" si="69">M68/L68</f>
        <v>0</v>
      </c>
      <c r="O68" s="485">
        <v>32</v>
      </c>
      <c r="P68" s="485">
        <f>SUM(P69:P72)</f>
        <v>0</v>
      </c>
      <c r="Q68" s="487">
        <f>P68/O68</f>
        <v>0</v>
      </c>
      <c r="R68" s="485">
        <f>SUM(R69:R72)</f>
        <v>0</v>
      </c>
      <c r="S68" s="485">
        <f>SUM(S69:S72)</f>
        <v>0</v>
      </c>
      <c r="T68" s="487" t="e">
        <f>S68/R68</f>
        <v>#DIV/0!</v>
      </c>
      <c r="U68" s="485">
        <f>SUM(U69:U72)</f>
        <v>0</v>
      </c>
      <c r="V68" s="485">
        <f>SUM(V69:V72)</f>
        <v>0</v>
      </c>
      <c r="W68" s="487" t="e">
        <f>V68/U68</f>
        <v>#DIV/0!</v>
      </c>
      <c r="X68" s="485">
        <f>SUM(X69:X72)</f>
        <v>0</v>
      </c>
      <c r="Y68" s="485">
        <f>SUM(Y69:Y72)</f>
        <v>0</v>
      </c>
      <c r="Z68" s="487" t="e">
        <f>Y68/X68</f>
        <v>#DIV/0!</v>
      </c>
      <c r="AA68" s="485">
        <f>SUM(AA69:AA72)</f>
        <v>0</v>
      </c>
      <c r="AB68" s="485">
        <f>SUM(AB69:AB72)</f>
        <v>0</v>
      </c>
      <c r="AC68" s="487" t="e">
        <f>AB68/AA68</f>
        <v>#DIV/0!</v>
      </c>
      <c r="AD68" s="485">
        <f>SUM(AD69:AD72)</f>
        <v>0</v>
      </c>
      <c r="AE68" s="485">
        <f>SUM(AE69:AE72)</f>
        <v>0</v>
      </c>
      <c r="AF68" s="509" t="e">
        <f>AE68/AD68</f>
        <v>#DIV/0!</v>
      </c>
      <c r="AG68" s="485">
        <f>SUM(AG69:AG72)</f>
        <v>0</v>
      </c>
      <c r="AH68" s="489">
        <f>SUM(AH69:AH72)</f>
        <v>0</v>
      </c>
      <c r="AI68" s="490" t="e">
        <f>AH68/AG68</f>
        <v>#DIV/0!</v>
      </c>
      <c r="AJ68" s="491">
        <f>SUM(AJ69:AJ72)</f>
        <v>0</v>
      </c>
      <c r="AK68" s="492">
        <f>SUM(AK69:AK72)</f>
        <v>0</v>
      </c>
      <c r="AL68" s="509" t="e">
        <f>AK68/AJ68</f>
        <v>#DIV/0!</v>
      </c>
      <c r="AM68" s="501">
        <f>SUM(AM69:AM72)</f>
        <v>0</v>
      </c>
      <c r="AN68" s="588">
        <f>SUM(AN69:AN72)</f>
        <v>0</v>
      </c>
      <c r="AO68" s="493" t="e">
        <f>AN68/AM68</f>
        <v>#DIV/0!</v>
      </c>
      <c r="AP68" s="494">
        <f t="shared" ref="AP68:AP75" si="70">AVERAGE(F68,I68,L68,O68,R68,U68,X68,AA68,AD68,AG68,AJ68,AM68)</f>
        <v>10.833333333333334</v>
      </c>
      <c r="AQ68" s="494">
        <f>SUM(G68,J68,M68,P68,S68,V68,Y68,AB68,AE68,AH68,AK68,AN68)</f>
        <v>3</v>
      </c>
      <c r="AR68" s="495">
        <f>AQ68/AP68</f>
        <v>0.27692307692307688</v>
      </c>
      <c r="AS68" s="496"/>
      <c r="AT68" s="497"/>
      <c r="AU68" s="496"/>
      <c r="AV68" s="496"/>
      <c r="AW68" s="498"/>
    </row>
    <row r="69" spans="1:49" s="273" customFormat="1" ht="16.5" hidden="1" customHeight="1" outlineLevel="1" x14ac:dyDescent="0.25">
      <c r="A69" s="330" t="s">
        <v>899</v>
      </c>
      <c r="B69" s="340">
        <v>0.05</v>
      </c>
      <c r="C69" s="332">
        <f t="shared" si="43"/>
        <v>2.5000000000000001E-2</v>
      </c>
      <c r="D69" s="329">
        <f t="shared" si="67"/>
        <v>0</v>
      </c>
      <c r="E69" s="335">
        <f t="shared" si="68"/>
        <v>1</v>
      </c>
      <c r="F69" s="106">
        <v>11</v>
      </c>
      <c r="G69" s="304"/>
      <c r="H69" s="325">
        <f>G69/F69</f>
        <v>0</v>
      </c>
      <c r="I69" s="324">
        <v>11</v>
      </c>
      <c r="J69" s="324"/>
      <c r="K69" s="325">
        <f>J69/I69</f>
        <v>0</v>
      </c>
      <c r="L69" s="324">
        <v>12</v>
      </c>
      <c r="M69" s="324"/>
      <c r="N69" s="325">
        <f t="shared" si="69"/>
        <v>0</v>
      </c>
      <c r="O69" s="324">
        <v>13</v>
      </c>
      <c r="P69" s="324"/>
      <c r="Q69" s="301">
        <f>P69/O69</f>
        <v>0</v>
      </c>
      <c r="R69" s="324"/>
      <c r="S69" s="324"/>
      <c r="T69" s="301" t="e">
        <f>S69/R69</f>
        <v>#DIV/0!</v>
      </c>
      <c r="U69" s="324"/>
      <c r="V69" s="324"/>
      <c r="W69" s="301" t="e">
        <f>V69/U69</f>
        <v>#DIV/0!</v>
      </c>
      <c r="X69" s="324"/>
      <c r="Y69" s="324"/>
      <c r="Z69" s="301" t="e">
        <f>Y69/X69</f>
        <v>#DIV/0!</v>
      </c>
      <c r="AA69" s="324"/>
      <c r="AB69" s="324"/>
      <c r="AC69" s="301" t="e">
        <f>AB69/AA69</f>
        <v>#DIV/0!</v>
      </c>
      <c r="AD69" s="324"/>
      <c r="AE69" s="324"/>
      <c r="AF69" s="318" t="e">
        <f>AE69/AD69</f>
        <v>#DIV/0!</v>
      </c>
      <c r="AG69" s="324"/>
      <c r="AH69" s="326"/>
      <c r="AI69" s="319" t="e">
        <f>AH69/AG69</f>
        <v>#DIV/0!</v>
      </c>
      <c r="AJ69" s="104"/>
      <c r="AK69" s="306"/>
      <c r="AL69" s="318" t="e">
        <f>AK69/AJ69</f>
        <v>#DIV/0!</v>
      </c>
      <c r="AM69" s="246"/>
      <c r="AN69" s="585"/>
      <c r="AO69" s="307" t="e">
        <f>AN69/AM69</f>
        <v>#DIV/0!</v>
      </c>
      <c r="AP69" s="311">
        <f t="shared" si="70"/>
        <v>11.75</v>
      </c>
      <c r="AQ69" s="311">
        <f>SUM(G69,J69,M69,P69,S69,V69,Y69,AB69,AE69,AH69,AK69,AN69)</f>
        <v>0</v>
      </c>
      <c r="AR69" s="312">
        <f>AQ69/AP69</f>
        <v>0</v>
      </c>
      <c r="AS69" s="292"/>
      <c r="AT69" s="293"/>
      <c r="AU69" s="292"/>
      <c r="AV69" s="292"/>
      <c r="AW69" s="294"/>
    </row>
    <row r="70" spans="1:49" s="273" customFormat="1" ht="16.5" hidden="1" customHeight="1" outlineLevel="1" x14ac:dyDescent="0.25">
      <c r="A70" s="330" t="s">
        <v>1020</v>
      </c>
      <c r="B70" s="340">
        <v>0.1</v>
      </c>
      <c r="C70" s="332">
        <f t="shared" si="43"/>
        <v>0.05</v>
      </c>
      <c r="D70" s="329">
        <f t="shared" si="67"/>
        <v>0.19047619047619047</v>
      </c>
      <c r="E70" s="335">
        <f t="shared" si="68"/>
        <v>0.26250000000000001</v>
      </c>
      <c r="F70" s="106">
        <v>13</v>
      </c>
      <c r="G70" s="304"/>
      <c r="H70" s="325">
        <f>G70/F70</f>
        <v>0</v>
      </c>
      <c r="I70" s="324">
        <v>9</v>
      </c>
      <c r="J70" s="324">
        <v>2</v>
      </c>
      <c r="K70" s="325">
        <f>J70/I70</f>
        <v>0.22222222222222221</v>
      </c>
      <c r="L70" s="324">
        <v>10</v>
      </c>
      <c r="M70" s="324"/>
      <c r="N70" s="325">
        <f t="shared" si="69"/>
        <v>0</v>
      </c>
      <c r="O70" s="324">
        <v>10</v>
      </c>
      <c r="P70" s="324"/>
      <c r="Q70" s="301">
        <f>P70/O70</f>
        <v>0</v>
      </c>
      <c r="R70" s="324"/>
      <c r="S70" s="324"/>
      <c r="T70" s="301" t="e">
        <f>S70/R70</f>
        <v>#DIV/0!</v>
      </c>
      <c r="U70" s="324"/>
      <c r="V70" s="324"/>
      <c r="W70" s="301" t="e">
        <f>V70/U70</f>
        <v>#DIV/0!</v>
      </c>
      <c r="X70" s="324"/>
      <c r="Y70" s="324"/>
      <c r="Z70" s="301" t="e">
        <f>Y70/X70</f>
        <v>#DIV/0!</v>
      </c>
      <c r="AA70" s="324"/>
      <c r="AB70" s="324"/>
      <c r="AC70" s="301" t="e">
        <f>AB70/AA70</f>
        <v>#DIV/0!</v>
      </c>
      <c r="AD70" s="324"/>
      <c r="AE70" s="324"/>
      <c r="AF70" s="318" t="e">
        <f>AE70/AD70</f>
        <v>#DIV/0!</v>
      </c>
      <c r="AG70" s="324"/>
      <c r="AH70" s="326"/>
      <c r="AI70" s="319" t="e">
        <f>AH70/AG70</f>
        <v>#DIV/0!</v>
      </c>
      <c r="AJ70" s="104"/>
      <c r="AK70" s="306"/>
      <c r="AL70" s="318" t="e">
        <f>AK70/AJ70</f>
        <v>#DIV/0!</v>
      </c>
      <c r="AM70" s="246"/>
      <c r="AN70" s="585"/>
      <c r="AO70" s="307" t="e">
        <f>AN70/AM70</f>
        <v>#DIV/0!</v>
      </c>
      <c r="AP70" s="311">
        <f t="shared" si="70"/>
        <v>10.5</v>
      </c>
      <c r="AQ70" s="311">
        <f>SUM(G70,J70,M70,P70,S70,V70,Y70,AB70,AE70,AH70,AK70,AN70)</f>
        <v>2</v>
      </c>
      <c r="AR70" s="312">
        <f>AQ70/AP70</f>
        <v>0.19047619047619047</v>
      </c>
      <c r="AS70" s="292"/>
      <c r="AT70" s="293"/>
      <c r="AU70" s="292"/>
      <c r="AV70" s="292"/>
      <c r="AW70" s="294"/>
    </row>
    <row r="71" spans="1:49" s="273" customFormat="1" ht="16.5" hidden="1" customHeight="1" outlineLevel="1" x14ac:dyDescent="0.25">
      <c r="A71" s="330" t="s">
        <v>1118</v>
      </c>
      <c r="B71" s="340">
        <v>0</v>
      </c>
      <c r="C71" s="332">
        <f t="shared" ref="C71:C88" si="71">B71/12*$C$14</f>
        <v>0</v>
      </c>
      <c r="D71" s="329">
        <f t="shared" si="67"/>
        <v>0.8</v>
      </c>
      <c r="E71" s="335">
        <f t="shared" si="68"/>
        <v>0</v>
      </c>
      <c r="F71" s="106">
        <v>2</v>
      </c>
      <c r="G71" s="304"/>
      <c r="H71" s="325">
        <f>G71/F71</f>
        <v>0</v>
      </c>
      <c r="I71" s="324">
        <v>1</v>
      </c>
      <c r="J71" s="324">
        <v>1</v>
      </c>
      <c r="K71" s="325">
        <f>J71/I71</f>
        <v>1</v>
      </c>
      <c r="L71" s="324">
        <v>1</v>
      </c>
      <c r="M71" s="324"/>
      <c r="N71" s="325">
        <f t="shared" si="69"/>
        <v>0</v>
      </c>
      <c r="O71" s="324">
        <v>1</v>
      </c>
      <c r="P71" s="324"/>
      <c r="Q71" s="301">
        <f>P71/O71</f>
        <v>0</v>
      </c>
      <c r="R71" s="324"/>
      <c r="S71" s="324"/>
      <c r="T71" s="301" t="e">
        <f>S71/R71</f>
        <v>#DIV/0!</v>
      </c>
      <c r="U71" s="324"/>
      <c r="V71" s="324"/>
      <c r="W71" s="301" t="e">
        <f>V71/U71</f>
        <v>#DIV/0!</v>
      </c>
      <c r="X71" s="324"/>
      <c r="Y71" s="324"/>
      <c r="Z71" s="301" t="e">
        <f>Y71/X71</f>
        <v>#DIV/0!</v>
      </c>
      <c r="AA71" s="324"/>
      <c r="AB71" s="324"/>
      <c r="AC71" s="301" t="e">
        <f>AB71/AA71</f>
        <v>#DIV/0!</v>
      </c>
      <c r="AD71" s="324"/>
      <c r="AE71" s="324"/>
      <c r="AF71" s="318" t="e">
        <f>AE71/AD71</f>
        <v>#DIV/0!</v>
      </c>
      <c r="AG71" s="324"/>
      <c r="AH71" s="326"/>
      <c r="AI71" s="319" t="e">
        <f>AH71/AG71</f>
        <v>#DIV/0!</v>
      </c>
      <c r="AJ71" s="104"/>
      <c r="AK71" s="306"/>
      <c r="AL71" s="318" t="e">
        <f>AK71/AJ71</f>
        <v>#DIV/0!</v>
      </c>
      <c r="AM71" s="246"/>
      <c r="AN71" s="585"/>
      <c r="AO71" s="307" t="e">
        <f>AN71/AM71</f>
        <v>#DIV/0!</v>
      </c>
      <c r="AP71" s="311">
        <f t="shared" si="70"/>
        <v>1.25</v>
      </c>
      <c r="AQ71" s="311">
        <f>SUM(G71,J71,M71,P71,S71,V71,Y71,AB71,AE71,AH71,AK71,AN71)</f>
        <v>1</v>
      </c>
      <c r="AR71" s="312">
        <f>AQ71/AP71</f>
        <v>0.8</v>
      </c>
      <c r="AS71" s="292"/>
      <c r="AT71" s="293"/>
      <c r="AU71" s="292"/>
      <c r="AV71" s="292"/>
      <c r="AW71" s="294"/>
    </row>
    <row r="72" spans="1:49" s="273" customFormat="1" ht="16.5" hidden="1" customHeight="1" outlineLevel="1" x14ac:dyDescent="0.25">
      <c r="A72" s="330" t="s">
        <v>1075</v>
      </c>
      <c r="B72" s="329">
        <v>0.03</v>
      </c>
      <c r="C72" s="332">
        <f t="shared" si="71"/>
        <v>1.4999999999999999E-2</v>
      </c>
      <c r="D72" s="329">
        <f t="shared" si="67"/>
        <v>0</v>
      </c>
      <c r="E72" s="335">
        <f t="shared" si="68"/>
        <v>1</v>
      </c>
      <c r="F72" s="106">
        <v>10</v>
      </c>
      <c r="G72" s="304"/>
      <c r="H72" s="325">
        <f>G72/F72</f>
        <v>0</v>
      </c>
      <c r="I72" s="324">
        <v>8</v>
      </c>
      <c r="J72" s="324"/>
      <c r="K72" s="325">
        <f>J72/I72</f>
        <v>0</v>
      </c>
      <c r="L72" s="324">
        <v>9</v>
      </c>
      <c r="M72" s="324"/>
      <c r="N72" s="325">
        <f t="shared" si="69"/>
        <v>0</v>
      </c>
      <c r="O72" s="324">
        <v>8</v>
      </c>
      <c r="P72" s="324"/>
      <c r="Q72" s="301">
        <f>P72/O72</f>
        <v>0</v>
      </c>
      <c r="R72" s="324"/>
      <c r="S72" s="324"/>
      <c r="T72" s="301" t="e">
        <f>S72/R72</f>
        <v>#DIV/0!</v>
      </c>
      <c r="U72" s="324"/>
      <c r="V72" s="324"/>
      <c r="W72" s="301" t="e">
        <f>V72/U72</f>
        <v>#DIV/0!</v>
      </c>
      <c r="X72" s="324"/>
      <c r="Y72" s="324"/>
      <c r="Z72" s="301" t="e">
        <f>Y72/X72</f>
        <v>#DIV/0!</v>
      </c>
      <c r="AA72" s="324"/>
      <c r="AB72" s="324"/>
      <c r="AC72" s="301" t="e">
        <f>AB72/AA72</f>
        <v>#DIV/0!</v>
      </c>
      <c r="AD72" s="324"/>
      <c r="AE72" s="324"/>
      <c r="AF72" s="318" t="e">
        <f>AE72/AD72</f>
        <v>#DIV/0!</v>
      </c>
      <c r="AG72" s="324"/>
      <c r="AH72" s="326"/>
      <c r="AI72" s="319" t="e">
        <f>AH72/AG72</f>
        <v>#DIV/0!</v>
      </c>
      <c r="AJ72" s="104"/>
      <c r="AK72" s="306"/>
      <c r="AL72" s="318" t="e">
        <f>AK72/AJ72</f>
        <v>#DIV/0!</v>
      </c>
      <c r="AM72" s="246"/>
      <c r="AN72" s="585"/>
      <c r="AO72" s="307" t="e">
        <f>AN72/AM72</f>
        <v>#DIV/0!</v>
      </c>
      <c r="AP72" s="311">
        <f t="shared" si="70"/>
        <v>8.75</v>
      </c>
      <c r="AQ72" s="311"/>
      <c r="AR72" s="312"/>
      <c r="AS72" s="292"/>
      <c r="AT72" s="293"/>
      <c r="AU72" s="292"/>
      <c r="AV72" s="292"/>
      <c r="AW72" s="294"/>
    </row>
    <row r="73" spans="1:49" s="527" customFormat="1" ht="17.25" customHeight="1" collapsed="1" x14ac:dyDescent="0.25">
      <c r="A73" s="356" t="s">
        <v>1104</v>
      </c>
      <c r="B73" s="357">
        <v>0.17</v>
      </c>
      <c r="C73" s="357">
        <f t="shared" si="71"/>
        <v>8.5000000000000006E-2</v>
      </c>
      <c r="D73" s="357">
        <f t="shared" si="67"/>
        <v>0.39779005524861877</v>
      </c>
      <c r="E73" s="358">
        <f t="shared" si="68"/>
        <v>0.21368055555555557</v>
      </c>
      <c r="F73" s="510">
        <f>SUM(F74+F80+F75+F76+F77+F78+F79+F85)</f>
        <v>53</v>
      </c>
      <c r="G73" s="511">
        <f>SUM(G74+G80+G75+G76+G77+G78+G79+G85)</f>
        <v>0</v>
      </c>
      <c r="H73" s="512">
        <f t="shared" si="25"/>
        <v>0</v>
      </c>
      <c r="I73" s="513">
        <f>SUM(I74+I80+I75+I76+I77+I78+I79+I85)</f>
        <v>50</v>
      </c>
      <c r="J73" s="513">
        <f>SUM(J74+J80+J75+J76+J77+J78+J79+J85)</f>
        <v>4</v>
      </c>
      <c r="K73" s="514">
        <f t="shared" si="26"/>
        <v>0.08</v>
      </c>
      <c r="L73" s="513">
        <v>38</v>
      </c>
      <c r="M73" s="513">
        <f>SUM(M74+M80+M75+M76+M77+M78+M79+M85)</f>
        <v>0</v>
      </c>
      <c r="N73" s="514">
        <f t="shared" si="69"/>
        <v>0</v>
      </c>
      <c r="O73" s="513">
        <v>40</v>
      </c>
      <c r="P73" s="513">
        <f>SUM(P74+P80+P75+P76+P77+P78+P79+P85)</f>
        <v>2</v>
      </c>
      <c r="Q73" s="515">
        <f t="shared" si="27"/>
        <v>0.05</v>
      </c>
      <c r="R73" s="513">
        <f>SUM(R74+R80+R75+R76+R77+R78+R79+R85)</f>
        <v>0</v>
      </c>
      <c r="S73" s="513">
        <f>SUM(S74+S80+S75+S76+S77+S78+S79+S85)</f>
        <v>0</v>
      </c>
      <c r="T73" s="515" t="e">
        <f t="shared" si="28"/>
        <v>#DIV/0!</v>
      </c>
      <c r="U73" s="513">
        <f>SUM(U74+U80+U75+U76+U77+U78+U79+U85)</f>
        <v>0</v>
      </c>
      <c r="V73" s="513">
        <f>SUM(V74+V80+V75+V76+V77+V78+V79+V85)</f>
        <v>0</v>
      </c>
      <c r="W73" s="515" t="e">
        <f t="shared" si="29"/>
        <v>#DIV/0!</v>
      </c>
      <c r="X73" s="513">
        <f>SUM(X74+X80+X75+X76+X77+X78+X79+X85)</f>
        <v>0</v>
      </c>
      <c r="Y73" s="513">
        <f>SUM(Y74+Y80+Y75+Y76+Y77+Y78+Y79+Y85)</f>
        <v>0</v>
      </c>
      <c r="Z73" s="515" t="e">
        <f t="shared" si="30"/>
        <v>#DIV/0!</v>
      </c>
      <c r="AA73" s="513">
        <f>SUM(AA74+AA80+AA75+AA76+AA77+AA78+AA79+AA85)</f>
        <v>0</v>
      </c>
      <c r="AB73" s="513">
        <f>SUM(AB74+AB80+AB75+AB76+AB77+AB78+AB79+AB85)</f>
        <v>0</v>
      </c>
      <c r="AC73" s="515" t="e">
        <f t="shared" si="31"/>
        <v>#DIV/0!</v>
      </c>
      <c r="AD73" s="513">
        <f>SUM(AD74+AD80+AD75+AD76+AD77+AD78+AD79+AD85)</f>
        <v>0</v>
      </c>
      <c r="AE73" s="513">
        <f>SUM(AE74+AE80+AE75+AE76+AE77+AE78+AE79+AE85)</f>
        <v>0</v>
      </c>
      <c r="AF73" s="516" t="e">
        <f t="shared" ref="AF73:AF95" si="72">AE73/AD73</f>
        <v>#DIV/0!</v>
      </c>
      <c r="AG73" s="513">
        <f>SUM(AG74+AG80+AG75+AG76+AG77+AG78+AG79+AG85)</f>
        <v>0</v>
      </c>
      <c r="AH73" s="517">
        <f>SUM(AH74+AH80+AH75+AH76+AH77+AH78+AH79+AH85)</f>
        <v>0</v>
      </c>
      <c r="AI73" s="518" t="e">
        <f t="shared" si="32"/>
        <v>#DIV/0!</v>
      </c>
      <c r="AJ73" s="519">
        <f>SUM(AJ74+AJ80+AJ75+AJ76+AJ77+AJ78+AJ79+AJ85)</f>
        <v>0</v>
      </c>
      <c r="AK73" s="520">
        <f>SUM(AK74+AK80+AK75+AK76+AK77+AK78+AK79+AK85)</f>
        <v>0</v>
      </c>
      <c r="AL73" s="516" t="e">
        <f t="shared" si="33"/>
        <v>#DIV/0!</v>
      </c>
      <c r="AM73" s="597">
        <f>SUM(AM74+AM80+AM75+AM76+AM77+AM78+AM79+AM85)</f>
        <v>0</v>
      </c>
      <c r="AN73" s="591">
        <f>SUM(AN74+AN80+AN75+AN76+AN77+AN78+AN79+AN85)</f>
        <v>0</v>
      </c>
      <c r="AO73" s="521" t="e">
        <f t="shared" si="34"/>
        <v>#DIV/0!</v>
      </c>
      <c r="AP73" s="522">
        <f t="shared" si="70"/>
        <v>15.083333333333334</v>
      </c>
      <c r="AQ73" s="522">
        <f>SUM(G73,J73,M73,P73,S73,V73,Y73,AB73,AE73,AH73,AK73,AN73)</f>
        <v>6</v>
      </c>
      <c r="AR73" s="523">
        <f>AQ73/AP73</f>
        <v>0.39779005524861877</v>
      </c>
      <c r="AS73" s="524"/>
      <c r="AT73" s="525"/>
      <c r="AU73" s="524"/>
      <c r="AV73" s="524"/>
      <c r="AW73" s="526"/>
    </row>
    <row r="74" spans="1:49" s="273" customFormat="1" ht="17.25" hidden="1" customHeight="1" outlineLevel="1" x14ac:dyDescent="0.25">
      <c r="A74" s="330" t="s">
        <v>1125</v>
      </c>
      <c r="B74" s="332">
        <v>0</v>
      </c>
      <c r="C74" s="332">
        <f t="shared" si="71"/>
        <v>0</v>
      </c>
      <c r="D74" s="329">
        <f t="shared" ref="D74:D84" si="73">AR74</f>
        <v>0</v>
      </c>
      <c r="E74" s="335">
        <f t="shared" ref="E74:E84" si="74">IF(D74&gt;0%,C74/D74,100%)</f>
        <v>1</v>
      </c>
      <c r="F74" s="106">
        <v>3</v>
      </c>
      <c r="G74" s="304"/>
      <c r="H74" s="350">
        <f t="shared" ref="H74:H80" si="75">G74/F74</f>
        <v>0</v>
      </c>
      <c r="I74" s="324">
        <v>3</v>
      </c>
      <c r="J74" s="324"/>
      <c r="K74" s="325">
        <f t="shared" ref="K74:K80" si="76">J74/I74</f>
        <v>0</v>
      </c>
      <c r="L74" s="324">
        <v>3</v>
      </c>
      <c r="M74" s="324"/>
      <c r="N74" s="325">
        <f t="shared" ref="N74:N80" si="77">M74/L74</f>
        <v>0</v>
      </c>
      <c r="O74" s="324">
        <v>2</v>
      </c>
      <c r="P74" s="324"/>
      <c r="Q74" s="301">
        <f t="shared" ref="Q74:Q80" si="78">P74/O74</f>
        <v>0</v>
      </c>
      <c r="R74" s="324"/>
      <c r="S74" s="324"/>
      <c r="T74" s="301" t="e">
        <f t="shared" ref="T74:T80" si="79">S74/R74</f>
        <v>#DIV/0!</v>
      </c>
      <c r="U74" s="324"/>
      <c r="V74" s="324"/>
      <c r="W74" s="301" t="e">
        <f t="shared" ref="W74:W80" si="80">V74/U74</f>
        <v>#DIV/0!</v>
      </c>
      <c r="X74" s="324"/>
      <c r="Y74" s="324"/>
      <c r="Z74" s="301" t="e">
        <f t="shared" ref="Z74:Z80" si="81">Y74/X74</f>
        <v>#DIV/0!</v>
      </c>
      <c r="AA74" s="324"/>
      <c r="AB74" s="324"/>
      <c r="AC74" s="301" t="e">
        <f t="shared" ref="AC74:AC80" si="82">AB74/AA74</f>
        <v>#DIV/0!</v>
      </c>
      <c r="AD74" s="324"/>
      <c r="AE74" s="324"/>
      <c r="AF74" s="318" t="e">
        <f t="shared" ref="AF74:AF80" si="83">AE74/AD74</f>
        <v>#DIV/0!</v>
      </c>
      <c r="AG74" s="324"/>
      <c r="AH74" s="326"/>
      <c r="AI74" s="319" t="e">
        <f t="shared" ref="AI74:AI80" si="84">AH74/AG74</f>
        <v>#DIV/0!</v>
      </c>
      <c r="AJ74" s="104"/>
      <c r="AK74" s="306"/>
      <c r="AL74" s="318" t="e">
        <f t="shared" ref="AL74:AL80" si="85">AK74/AJ74</f>
        <v>#DIV/0!</v>
      </c>
      <c r="AM74" s="246"/>
      <c r="AN74" s="585"/>
      <c r="AO74" s="307" t="e">
        <f t="shared" ref="AO74:AO80" si="86">AN74/AM74</f>
        <v>#DIV/0!</v>
      </c>
      <c r="AP74" s="311">
        <f t="shared" si="70"/>
        <v>2.75</v>
      </c>
      <c r="AQ74" s="311">
        <f>SUM(G74,J74,M74,P74,S74,V74,Y74,AB74,AE74,AH74,AK74,AN74)</f>
        <v>0</v>
      </c>
      <c r="AR74" s="312">
        <f>AQ74/AP74</f>
        <v>0</v>
      </c>
      <c r="AS74" s="292"/>
      <c r="AT74" s="293"/>
      <c r="AU74" s="292"/>
      <c r="AV74" s="292"/>
      <c r="AW74" s="294"/>
    </row>
    <row r="75" spans="1:49" s="273" customFormat="1" ht="17.25" hidden="1" customHeight="1" outlineLevel="1" x14ac:dyDescent="0.25">
      <c r="A75" s="330" t="s">
        <v>1081</v>
      </c>
      <c r="B75" s="332">
        <v>0.08</v>
      </c>
      <c r="C75" s="332">
        <f t="shared" si="71"/>
        <v>0.04</v>
      </c>
      <c r="D75" s="329">
        <f t="shared" ref="D75:D80" si="87">AR75</f>
        <v>0</v>
      </c>
      <c r="E75" s="335">
        <f t="shared" ref="E75:E80" si="88">IF(D75&gt;0%,C75/D75,100%)</f>
        <v>1</v>
      </c>
      <c r="F75" s="106">
        <v>3</v>
      </c>
      <c r="G75" s="304"/>
      <c r="H75" s="350">
        <f t="shared" si="75"/>
        <v>0</v>
      </c>
      <c r="I75" s="324">
        <v>3</v>
      </c>
      <c r="J75" s="324"/>
      <c r="K75" s="325">
        <f t="shared" si="76"/>
        <v>0</v>
      </c>
      <c r="L75" s="324">
        <v>3</v>
      </c>
      <c r="M75" s="324"/>
      <c r="N75" s="325">
        <f t="shared" si="77"/>
        <v>0</v>
      </c>
      <c r="O75" s="324">
        <v>3</v>
      </c>
      <c r="P75" s="324"/>
      <c r="Q75" s="301">
        <f t="shared" si="78"/>
        <v>0</v>
      </c>
      <c r="R75" s="324"/>
      <c r="S75" s="324"/>
      <c r="T75" s="301" t="e">
        <f t="shared" si="79"/>
        <v>#DIV/0!</v>
      </c>
      <c r="U75" s="324"/>
      <c r="V75" s="324"/>
      <c r="W75" s="301" t="e">
        <f t="shared" si="80"/>
        <v>#DIV/0!</v>
      </c>
      <c r="X75" s="324"/>
      <c r="Y75" s="324"/>
      <c r="Z75" s="301" t="e">
        <f t="shared" si="81"/>
        <v>#DIV/0!</v>
      </c>
      <c r="AA75" s="324"/>
      <c r="AB75" s="324"/>
      <c r="AC75" s="301" t="e">
        <f t="shared" si="82"/>
        <v>#DIV/0!</v>
      </c>
      <c r="AD75" s="324"/>
      <c r="AE75" s="324"/>
      <c r="AF75" s="318" t="e">
        <f t="shared" si="83"/>
        <v>#DIV/0!</v>
      </c>
      <c r="AG75" s="324"/>
      <c r="AH75" s="326"/>
      <c r="AI75" s="319" t="e">
        <f t="shared" si="84"/>
        <v>#DIV/0!</v>
      </c>
      <c r="AJ75" s="104"/>
      <c r="AK75" s="306"/>
      <c r="AL75" s="318" t="e">
        <f t="shared" si="85"/>
        <v>#DIV/0!</v>
      </c>
      <c r="AM75" s="246"/>
      <c r="AN75" s="585"/>
      <c r="AO75" s="307" t="e">
        <f t="shared" si="86"/>
        <v>#DIV/0!</v>
      </c>
      <c r="AP75" s="311">
        <f t="shared" si="70"/>
        <v>3</v>
      </c>
      <c r="AQ75" s="311"/>
      <c r="AR75" s="312"/>
      <c r="AS75" s="292"/>
      <c r="AT75" s="293"/>
      <c r="AU75" s="292"/>
      <c r="AV75" s="292"/>
      <c r="AW75" s="294"/>
    </row>
    <row r="76" spans="1:49" s="273" customFormat="1" ht="17.25" hidden="1" customHeight="1" outlineLevel="1" x14ac:dyDescent="0.25">
      <c r="A76" s="330" t="s">
        <v>1053</v>
      </c>
      <c r="B76" s="332">
        <v>0.08</v>
      </c>
      <c r="C76" s="332">
        <f t="shared" si="71"/>
        <v>0.04</v>
      </c>
      <c r="D76" s="329">
        <f t="shared" si="87"/>
        <v>0</v>
      </c>
      <c r="E76" s="335">
        <f t="shared" si="88"/>
        <v>1</v>
      </c>
      <c r="F76" s="106">
        <v>6</v>
      </c>
      <c r="G76" s="304"/>
      <c r="H76" s="350">
        <f t="shared" si="75"/>
        <v>0</v>
      </c>
      <c r="I76" s="324">
        <v>7</v>
      </c>
      <c r="J76" s="324"/>
      <c r="K76" s="325">
        <f t="shared" si="76"/>
        <v>0</v>
      </c>
      <c r="L76" s="324">
        <v>7</v>
      </c>
      <c r="M76" s="324"/>
      <c r="N76" s="325">
        <f t="shared" si="77"/>
        <v>0</v>
      </c>
      <c r="O76" s="324">
        <v>7</v>
      </c>
      <c r="P76" s="324"/>
      <c r="Q76" s="301">
        <f t="shared" si="78"/>
        <v>0</v>
      </c>
      <c r="R76" s="324"/>
      <c r="S76" s="324"/>
      <c r="T76" s="301" t="e">
        <f t="shared" si="79"/>
        <v>#DIV/0!</v>
      </c>
      <c r="U76" s="324"/>
      <c r="V76" s="324"/>
      <c r="W76" s="301" t="e">
        <f t="shared" si="80"/>
        <v>#DIV/0!</v>
      </c>
      <c r="X76" s="324"/>
      <c r="Y76" s="324"/>
      <c r="Z76" s="301" t="e">
        <f t="shared" si="81"/>
        <v>#DIV/0!</v>
      </c>
      <c r="AA76" s="324"/>
      <c r="AB76" s="324"/>
      <c r="AC76" s="301" t="e">
        <f t="shared" si="82"/>
        <v>#DIV/0!</v>
      </c>
      <c r="AD76" s="324"/>
      <c r="AE76" s="324"/>
      <c r="AF76" s="318" t="e">
        <f t="shared" si="83"/>
        <v>#DIV/0!</v>
      </c>
      <c r="AG76" s="324"/>
      <c r="AH76" s="326"/>
      <c r="AI76" s="319" t="e">
        <f t="shared" si="84"/>
        <v>#DIV/0!</v>
      </c>
      <c r="AJ76" s="104"/>
      <c r="AK76" s="306"/>
      <c r="AL76" s="318" t="e">
        <f t="shared" si="85"/>
        <v>#DIV/0!</v>
      </c>
      <c r="AM76" s="246"/>
      <c r="AN76" s="585"/>
      <c r="AO76" s="307" t="e">
        <f t="shared" si="86"/>
        <v>#DIV/0!</v>
      </c>
      <c r="AP76" s="311"/>
      <c r="AQ76" s="311"/>
      <c r="AR76" s="312"/>
      <c r="AS76" s="292"/>
      <c r="AT76" s="293"/>
      <c r="AU76" s="292"/>
      <c r="AV76" s="292"/>
      <c r="AW76" s="294"/>
    </row>
    <row r="77" spans="1:49" s="273" customFormat="1" ht="17.25" hidden="1" customHeight="1" outlineLevel="1" x14ac:dyDescent="0.25">
      <c r="A77" s="330" t="s">
        <v>1108</v>
      </c>
      <c r="B77" s="332">
        <v>0</v>
      </c>
      <c r="C77" s="332">
        <f t="shared" si="71"/>
        <v>0</v>
      </c>
      <c r="D77" s="329">
        <f t="shared" si="87"/>
        <v>0</v>
      </c>
      <c r="E77" s="335">
        <f t="shared" si="88"/>
        <v>1</v>
      </c>
      <c r="F77" s="106">
        <v>2</v>
      </c>
      <c r="G77" s="304"/>
      <c r="H77" s="350">
        <f t="shared" si="75"/>
        <v>0</v>
      </c>
      <c r="I77" s="324">
        <v>2</v>
      </c>
      <c r="J77" s="324"/>
      <c r="K77" s="325">
        <f t="shared" si="76"/>
        <v>0</v>
      </c>
      <c r="L77" s="324">
        <v>2</v>
      </c>
      <c r="M77" s="324"/>
      <c r="N77" s="325">
        <f t="shared" si="77"/>
        <v>0</v>
      </c>
      <c r="O77" s="324">
        <v>2</v>
      </c>
      <c r="P77" s="324">
        <v>1</v>
      </c>
      <c r="Q77" s="301">
        <f t="shared" si="78"/>
        <v>0.5</v>
      </c>
      <c r="R77" s="324"/>
      <c r="S77" s="324"/>
      <c r="T77" s="301" t="e">
        <f t="shared" si="79"/>
        <v>#DIV/0!</v>
      </c>
      <c r="U77" s="324"/>
      <c r="V77" s="324"/>
      <c r="W77" s="301" t="e">
        <f t="shared" si="80"/>
        <v>#DIV/0!</v>
      </c>
      <c r="X77" s="324"/>
      <c r="Y77" s="324"/>
      <c r="Z77" s="301" t="e">
        <f t="shared" si="81"/>
        <v>#DIV/0!</v>
      </c>
      <c r="AA77" s="324"/>
      <c r="AB77" s="324"/>
      <c r="AC77" s="301" t="e">
        <f t="shared" si="82"/>
        <v>#DIV/0!</v>
      </c>
      <c r="AD77" s="324"/>
      <c r="AE77" s="324"/>
      <c r="AF77" s="318" t="e">
        <f t="shared" si="83"/>
        <v>#DIV/0!</v>
      </c>
      <c r="AG77" s="324"/>
      <c r="AH77" s="326"/>
      <c r="AI77" s="319" t="e">
        <f t="shared" si="84"/>
        <v>#DIV/0!</v>
      </c>
      <c r="AJ77" s="104"/>
      <c r="AK77" s="306"/>
      <c r="AL77" s="318" t="e">
        <f t="shared" si="85"/>
        <v>#DIV/0!</v>
      </c>
      <c r="AM77" s="246"/>
      <c r="AN77" s="585"/>
      <c r="AO77" s="307" t="e">
        <f t="shared" si="86"/>
        <v>#DIV/0!</v>
      </c>
      <c r="AP77" s="311"/>
      <c r="AQ77" s="311"/>
      <c r="AR77" s="312"/>
      <c r="AS77" s="292"/>
      <c r="AT77" s="293"/>
      <c r="AU77" s="292"/>
      <c r="AV77" s="292"/>
      <c r="AW77" s="294"/>
    </row>
    <row r="78" spans="1:49" s="273" customFormat="1" ht="17.25" customHeight="1" collapsed="1" x14ac:dyDescent="0.25">
      <c r="A78" s="573" t="s">
        <v>1144</v>
      </c>
      <c r="B78" s="332">
        <v>0.08</v>
      </c>
      <c r="C78" s="332">
        <f t="shared" si="71"/>
        <v>0.04</v>
      </c>
      <c r="D78" s="329">
        <f t="shared" si="87"/>
        <v>0</v>
      </c>
      <c r="E78" s="335">
        <f t="shared" si="88"/>
        <v>1</v>
      </c>
      <c r="F78" s="106">
        <v>6</v>
      </c>
      <c r="G78" s="304"/>
      <c r="H78" s="350">
        <f t="shared" si="75"/>
        <v>0</v>
      </c>
      <c r="I78" s="324">
        <v>5</v>
      </c>
      <c r="J78" s="324">
        <v>1</v>
      </c>
      <c r="K78" s="325">
        <f t="shared" si="76"/>
        <v>0.2</v>
      </c>
      <c r="L78" s="324">
        <v>5</v>
      </c>
      <c r="M78" s="324"/>
      <c r="N78" s="325">
        <f t="shared" si="77"/>
        <v>0</v>
      </c>
      <c r="O78" s="324">
        <v>5</v>
      </c>
      <c r="P78" s="324"/>
      <c r="Q78" s="301">
        <f t="shared" si="78"/>
        <v>0</v>
      </c>
      <c r="R78" s="324"/>
      <c r="S78" s="324"/>
      <c r="T78" s="301" t="e">
        <f t="shared" si="79"/>
        <v>#DIV/0!</v>
      </c>
      <c r="U78" s="324"/>
      <c r="V78" s="324"/>
      <c r="W78" s="301" t="e">
        <f t="shared" si="80"/>
        <v>#DIV/0!</v>
      </c>
      <c r="X78" s="324"/>
      <c r="Y78" s="324"/>
      <c r="Z78" s="301" t="e">
        <f t="shared" si="81"/>
        <v>#DIV/0!</v>
      </c>
      <c r="AA78" s="324"/>
      <c r="AB78" s="324"/>
      <c r="AC78" s="301" t="e">
        <f t="shared" si="82"/>
        <v>#DIV/0!</v>
      </c>
      <c r="AD78" s="324"/>
      <c r="AE78" s="324"/>
      <c r="AF78" s="318" t="e">
        <f t="shared" si="83"/>
        <v>#DIV/0!</v>
      </c>
      <c r="AG78" s="324"/>
      <c r="AH78" s="326"/>
      <c r="AI78" s="319" t="e">
        <f t="shared" si="84"/>
        <v>#DIV/0!</v>
      </c>
      <c r="AJ78" s="104"/>
      <c r="AK78" s="306"/>
      <c r="AL78" s="318" t="e">
        <f t="shared" si="85"/>
        <v>#DIV/0!</v>
      </c>
      <c r="AM78" s="246"/>
      <c r="AN78" s="585"/>
      <c r="AO78" s="307" t="e">
        <f t="shared" si="86"/>
        <v>#DIV/0!</v>
      </c>
      <c r="AP78" s="311"/>
      <c r="AQ78" s="311"/>
      <c r="AR78" s="312"/>
      <c r="AS78" s="292"/>
      <c r="AT78" s="293"/>
      <c r="AU78" s="292"/>
      <c r="AV78" s="292"/>
      <c r="AW78" s="294"/>
    </row>
    <row r="79" spans="1:49" s="273" customFormat="1" ht="17.25" customHeight="1" x14ac:dyDescent="0.25">
      <c r="A79" s="573" t="s">
        <v>1145</v>
      </c>
      <c r="B79" s="332">
        <v>0.05</v>
      </c>
      <c r="C79" s="332">
        <f t="shared" si="71"/>
        <v>2.5000000000000001E-2</v>
      </c>
      <c r="D79" s="329">
        <f t="shared" si="87"/>
        <v>0</v>
      </c>
      <c r="E79" s="335">
        <f t="shared" si="88"/>
        <v>1</v>
      </c>
      <c r="F79" s="106">
        <v>3</v>
      </c>
      <c r="G79" s="304"/>
      <c r="H79" s="350">
        <f t="shared" si="75"/>
        <v>0</v>
      </c>
      <c r="I79" s="324">
        <v>2</v>
      </c>
      <c r="J79" s="324">
        <v>1</v>
      </c>
      <c r="K79" s="325">
        <f t="shared" si="76"/>
        <v>0.5</v>
      </c>
      <c r="L79" s="324">
        <v>3</v>
      </c>
      <c r="M79" s="324"/>
      <c r="N79" s="325">
        <f t="shared" si="77"/>
        <v>0</v>
      </c>
      <c r="O79" s="324">
        <v>3</v>
      </c>
      <c r="P79" s="324"/>
      <c r="Q79" s="301">
        <f t="shared" si="78"/>
        <v>0</v>
      </c>
      <c r="R79" s="324"/>
      <c r="S79" s="324"/>
      <c r="T79" s="301" t="e">
        <f t="shared" si="79"/>
        <v>#DIV/0!</v>
      </c>
      <c r="U79" s="324"/>
      <c r="V79" s="324"/>
      <c r="W79" s="301" t="e">
        <f t="shared" si="80"/>
        <v>#DIV/0!</v>
      </c>
      <c r="X79" s="324"/>
      <c r="Y79" s="324"/>
      <c r="Z79" s="301" t="e">
        <f t="shared" si="81"/>
        <v>#DIV/0!</v>
      </c>
      <c r="AA79" s="324"/>
      <c r="AB79" s="324"/>
      <c r="AC79" s="301" t="e">
        <f t="shared" si="82"/>
        <v>#DIV/0!</v>
      </c>
      <c r="AD79" s="324"/>
      <c r="AE79" s="324"/>
      <c r="AF79" s="318" t="e">
        <f t="shared" si="83"/>
        <v>#DIV/0!</v>
      </c>
      <c r="AG79" s="324"/>
      <c r="AH79" s="326"/>
      <c r="AI79" s="319" t="e">
        <f t="shared" si="84"/>
        <v>#DIV/0!</v>
      </c>
      <c r="AJ79" s="104"/>
      <c r="AK79" s="306"/>
      <c r="AL79" s="318" t="e">
        <f t="shared" si="85"/>
        <v>#DIV/0!</v>
      </c>
      <c r="AM79" s="246"/>
      <c r="AN79" s="585"/>
      <c r="AO79" s="307" t="e">
        <f t="shared" si="86"/>
        <v>#DIV/0!</v>
      </c>
      <c r="AP79" s="311"/>
      <c r="AQ79" s="311"/>
      <c r="AR79" s="312"/>
      <c r="AS79" s="292"/>
      <c r="AT79" s="293"/>
      <c r="AU79" s="292"/>
      <c r="AV79" s="292"/>
      <c r="AW79" s="294"/>
    </row>
    <row r="80" spans="1:49" s="527" customFormat="1" ht="17.25" customHeight="1" x14ac:dyDescent="0.25">
      <c r="A80" s="367" t="s">
        <v>1142</v>
      </c>
      <c r="B80" s="357">
        <v>0.08</v>
      </c>
      <c r="C80" s="357">
        <f t="shared" si="71"/>
        <v>0.04</v>
      </c>
      <c r="D80" s="357">
        <f t="shared" si="87"/>
        <v>0</v>
      </c>
      <c r="E80" s="358">
        <f t="shared" si="88"/>
        <v>1</v>
      </c>
      <c r="F80" s="510">
        <f>SUM(F81:F84)</f>
        <v>16</v>
      </c>
      <c r="G80" s="511">
        <f>SUM(G81:G84)</f>
        <v>0</v>
      </c>
      <c r="H80" s="512">
        <f t="shared" si="75"/>
        <v>0</v>
      </c>
      <c r="I80" s="513">
        <f>SUM(I81:I84)</f>
        <v>15</v>
      </c>
      <c r="J80" s="513">
        <f>SUM(J81:J84)</f>
        <v>1</v>
      </c>
      <c r="K80" s="514">
        <f t="shared" si="76"/>
        <v>6.6666666666666666E-2</v>
      </c>
      <c r="L80" s="513">
        <f>SUM(L81:L84)</f>
        <v>15</v>
      </c>
      <c r="M80" s="513">
        <f>SUM(M81:M84)</f>
        <v>0</v>
      </c>
      <c r="N80" s="514">
        <f t="shared" si="77"/>
        <v>0</v>
      </c>
      <c r="O80" s="513">
        <f>SUM(O81:O84)</f>
        <v>13</v>
      </c>
      <c r="P80" s="513">
        <f>SUM(P81:P84)</f>
        <v>1</v>
      </c>
      <c r="Q80" s="515">
        <f t="shared" si="78"/>
        <v>7.6923076923076927E-2</v>
      </c>
      <c r="R80" s="513">
        <f>SUM(R81:R84)</f>
        <v>0</v>
      </c>
      <c r="S80" s="513">
        <f>SUM(S81:S84)</f>
        <v>0</v>
      </c>
      <c r="T80" s="515" t="e">
        <f t="shared" si="79"/>
        <v>#DIV/0!</v>
      </c>
      <c r="U80" s="513">
        <f>SUM(U81:U84)</f>
        <v>0</v>
      </c>
      <c r="V80" s="513">
        <f>SUM(V81:V84)</f>
        <v>0</v>
      </c>
      <c r="W80" s="515" t="e">
        <f t="shared" si="80"/>
        <v>#DIV/0!</v>
      </c>
      <c r="X80" s="513">
        <f>SUM(X81:X84)</f>
        <v>0</v>
      </c>
      <c r="Y80" s="513">
        <f>SUM(Y81:Y84)</f>
        <v>0</v>
      </c>
      <c r="Z80" s="515" t="e">
        <f t="shared" si="81"/>
        <v>#DIV/0!</v>
      </c>
      <c r="AA80" s="513">
        <f>SUM(AA81:AA84)</f>
        <v>0</v>
      </c>
      <c r="AB80" s="513">
        <f>SUM(AB81:AB84)</f>
        <v>0</v>
      </c>
      <c r="AC80" s="515" t="e">
        <f t="shared" si="82"/>
        <v>#DIV/0!</v>
      </c>
      <c r="AD80" s="513">
        <f>SUM(AD81:AD84)</f>
        <v>0</v>
      </c>
      <c r="AE80" s="513">
        <f>SUM(AE81:AE84)</f>
        <v>0</v>
      </c>
      <c r="AF80" s="516" t="e">
        <f t="shared" si="83"/>
        <v>#DIV/0!</v>
      </c>
      <c r="AG80" s="513">
        <f>SUM(AG81:AG84)</f>
        <v>0</v>
      </c>
      <c r="AH80" s="517">
        <f>SUM(AH81:AH84)</f>
        <v>0</v>
      </c>
      <c r="AI80" s="518" t="e">
        <f t="shared" si="84"/>
        <v>#DIV/0!</v>
      </c>
      <c r="AJ80" s="519">
        <f>SUM(AJ81:AJ84)</f>
        <v>0</v>
      </c>
      <c r="AK80" s="520">
        <f>SUM(AK81:AK84)</f>
        <v>0</v>
      </c>
      <c r="AL80" s="516" t="e">
        <f t="shared" si="85"/>
        <v>#DIV/0!</v>
      </c>
      <c r="AM80" s="597">
        <f>SUM(AM81:AM84)</f>
        <v>0</v>
      </c>
      <c r="AN80" s="591">
        <f>SUM(AN81:AN84)</f>
        <v>0</v>
      </c>
      <c r="AO80" s="521" t="e">
        <f t="shared" si="86"/>
        <v>#DIV/0!</v>
      </c>
      <c r="AP80" s="522"/>
      <c r="AQ80" s="522"/>
      <c r="AR80" s="523"/>
      <c r="AS80" s="524"/>
      <c r="AT80" s="525"/>
      <c r="AU80" s="524"/>
      <c r="AV80" s="524"/>
      <c r="AW80" s="526"/>
    </row>
    <row r="81" spans="1:49" s="273" customFormat="1" ht="17.25" hidden="1" customHeight="1" outlineLevel="1" x14ac:dyDescent="0.25">
      <c r="A81" s="330" t="s">
        <v>1036</v>
      </c>
      <c r="B81" s="332">
        <v>0.08</v>
      </c>
      <c r="C81" s="332">
        <f t="shared" si="71"/>
        <v>0.04</v>
      </c>
      <c r="D81" s="329">
        <f t="shared" si="73"/>
        <v>0</v>
      </c>
      <c r="E81" s="335">
        <f t="shared" si="74"/>
        <v>1</v>
      </c>
      <c r="F81" s="106">
        <v>9</v>
      </c>
      <c r="G81" s="304"/>
      <c r="H81" s="350">
        <f t="shared" si="25"/>
        <v>0</v>
      </c>
      <c r="I81" s="324">
        <v>9</v>
      </c>
      <c r="J81" s="324"/>
      <c r="K81" s="325">
        <f t="shared" si="26"/>
        <v>0</v>
      </c>
      <c r="L81" s="324">
        <v>9</v>
      </c>
      <c r="M81" s="324"/>
      <c r="N81" s="325">
        <f t="shared" ref="N81:N96" si="89">M81/L81</f>
        <v>0</v>
      </c>
      <c r="O81" s="324">
        <v>9</v>
      </c>
      <c r="P81" s="324"/>
      <c r="Q81" s="301">
        <f t="shared" si="27"/>
        <v>0</v>
      </c>
      <c r="R81" s="324"/>
      <c r="S81" s="324"/>
      <c r="T81" s="301" t="e">
        <f t="shared" si="28"/>
        <v>#DIV/0!</v>
      </c>
      <c r="U81" s="324"/>
      <c r="V81" s="324"/>
      <c r="W81" s="301" t="e">
        <f t="shared" si="29"/>
        <v>#DIV/0!</v>
      </c>
      <c r="X81" s="324"/>
      <c r="Y81" s="324"/>
      <c r="Z81" s="301" t="e">
        <f t="shared" si="30"/>
        <v>#DIV/0!</v>
      </c>
      <c r="AA81" s="324"/>
      <c r="AB81" s="324"/>
      <c r="AC81" s="301" t="e">
        <f t="shared" si="31"/>
        <v>#DIV/0!</v>
      </c>
      <c r="AD81" s="324"/>
      <c r="AE81" s="324"/>
      <c r="AF81" s="318" t="e">
        <f t="shared" si="72"/>
        <v>#DIV/0!</v>
      </c>
      <c r="AG81" s="324"/>
      <c r="AH81" s="326"/>
      <c r="AI81" s="319" t="e">
        <f t="shared" si="32"/>
        <v>#DIV/0!</v>
      </c>
      <c r="AJ81" s="104"/>
      <c r="AK81" s="306"/>
      <c r="AL81" s="318" t="e">
        <f t="shared" si="33"/>
        <v>#DIV/0!</v>
      </c>
      <c r="AM81" s="246"/>
      <c r="AN81" s="585"/>
      <c r="AO81" s="307" t="e">
        <f t="shared" si="34"/>
        <v>#DIV/0!</v>
      </c>
      <c r="AP81" s="311"/>
      <c r="AQ81" s="311"/>
      <c r="AR81" s="312"/>
      <c r="AS81" s="292"/>
      <c r="AT81" s="293"/>
      <c r="AU81" s="292"/>
      <c r="AV81" s="292"/>
      <c r="AW81" s="294"/>
    </row>
    <row r="82" spans="1:49" s="273" customFormat="1" ht="17.25" hidden="1" customHeight="1" outlineLevel="1" x14ac:dyDescent="0.25">
      <c r="A82" s="330" t="s">
        <v>1072</v>
      </c>
      <c r="B82" s="332">
        <v>0</v>
      </c>
      <c r="C82" s="332">
        <f t="shared" si="71"/>
        <v>0</v>
      </c>
      <c r="D82" s="329">
        <f t="shared" si="73"/>
        <v>0</v>
      </c>
      <c r="E82" s="335">
        <f t="shared" si="74"/>
        <v>1</v>
      </c>
      <c r="F82" s="106">
        <v>1</v>
      </c>
      <c r="G82" s="304"/>
      <c r="H82" s="350">
        <f t="shared" si="25"/>
        <v>0</v>
      </c>
      <c r="I82" s="324">
        <v>1</v>
      </c>
      <c r="J82" s="324"/>
      <c r="K82" s="325">
        <f t="shared" si="26"/>
        <v>0</v>
      </c>
      <c r="L82" s="324">
        <v>1</v>
      </c>
      <c r="M82" s="324"/>
      <c r="N82" s="325">
        <f t="shared" si="89"/>
        <v>0</v>
      </c>
      <c r="O82" s="324">
        <v>0</v>
      </c>
      <c r="P82" s="324">
        <v>1</v>
      </c>
      <c r="Q82" s="301" t="e">
        <f t="shared" si="27"/>
        <v>#DIV/0!</v>
      </c>
      <c r="R82" s="324"/>
      <c r="S82" s="324"/>
      <c r="T82" s="301" t="e">
        <f t="shared" si="28"/>
        <v>#DIV/0!</v>
      </c>
      <c r="U82" s="324"/>
      <c r="V82" s="324"/>
      <c r="W82" s="301" t="e">
        <f t="shared" si="29"/>
        <v>#DIV/0!</v>
      </c>
      <c r="X82" s="324"/>
      <c r="Y82" s="324"/>
      <c r="Z82" s="301" t="e">
        <f t="shared" si="30"/>
        <v>#DIV/0!</v>
      </c>
      <c r="AA82" s="324"/>
      <c r="AB82" s="324"/>
      <c r="AC82" s="301" t="e">
        <f t="shared" si="31"/>
        <v>#DIV/0!</v>
      </c>
      <c r="AD82" s="324"/>
      <c r="AE82" s="324"/>
      <c r="AF82" s="318" t="e">
        <f t="shared" si="72"/>
        <v>#DIV/0!</v>
      </c>
      <c r="AG82" s="324"/>
      <c r="AH82" s="326"/>
      <c r="AI82" s="319" t="e">
        <f t="shared" si="32"/>
        <v>#DIV/0!</v>
      </c>
      <c r="AJ82" s="104"/>
      <c r="AK82" s="306"/>
      <c r="AL82" s="318" t="e">
        <f t="shared" si="33"/>
        <v>#DIV/0!</v>
      </c>
      <c r="AM82" s="246"/>
      <c r="AN82" s="585"/>
      <c r="AO82" s="307" t="e">
        <f t="shared" si="34"/>
        <v>#DIV/0!</v>
      </c>
      <c r="AP82" s="311"/>
      <c r="AQ82" s="311"/>
      <c r="AR82" s="312"/>
      <c r="AS82" s="292"/>
      <c r="AT82" s="293"/>
      <c r="AU82" s="292"/>
      <c r="AV82" s="292"/>
      <c r="AW82" s="294"/>
    </row>
    <row r="83" spans="1:49" s="273" customFormat="1" ht="17.25" hidden="1" customHeight="1" outlineLevel="1" x14ac:dyDescent="0.25">
      <c r="A83" s="330" t="s">
        <v>1073</v>
      </c>
      <c r="B83" s="332">
        <v>0</v>
      </c>
      <c r="C83" s="332">
        <f t="shared" si="71"/>
        <v>0</v>
      </c>
      <c r="D83" s="329">
        <f t="shared" si="73"/>
        <v>0</v>
      </c>
      <c r="E83" s="335">
        <f t="shared" si="74"/>
        <v>1</v>
      </c>
      <c r="F83" s="106">
        <v>3</v>
      </c>
      <c r="G83" s="304"/>
      <c r="H83" s="350">
        <f t="shared" si="25"/>
        <v>0</v>
      </c>
      <c r="I83" s="324">
        <v>2</v>
      </c>
      <c r="J83" s="324">
        <v>1</v>
      </c>
      <c r="K83" s="325">
        <f t="shared" si="26"/>
        <v>0.5</v>
      </c>
      <c r="L83" s="324">
        <v>2</v>
      </c>
      <c r="M83" s="324"/>
      <c r="N83" s="325">
        <f t="shared" si="89"/>
        <v>0</v>
      </c>
      <c r="O83" s="324">
        <v>2</v>
      </c>
      <c r="P83" s="324"/>
      <c r="Q83" s="301">
        <f t="shared" si="27"/>
        <v>0</v>
      </c>
      <c r="R83" s="324"/>
      <c r="S83" s="324"/>
      <c r="T83" s="301" t="e">
        <f t="shared" si="28"/>
        <v>#DIV/0!</v>
      </c>
      <c r="U83" s="324"/>
      <c r="V83" s="324"/>
      <c r="W83" s="301" t="e">
        <f t="shared" si="29"/>
        <v>#DIV/0!</v>
      </c>
      <c r="X83" s="324"/>
      <c r="Y83" s="324"/>
      <c r="Z83" s="301" t="e">
        <f t="shared" si="30"/>
        <v>#DIV/0!</v>
      </c>
      <c r="AA83" s="324"/>
      <c r="AB83" s="324"/>
      <c r="AC83" s="301" t="e">
        <f t="shared" si="31"/>
        <v>#DIV/0!</v>
      </c>
      <c r="AD83" s="324"/>
      <c r="AE83" s="324"/>
      <c r="AF83" s="318" t="e">
        <f t="shared" si="72"/>
        <v>#DIV/0!</v>
      </c>
      <c r="AG83" s="324"/>
      <c r="AH83" s="326"/>
      <c r="AI83" s="319" t="e">
        <f t="shared" si="32"/>
        <v>#DIV/0!</v>
      </c>
      <c r="AJ83" s="104"/>
      <c r="AK83" s="306"/>
      <c r="AL83" s="318" t="e">
        <f t="shared" si="33"/>
        <v>#DIV/0!</v>
      </c>
      <c r="AM83" s="246"/>
      <c r="AN83" s="585"/>
      <c r="AO83" s="307" t="e">
        <f t="shared" si="34"/>
        <v>#DIV/0!</v>
      </c>
      <c r="AP83" s="311"/>
      <c r="AQ83" s="311"/>
      <c r="AR83" s="312"/>
      <c r="AS83" s="292"/>
      <c r="AT83" s="293"/>
      <c r="AU83" s="292"/>
      <c r="AV83" s="292"/>
      <c r="AW83" s="294"/>
    </row>
    <row r="84" spans="1:49" s="273" customFormat="1" ht="17.25" hidden="1" customHeight="1" outlineLevel="1" x14ac:dyDescent="0.25">
      <c r="A84" s="330" t="s">
        <v>1074</v>
      </c>
      <c r="B84" s="332">
        <v>0</v>
      </c>
      <c r="C84" s="332">
        <f t="shared" si="71"/>
        <v>0</v>
      </c>
      <c r="D84" s="329">
        <f t="shared" si="73"/>
        <v>0</v>
      </c>
      <c r="E84" s="335">
        <f t="shared" si="74"/>
        <v>1</v>
      </c>
      <c r="F84" s="106">
        <v>3</v>
      </c>
      <c r="G84" s="304"/>
      <c r="H84" s="350">
        <f t="shared" si="25"/>
        <v>0</v>
      </c>
      <c r="I84" s="324">
        <v>3</v>
      </c>
      <c r="J84" s="324"/>
      <c r="K84" s="325">
        <f t="shared" si="26"/>
        <v>0</v>
      </c>
      <c r="L84" s="324">
        <v>3</v>
      </c>
      <c r="M84" s="324"/>
      <c r="N84" s="325">
        <f t="shared" si="89"/>
        <v>0</v>
      </c>
      <c r="O84" s="324">
        <v>2</v>
      </c>
      <c r="P84" s="324"/>
      <c r="Q84" s="301">
        <f t="shared" si="27"/>
        <v>0</v>
      </c>
      <c r="R84" s="324"/>
      <c r="S84" s="324"/>
      <c r="T84" s="301" t="e">
        <f t="shared" si="28"/>
        <v>#DIV/0!</v>
      </c>
      <c r="U84" s="324"/>
      <c r="V84" s="324"/>
      <c r="W84" s="301" t="e">
        <f t="shared" si="29"/>
        <v>#DIV/0!</v>
      </c>
      <c r="X84" s="324"/>
      <c r="Y84" s="324"/>
      <c r="Z84" s="301" t="e">
        <f t="shared" si="30"/>
        <v>#DIV/0!</v>
      </c>
      <c r="AA84" s="324"/>
      <c r="AB84" s="324"/>
      <c r="AC84" s="301" t="e">
        <f t="shared" si="31"/>
        <v>#DIV/0!</v>
      </c>
      <c r="AD84" s="324"/>
      <c r="AE84" s="324"/>
      <c r="AF84" s="318" t="e">
        <f t="shared" si="72"/>
        <v>#DIV/0!</v>
      </c>
      <c r="AG84" s="324"/>
      <c r="AH84" s="326"/>
      <c r="AI84" s="319" t="e">
        <f t="shared" si="32"/>
        <v>#DIV/0!</v>
      </c>
      <c r="AJ84" s="104"/>
      <c r="AK84" s="306"/>
      <c r="AL84" s="318" t="e">
        <f t="shared" si="33"/>
        <v>#DIV/0!</v>
      </c>
      <c r="AM84" s="246"/>
      <c r="AN84" s="585"/>
      <c r="AO84" s="307" t="e">
        <f t="shared" si="34"/>
        <v>#DIV/0!</v>
      </c>
      <c r="AP84" s="311"/>
      <c r="AQ84" s="311"/>
      <c r="AR84" s="312"/>
      <c r="AS84" s="292"/>
      <c r="AT84" s="293"/>
      <c r="AU84" s="292"/>
      <c r="AV84" s="292"/>
      <c r="AW84" s="294"/>
    </row>
    <row r="85" spans="1:49" s="527" customFormat="1" ht="16.5" customHeight="1" collapsed="1" x14ac:dyDescent="0.25">
      <c r="A85" s="356" t="s">
        <v>818</v>
      </c>
      <c r="B85" s="357">
        <v>0.12</v>
      </c>
      <c r="C85" s="357">
        <f t="shared" si="71"/>
        <v>0.06</v>
      </c>
      <c r="D85" s="357">
        <f t="shared" ref="D85:D95" si="90">AR85</f>
        <v>0.22641509433962262</v>
      </c>
      <c r="E85" s="358">
        <f>IF(D85&gt;0%,C85/D85,100%)</f>
        <v>0.26500000000000001</v>
      </c>
      <c r="F85" s="510">
        <f>SUM(F86:F88)</f>
        <v>14</v>
      </c>
      <c r="G85" s="511">
        <f>SUM(G86:G88)</f>
        <v>0</v>
      </c>
      <c r="H85" s="512">
        <f>G85/F85</f>
        <v>0</v>
      </c>
      <c r="I85" s="513">
        <f>SUM(I86:I88)</f>
        <v>13</v>
      </c>
      <c r="J85" s="513">
        <f>SUM(J86:J88)</f>
        <v>1</v>
      </c>
      <c r="K85" s="514">
        <f>J85/I85</f>
        <v>7.6923076923076927E-2</v>
      </c>
      <c r="L85" s="513">
        <v>13</v>
      </c>
      <c r="M85" s="513">
        <f>SUM(M86:M88)</f>
        <v>0</v>
      </c>
      <c r="N85" s="514">
        <f t="shared" si="89"/>
        <v>0</v>
      </c>
      <c r="O85" s="513">
        <v>13</v>
      </c>
      <c r="P85" s="513">
        <f>SUM(P86:P88)</f>
        <v>0</v>
      </c>
      <c r="Q85" s="515">
        <f>P85/O85</f>
        <v>0</v>
      </c>
      <c r="R85" s="513">
        <f>SUM(R86:R88)</f>
        <v>0</v>
      </c>
      <c r="S85" s="513">
        <f>SUM(S86:S88)</f>
        <v>0</v>
      </c>
      <c r="T85" s="515" t="e">
        <f>S85/R85</f>
        <v>#DIV/0!</v>
      </c>
      <c r="U85" s="513">
        <f>SUM(U86:U88)</f>
        <v>0</v>
      </c>
      <c r="V85" s="513">
        <f>SUM(V86:V88)</f>
        <v>0</v>
      </c>
      <c r="W85" s="515" t="e">
        <f>V85/U85</f>
        <v>#DIV/0!</v>
      </c>
      <c r="X85" s="513">
        <f>SUM(X86:X88)</f>
        <v>0</v>
      </c>
      <c r="Y85" s="513">
        <f>SUM(Y86:Y88)</f>
        <v>0</v>
      </c>
      <c r="Z85" s="515" t="e">
        <f>Y85/X85</f>
        <v>#DIV/0!</v>
      </c>
      <c r="AA85" s="513">
        <f>SUM(AA86:AA88)</f>
        <v>0</v>
      </c>
      <c r="AB85" s="513">
        <f>SUM(AB86:AB88)</f>
        <v>0</v>
      </c>
      <c r="AC85" s="515" t="e">
        <f>AB85/AA85</f>
        <v>#DIV/0!</v>
      </c>
      <c r="AD85" s="513">
        <f>SUM(AD86:AD88)</f>
        <v>0</v>
      </c>
      <c r="AE85" s="513">
        <f>SUM(AE86:AE88)</f>
        <v>0</v>
      </c>
      <c r="AF85" s="516" t="e">
        <f>AE85/AD85</f>
        <v>#DIV/0!</v>
      </c>
      <c r="AG85" s="513">
        <f>SUM(AG86:AG88)</f>
        <v>0</v>
      </c>
      <c r="AH85" s="517">
        <f>SUM(AH86:AH88)</f>
        <v>0</v>
      </c>
      <c r="AI85" s="518" t="e">
        <f>AH85/AG85</f>
        <v>#DIV/0!</v>
      </c>
      <c r="AJ85" s="519">
        <f>SUM(AJ86:AJ88)</f>
        <v>0</v>
      </c>
      <c r="AK85" s="520">
        <f>SUM(AK86:AK88)</f>
        <v>0</v>
      </c>
      <c r="AL85" s="516" t="e">
        <f>AK85/AJ85</f>
        <v>#DIV/0!</v>
      </c>
      <c r="AM85" s="597">
        <f>SUM(AM86:AM88)</f>
        <v>0</v>
      </c>
      <c r="AN85" s="591">
        <f>SUM(AN86:AN88)</f>
        <v>0</v>
      </c>
      <c r="AO85" s="521" t="e">
        <f>AN85/AM85</f>
        <v>#DIV/0!</v>
      </c>
      <c r="AP85" s="522">
        <f t="shared" ref="AP85:AP92" si="91">AVERAGE(F85,I85,L85,O85,R85,U85,X85,AA85,AD85,AG85,AJ85,AM85)</f>
        <v>4.416666666666667</v>
      </c>
      <c r="AQ85" s="522">
        <f t="shared" ref="AQ85:AQ90" si="92">SUM(G85,J85,M85,P85,S85,V85,Y85,AB85,AE85,AH85,AK85,AN85)</f>
        <v>1</v>
      </c>
      <c r="AR85" s="523">
        <f t="shared" ref="AR85:AR90" si="93">AQ85/AP85</f>
        <v>0.22641509433962262</v>
      </c>
      <c r="AS85" s="524"/>
      <c r="AT85" s="525"/>
      <c r="AU85" s="524"/>
      <c r="AV85" s="524"/>
      <c r="AW85" s="526"/>
    </row>
    <row r="86" spans="1:49" s="273" customFormat="1" ht="16.899999999999999" hidden="1" customHeight="1" outlineLevel="1" x14ac:dyDescent="0.25">
      <c r="A86" s="330" t="s">
        <v>1061</v>
      </c>
      <c r="B86" s="332">
        <v>0.09</v>
      </c>
      <c r="C86" s="332">
        <f t="shared" si="71"/>
        <v>4.4999999999999998E-2</v>
      </c>
      <c r="D86" s="329">
        <f t="shared" si="90"/>
        <v>0.19047619047619047</v>
      </c>
      <c r="E86" s="335">
        <f>IF(D86&gt;0%,C86/D86,100%)</f>
        <v>0.23625000000000002</v>
      </c>
      <c r="F86" s="106">
        <v>6</v>
      </c>
      <c r="G86" s="304"/>
      <c r="H86" s="350">
        <f>G86/F86</f>
        <v>0</v>
      </c>
      <c r="I86" s="324">
        <v>5</v>
      </c>
      <c r="J86" s="324">
        <v>1</v>
      </c>
      <c r="K86" s="325">
        <f>J86/I86</f>
        <v>0.2</v>
      </c>
      <c r="L86" s="324">
        <v>5</v>
      </c>
      <c r="M86" s="324"/>
      <c r="N86" s="325">
        <f t="shared" si="89"/>
        <v>0</v>
      </c>
      <c r="O86" s="324">
        <v>5</v>
      </c>
      <c r="P86" s="324"/>
      <c r="Q86" s="301">
        <f>P86/O86</f>
        <v>0</v>
      </c>
      <c r="R86" s="324"/>
      <c r="S86" s="324"/>
      <c r="T86" s="301" t="e">
        <f>S86/R86</f>
        <v>#DIV/0!</v>
      </c>
      <c r="U86" s="324"/>
      <c r="V86" s="324"/>
      <c r="W86" s="301" t="e">
        <f>V86/U86</f>
        <v>#DIV/0!</v>
      </c>
      <c r="X86" s="324"/>
      <c r="Y86" s="324"/>
      <c r="Z86" s="301" t="e">
        <f>Y86/X86</f>
        <v>#DIV/0!</v>
      </c>
      <c r="AA86" s="324"/>
      <c r="AB86" s="324"/>
      <c r="AC86" s="301" t="e">
        <f>AB86/AA86</f>
        <v>#DIV/0!</v>
      </c>
      <c r="AD86" s="324"/>
      <c r="AE86" s="324"/>
      <c r="AF86" s="318" t="e">
        <f>AE86/AD86</f>
        <v>#DIV/0!</v>
      </c>
      <c r="AG86" s="324"/>
      <c r="AH86" s="326"/>
      <c r="AI86" s="319" t="e">
        <f>AH86/AG86</f>
        <v>#DIV/0!</v>
      </c>
      <c r="AJ86" s="104"/>
      <c r="AK86" s="306"/>
      <c r="AL86" s="318" t="e">
        <f>AK86/AJ86</f>
        <v>#DIV/0!</v>
      </c>
      <c r="AM86" s="246"/>
      <c r="AN86" s="585"/>
      <c r="AO86" s="307" t="e">
        <f>AN86/AM86</f>
        <v>#DIV/0!</v>
      </c>
      <c r="AP86" s="311">
        <f t="shared" si="91"/>
        <v>5.25</v>
      </c>
      <c r="AQ86" s="311">
        <f t="shared" si="92"/>
        <v>1</v>
      </c>
      <c r="AR86" s="312">
        <f t="shared" si="93"/>
        <v>0.19047619047619047</v>
      </c>
      <c r="AS86" s="292"/>
      <c r="AT86" s="293"/>
      <c r="AU86" s="292"/>
      <c r="AV86" s="292"/>
      <c r="AW86" s="294"/>
    </row>
    <row r="87" spans="1:49" s="273" customFormat="1" ht="16.899999999999999" hidden="1" customHeight="1" outlineLevel="1" x14ac:dyDescent="0.25">
      <c r="A87" s="330" t="s">
        <v>1057</v>
      </c>
      <c r="B87" s="332">
        <v>0.09</v>
      </c>
      <c r="C87" s="332">
        <f t="shared" si="71"/>
        <v>4.4999999999999998E-2</v>
      </c>
      <c r="D87" s="329">
        <f t="shared" si="90"/>
        <v>0</v>
      </c>
      <c r="E87" s="335">
        <f>IF(D87&gt;0%,C87/D87,100%)</f>
        <v>1</v>
      </c>
      <c r="F87" s="106">
        <v>5</v>
      </c>
      <c r="G87" s="304"/>
      <c r="H87" s="350">
        <f>G87/F87</f>
        <v>0</v>
      </c>
      <c r="I87" s="324">
        <v>5</v>
      </c>
      <c r="J87" s="324"/>
      <c r="K87" s="325">
        <f>J87/I87</f>
        <v>0</v>
      </c>
      <c r="L87" s="324">
        <v>5</v>
      </c>
      <c r="M87" s="324"/>
      <c r="N87" s="325">
        <f t="shared" si="89"/>
        <v>0</v>
      </c>
      <c r="O87" s="324">
        <v>5</v>
      </c>
      <c r="P87" s="324"/>
      <c r="Q87" s="301">
        <f>P87/O87</f>
        <v>0</v>
      </c>
      <c r="R87" s="324"/>
      <c r="S87" s="324"/>
      <c r="T87" s="301" t="e">
        <f>S87/R87</f>
        <v>#DIV/0!</v>
      </c>
      <c r="U87" s="324"/>
      <c r="V87" s="324"/>
      <c r="W87" s="301" t="e">
        <f>V87/U87</f>
        <v>#DIV/0!</v>
      </c>
      <c r="X87" s="324"/>
      <c r="Y87" s="324"/>
      <c r="Z87" s="301" t="e">
        <f>Y87/X87</f>
        <v>#DIV/0!</v>
      </c>
      <c r="AA87" s="324"/>
      <c r="AB87" s="324"/>
      <c r="AC87" s="301" t="e">
        <f>AB87/AA87</f>
        <v>#DIV/0!</v>
      </c>
      <c r="AD87" s="324"/>
      <c r="AE87" s="324"/>
      <c r="AF87" s="318" t="e">
        <f>AE87/AD87</f>
        <v>#DIV/0!</v>
      </c>
      <c r="AG87" s="324"/>
      <c r="AH87" s="326"/>
      <c r="AI87" s="319" t="e">
        <f>AH87/AG87</f>
        <v>#DIV/0!</v>
      </c>
      <c r="AJ87" s="104"/>
      <c r="AK87" s="306"/>
      <c r="AL87" s="318" t="e">
        <f>AK87/AJ87</f>
        <v>#DIV/0!</v>
      </c>
      <c r="AM87" s="246"/>
      <c r="AN87" s="585"/>
      <c r="AO87" s="307" t="e">
        <f>AN87/AM87</f>
        <v>#DIV/0!</v>
      </c>
      <c r="AP87" s="311">
        <f t="shared" si="91"/>
        <v>5</v>
      </c>
      <c r="AQ87" s="311">
        <f t="shared" si="92"/>
        <v>0</v>
      </c>
      <c r="AR87" s="312">
        <f t="shared" si="93"/>
        <v>0</v>
      </c>
      <c r="AS87" s="292"/>
      <c r="AT87" s="293"/>
      <c r="AU87" s="292"/>
      <c r="AV87" s="292"/>
      <c r="AW87" s="294"/>
    </row>
    <row r="88" spans="1:49" s="273" customFormat="1" ht="16.899999999999999" hidden="1" customHeight="1" outlineLevel="1" x14ac:dyDescent="0.25">
      <c r="A88" s="330" t="s">
        <v>1062</v>
      </c>
      <c r="B88" s="332">
        <v>0</v>
      </c>
      <c r="C88" s="332">
        <f t="shared" si="71"/>
        <v>0</v>
      </c>
      <c r="D88" s="329">
        <f t="shared" si="90"/>
        <v>0</v>
      </c>
      <c r="E88" s="335">
        <f>IF(D88&gt;0%,C88/D88,100%)</f>
        <v>1</v>
      </c>
      <c r="F88" s="106">
        <v>3</v>
      </c>
      <c r="G88" s="304"/>
      <c r="H88" s="350">
        <f>G88/F88</f>
        <v>0</v>
      </c>
      <c r="I88" s="383">
        <v>3</v>
      </c>
      <c r="J88" s="324"/>
      <c r="K88" s="325">
        <f>J88/I88</f>
        <v>0</v>
      </c>
      <c r="L88" s="324">
        <v>3</v>
      </c>
      <c r="M88" s="324"/>
      <c r="N88" s="325">
        <f t="shared" si="89"/>
        <v>0</v>
      </c>
      <c r="O88" s="324">
        <v>3</v>
      </c>
      <c r="P88" s="324"/>
      <c r="Q88" s="301">
        <f>P88/O88</f>
        <v>0</v>
      </c>
      <c r="R88" s="324"/>
      <c r="S88" s="324"/>
      <c r="T88" s="301" t="e">
        <f>S88/R88</f>
        <v>#DIV/0!</v>
      </c>
      <c r="U88" s="324"/>
      <c r="V88" s="324"/>
      <c r="W88" s="301" t="e">
        <f>V88/U88</f>
        <v>#DIV/0!</v>
      </c>
      <c r="X88" s="324"/>
      <c r="Y88" s="324"/>
      <c r="Z88" s="301" t="e">
        <f>Y88/X88</f>
        <v>#DIV/0!</v>
      </c>
      <c r="AA88" s="324"/>
      <c r="AB88" s="324"/>
      <c r="AC88" s="301" t="e">
        <f>AB88/AA88</f>
        <v>#DIV/0!</v>
      </c>
      <c r="AD88" s="324"/>
      <c r="AE88" s="324"/>
      <c r="AF88" s="318" t="e">
        <f>AE88/AD88</f>
        <v>#DIV/0!</v>
      </c>
      <c r="AG88" s="324"/>
      <c r="AH88" s="326"/>
      <c r="AI88" s="319" t="e">
        <f>AH88/AG88</f>
        <v>#DIV/0!</v>
      </c>
      <c r="AJ88" s="104"/>
      <c r="AK88" s="306"/>
      <c r="AL88" s="318" t="e">
        <f>AK88/AJ88</f>
        <v>#DIV/0!</v>
      </c>
      <c r="AM88" s="246"/>
      <c r="AN88" s="585"/>
      <c r="AO88" s="307" t="e">
        <f>AN88/AM88</f>
        <v>#DIV/0!</v>
      </c>
      <c r="AP88" s="311">
        <f t="shared" si="91"/>
        <v>3</v>
      </c>
      <c r="AQ88" s="311">
        <f t="shared" si="92"/>
        <v>0</v>
      </c>
      <c r="AR88" s="312">
        <f t="shared" si="93"/>
        <v>0</v>
      </c>
      <c r="AS88" s="292"/>
      <c r="AT88" s="293"/>
      <c r="AU88" s="292"/>
      <c r="AV88" s="292"/>
      <c r="AW88" s="294"/>
    </row>
    <row r="89" spans="1:49" s="544" customFormat="1" ht="16.899999999999999" customHeight="1" collapsed="1" x14ac:dyDescent="0.25">
      <c r="A89" s="385" t="s">
        <v>816</v>
      </c>
      <c r="B89" s="386">
        <v>0.05</v>
      </c>
      <c r="C89" s="386">
        <f t="shared" ref="C89:C95" si="94">B89/12*$C$14</f>
        <v>2.5000000000000001E-2</v>
      </c>
      <c r="D89" s="386">
        <f t="shared" si="90"/>
        <v>0.2696629213483146</v>
      </c>
      <c r="E89" s="387">
        <f t="shared" ref="E89:E95" si="95">IF(D89&gt;0%,C89/D89,100%)</f>
        <v>9.2708333333333337E-2</v>
      </c>
      <c r="F89" s="556">
        <f>SUM(F90:F92)+5</f>
        <v>13</v>
      </c>
      <c r="G89" s="528">
        <f>SUM(G90:G92)</f>
        <v>0</v>
      </c>
      <c r="H89" s="529">
        <f t="shared" si="25"/>
        <v>0</v>
      </c>
      <c r="I89" s="530">
        <f>SUM(I90:I92)+5</f>
        <v>13</v>
      </c>
      <c r="J89" s="530">
        <f>SUM(J90:J92)</f>
        <v>0</v>
      </c>
      <c r="K89" s="531">
        <f t="shared" si="26"/>
        <v>0</v>
      </c>
      <c r="L89" s="530">
        <f>SUM(L90:L92)+5</f>
        <v>12</v>
      </c>
      <c r="M89" s="530">
        <v>1</v>
      </c>
      <c r="N89" s="531">
        <f t="shared" si="89"/>
        <v>8.3333333333333329E-2</v>
      </c>
      <c r="O89" s="530">
        <v>11</v>
      </c>
      <c r="P89" s="530">
        <v>1</v>
      </c>
      <c r="Q89" s="532">
        <f t="shared" si="27"/>
        <v>9.0909090909090912E-2</v>
      </c>
      <c r="R89" s="530">
        <f>SUM(R90:R92)+5</f>
        <v>5</v>
      </c>
      <c r="S89" s="530">
        <f>SUM(S90:S92)</f>
        <v>0</v>
      </c>
      <c r="T89" s="532">
        <f t="shared" si="28"/>
        <v>0</v>
      </c>
      <c r="U89" s="530">
        <f>SUM(U90:U92)+5</f>
        <v>5</v>
      </c>
      <c r="V89" s="530">
        <f>SUM(V90:V92)</f>
        <v>0</v>
      </c>
      <c r="W89" s="532">
        <f t="shared" si="29"/>
        <v>0</v>
      </c>
      <c r="X89" s="530">
        <f>SUM(X90:X92)+5</f>
        <v>5</v>
      </c>
      <c r="Y89" s="530">
        <f>SUM(Y90:Y92)</f>
        <v>0</v>
      </c>
      <c r="Z89" s="532">
        <f t="shared" si="30"/>
        <v>0</v>
      </c>
      <c r="AA89" s="530">
        <f>SUM(AA90:AA92)+5</f>
        <v>5</v>
      </c>
      <c r="AB89" s="530">
        <f>SUM(AB90:AB92)</f>
        <v>0</v>
      </c>
      <c r="AC89" s="532">
        <f t="shared" si="31"/>
        <v>0</v>
      </c>
      <c r="AD89" s="530">
        <f>SUM(AD90:AD92)+5</f>
        <v>5</v>
      </c>
      <c r="AE89" s="530">
        <f>SUM(AE90:AE92)</f>
        <v>0</v>
      </c>
      <c r="AF89" s="533">
        <f t="shared" si="72"/>
        <v>0</v>
      </c>
      <c r="AG89" s="530">
        <f>SUM(AG90:AG92)+5</f>
        <v>5</v>
      </c>
      <c r="AH89" s="534">
        <f>SUM(AH90:AH92)</f>
        <v>0</v>
      </c>
      <c r="AI89" s="535">
        <f t="shared" si="32"/>
        <v>0</v>
      </c>
      <c r="AJ89" s="536">
        <f>SUM(AJ90:AJ92)+5</f>
        <v>5</v>
      </c>
      <c r="AK89" s="537">
        <f>SUM(AK90:AK92)</f>
        <v>0</v>
      </c>
      <c r="AL89" s="533">
        <f t="shared" si="33"/>
        <v>0</v>
      </c>
      <c r="AM89" s="598">
        <f>SUM(AM90:AM92)+5</f>
        <v>5</v>
      </c>
      <c r="AN89" s="592">
        <f>SUM(AN90:AN92)</f>
        <v>0</v>
      </c>
      <c r="AO89" s="538">
        <f t="shared" si="34"/>
        <v>0</v>
      </c>
      <c r="AP89" s="539">
        <f t="shared" si="91"/>
        <v>7.416666666666667</v>
      </c>
      <c r="AQ89" s="539">
        <f t="shared" si="92"/>
        <v>2</v>
      </c>
      <c r="AR89" s="540">
        <f t="shared" si="93"/>
        <v>0.2696629213483146</v>
      </c>
      <c r="AS89" s="541"/>
      <c r="AT89" s="542"/>
      <c r="AU89" s="541"/>
      <c r="AV89" s="541"/>
      <c r="AW89" s="543"/>
    </row>
    <row r="90" spans="1:49" s="273" customFormat="1" ht="17.25" hidden="1" customHeight="1" outlineLevel="1" x14ac:dyDescent="0.25">
      <c r="A90" s="330" t="s">
        <v>1077</v>
      </c>
      <c r="B90" s="329">
        <v>0.03</v>
      </c>
      <c r="C90" s="340">
        <f t="shared" si="94"/>
        <v>1.4999999999999999E-2</v>
      </c>
      <c r="D90" s="340">
        <f t="shared" si="90"/>
        <v>0.2857142857142857</v>
      </c>
      <c r="E90" s="341">
        <f t="shared" si="95"/>
        <v>5.2499999999999998E-2</v>
      </c>
      <c r="F90" s="246">
        <v>4</v>
      </c>
      <c r="G90" s="246"/>
      <c r="H90" s="350">
        <f t="shared" si="25"/>
        <v>0</v>
      </c>
      <c r="I90" s="324">
        <v>4</v>
      </c>
      <c r="J90" s="324"/>
      <c r="K90" s="325">
        <f t="shared" si="26"/>
        <v>0</v>
      </c>
      <c r="L90" s="324">
        <v>3</v>
      </c>
      <c r="M90" s="324"/>
      <c r="N90" s="325">
        <f t="shared" si="89"/>
        <v>0</v>
      </c>
      <c r="O90" s="324">
        <v>3</v>
      </c>
      <c r="P90" s="324">
        <v>1</v>
      </c>
      <c r="Q90" s="301">
        <f t="shared" si="27"/>
        <v>0.33333333333333331</v>
      </c>
      <c r="R90" s="324"/>
      <c r="S90" s="324"/>
      <c r="T90" s="301" t="e">
        <f t="shared" si="28"/>
        <v>#DIV/0!</v>
      </c>
      <c r="U90" s="324"/>
      <c r="V90" s="324"/>
      <c r="W90" s="301" t="e">
        <f t="shared" si="29"/>
        <v>#DIV/0!</v>
      </c>
      <c r="X90" s="324"/>
      <c r="Y90" s="324"/>
      <c r="Z90" s="301" t="e">
        <f t="shared" si="30"/>
        <v>#DIV/0!</v>
      </c>
      <c r="AA90" s="324"/>
      <c r="AB90" s="324"/>
      <c r="AC90" s="301" t="e">
        <f t="shared" si="31"/>
        <v>#DIV/0!</v>
      </c>
      <c r="AD90" s="324"/>
      <c r="AE90" s="324"/>
      <c r="AF90" s="318" t="e">
        <f t="shared" si="72"/>
        <v>#DIV/0!</v>
      </c>
      <c r="AG90" s="324"/>
      <c r="AH90" s="326"/>
      <c r="AI90" s="319" t="e">
        <f t="shared" si="32"/>
        <v>#DIV/0!</v>
      </c>
      <c r="AJ90" s="104"/>
      <c r="AK90" s="306"/>
      <c r="AL90" s="318" t="e">
        <f t="shared" si="33"/>
        <v>#DIV/0!</v>
      </c>
      <c r="AM90" s="246"/>
      <c r="AN90" s="585"/>
      <c r="AO90" s="307" t="e">
        <f t="shared" si="34"/>
        <v>#DIV/0!</v>
      </c>
      <c r="AP90" s="308">
        <f t="shared" si="91"/>
        <v>3.5</v>
      </c>
      <c r="AQ90" s="308">
        <f t="shared" si="92"/>
        <v>1</v>
      </c>
      <c r="AR90" s="309">
        <f t="shared" si="93"/>
        <v>0.2857142857142857</v>
      </c>
      <c r="AS90" s="292"/>
      <c r="AT90" s="293"/>
      <c r="AU90" s="292"/>
      <c r="AV90" s="292"/>
      <c r="AW90" s="294"/>
    </row>
    <row r="91" spans="1:49" s="273" customFormat="1" ht="16.899999999999999" hidden="1" customHeight="1" outlineLevel="1" x14ac:dyDescent="0.25">
      <c r="A91" s="330" t="s">
        <v>1123</v>
      </c>
      <c r="B91" s="373">
        <v>0</v>
      </c>
      <c r="C91" s="340">
        <f t="shared" si="94"/>
        <v>0</v>
      </c>
      <c r="D91" s="340">
        <f t="shared" si="90"/>
        <v>0</v>
      </c>
      <c r="E91" s="341">
        <f t="shared" si="95"/>
        <v>1</v>
      </c>
      <c r="F91" s="106">
        <v>2</v>
      </c>
      <c r="G91" s="304"/>
      <c r="H91" s="350">
        <f t="shared" si="25"/>
        <v>0</v>
      </c>
      <c r="I91" s="324">
        <v>2</v>
      </c>
      <c r="J91" s="324"/>
      <c r="K91" s="325">
        <f t="shared" si="26"/>
        <v>0</v>
      </c>
      <c r="L91" s="324">
        <v>2</v>
      </c>
      <c r="M91" s="324"/>
      <c r="N91" s="325">
        <f t="shared" si="89"/>
        <v>0</v>
      </c>
      <c r="O91" s="324">
        <v>2</v>
      </c>
      <c r="P91" s="324"/>
      <c r="Q91" s="301">
        <f t="shared" si="27"/>
        <v>0</v>
      </c>
      <c r="R91" s="324"/>
      <c r="S91" s="324"/>
      <c r="T91" s="301" t="e">
        <f t="shared" si="28"/>
        <v>#DIV/0!</v>
      </c>
      <c r="U91" s="324"/>
      <c r="V91" s="324"/>
      <c r="W91" s="301" t="e">
        <f t="shared" si="29"/>
        <v>#DIV/0!</v>
      </c>
      <c r="X91" s="324"/>
      <c r="Y91" s="324"/>
      <c r="Z91" s="301" t="e">
        <f t="shared" si="30"/>
        <v>#DIV/0!</v>
      </c>
      <c r="AA91" s="324"/>
      <c r="AB91" s="324"/>
      <c r="AC91" s="301" t="e">
        <f t="shared" si="31"/>
        <v>#DIV/0!</v>
      </c>
      <c r="AD91" s="324"/>
      <c r="AE91" s="324"/>
      <c r="AF91" s="318" t="e">
        <f t="shared" si="72"/>
        <v>#DIV/0!</v>
      </c>
      <c r="AG91" s="324"/>
      <c r="AH91" s="326"/>
      <c r="AI91" s="319" t="e">
        <f t="shared" si="32"/>
        <v>#DIV/0!</v>
      </c>
      <c r="AJ91" s="104"/>
      <c r="AK91" s="306"/>
      <c r="AL91" s="318" t="e">
        <f t="shared" si="33"/>
        <v>#DIV/0!</v>
      </c>
      <c r="AM91" s="246"/>
      <c r="AN91" s="585"/>
      <c r="AO91" s="307" t="e">
        <f t="shared" si="34"/>
        <v>#DIV/0!</v>
      </c>
      <c r="AP91" s="311">
        <f t="shared" si="91"/>
        <v>2</v>
      </c>
      <c r="AQ91" s="311"/>
      <c r="AR91" s="312"/>
      <c r="AS91" s="292"/>
      <c r="AT91" s="293"/>
      <c r="AU91" s="292"/>
      <c r="AV91" s="292"/>
      <c r="AW91" s="294"/>
    </row>
    <row r="92" spans="1:49" s="273" customFormat="1" ht="16.5" hidden="1" customHeight="1" outlineLevel="1" x14ac:dyDescent="0.25">
      <c r="A92" s="330" t="s">
        <v>1122</v>
      </c>
      <c r="B92" s="340">
        <v>0</v>
      </c>
      <c r="C92" s="340">
        <f t="shared" si="94"/>
        <v>0</v>
      </c>
      <c r="D92" s="340">
        <f>AR92</f>
        <v>0</v>
      </c>
      <c r="E92" s="341">
        <f t="shared" si="95"/>
        <v>1</v>
      </c>
      <c r="F92" s="362">
        <v>2</v>
      </c>
      <c r="G92" s="326"/>
      <c r="H92" s="350">
        <f t="shared" si="25"/>
        <v>0</v>
      </c>
      <c r="I92" s="324">
        <v>2</v>
      </c>
      <c r="J92" s="324"/>
      <c r="K92" s="325">
        <f t="shared" si="26"/>
        <v>0</v>
      </c>
      <c r="L92" s="324">
        <v>2</v>
      </c>
      <c r="M92" s="324"/>
      <c r="N92" s="325">
        <f t="shared" si="89"/>
        <v>0</v>
      </c>
      <c r="O92" s="324">
        <v>2</v>
      </c>
      <c r="P92" s="324"/>
      <c r="Q92" s="301">
        <f t="shared" si="27"/>
        <v>0</v>
      </c>
      <c r="R92" s="324"/>
      <c r="S92" s="324"/>
      <c r="T92" s="301" t="e">
        <f t="shared" si="28"/>
        <v>#DIV/0!</v>
      </c>
      <c r="U92" s="324"/>
      <c r="V92" s="324"/>
      <c r="W92" s="301" t="e">
        <f t="shared" si="29"/>
        <v>#DIV/0!</v>
      </c>
      <c r="X92" s="324"/>
      <c r="Y92" s="324"/>
      <c r="Z92" s="301" t="e">
        <f t="shared" si="30"/>
        <v>#DIV/0!</v>
      </c>
      <c r="AA92" s="324"/>
      <c r="AB92" s="324"/>
      <c r="AC92" s="301" t="e">
        <f t="shared" si="31"/>
        <v>#DIV/0!</v>
      </c>
      <c r="AD92" s="324"/>
      <c r="AE92" s="324"/>
      <c r="AF92" s="318" t="e">
        <f t="shared" si="72"/>
        <v>#DIV/0!</v>
      </c>
      <c r="AG92" s="324"/>
      <c r="AH92" s="326"/>
      <c r="AI92" s="319" t="e">
        <f t="shared" si="32"/>
        <v>#DIV/0!</v>
      </c>
      <c r="AJ92" s="104"/>
      <c r="AK92" s="306"/>
      <c r="AL92" s="318" t="e">
        <f t="shared" si="33"/>
        <v>#DIV/0!</v>
      </c>
      <c r="AM92" s="246"/>
      <c r="AN92" s="585"/>
      <c r="AO92" s="307" t="e">
        <f t="shared" si="34"/>
        <v>#DIV/0!</v>
      </c>
      <c r="AP92" s="363">
        <f t="shared" si="91"/>
        <v>2</v>
      </c>
      <c r="AQ92" s="363"/>
      <c r="AR92" s="364"/>
      <c r="AS92" s="292"/>
      <c r="AT92" s="293"/>
      <c r="AU92" s="292"/>
      <c r="AV92" s="292"/>
      <c r="AW92" s="294"/>
    </row>
    <row r="93" spans="1:49" s="555" customFormat="1" ht="16.899999999999999" customHeight="1" collapsed="1" x14ac:dyDescent="0.25">
      <c r="A93" s="394" t="s">
        <v>815</v>
      </c>
      <c r="B93" s="395">
        <v>0.09</v>
      </c>
      <c r="C93" s="395">
        <f t="shared" si="94"/>
        <v>4.4999999999999998E-2</v>
      </c>
      <c r="D93" s="395">
        <f t="shared" si="90"/>
        <v>0.16901408450704225</v>
      </c>
      <c r="E93" s="396">
        <f t="shared" si="95"/>
        <v>0.26624999999999999</v>
      </c>
      <c r="F93" s="545">
        <f>SUM(F94:F95)</f>
        <v>18</v>
      </c>
      <c r="G93" s="546">
        <f>SUM(G94:G95)</f>
        <v>0</v>
      </c>
      <c r="H93" s="547">
        <f t="shared" si="25"/>
        <v>0</v>
      </c>
      <c r="I93" s="548">
        <f>SUM(I94:I95)</f>
        <v>17</v>
      </c>
      <c r="J93" s="548"/>
      <c r="K93" s="547">
        <f t="shared" si="26"/>
        <v>0</v>
      </c>
      <c r="L93" s="548">
        <v>18</v>
      </c>
      <c r="M93" s="548">
        <v>1</v>
      </c>
      <c r="N93" s="547">
        <f t="shared" si="89"/>
        <v>5.5555555555555552E-2</v>
      </c>
      <c r="O93" s="548">
        <v>18</v>
      </c>
      <c r="P93" s="548">
        <f>SUM(P94:P95)</f>
        <v>0</v>
      </c>
      <c r="Q93" s="547">
        <f t="shared" si="27"/>
        <v>0</v>
      </c>
      <c r="R93" s="548">
        <f>SUM(R94:R95)</f>
        <v>0</v>
      </c>
      <c r="S93" s="548">
        <f>SUM(S94:S95)</f>
        <v>0</v>
      </c>
      <c r="T93" s="547" t="e">
        <f t="shared" si="28"/>
        <v>#DIV/0!</v>
      </c>
      <c r="U93" s="548">
        <f>SUM(U94:U95)</f>
        <v>0</v>
      </c>
      <c r="V93" s="548">
        <f>SUM(V94:V95)</f>
        <v>0</v>
      </c>
      <c r="W93" s="547" t="e">
        <f t="shared" si="29"/>
        <v>#DIV/0!</v>
      </c>
      <c r="X93" s="548">
        <f>SUM(X94:X95)</f>
        <v>0</v>
      </c>
      <c r="Y93" s="548">
        <f>SUM(Y94:Y95)</f>
        <v>0</v>
      </c>
      <c r="Z93" s="547" t="e">
        <f t="shared" si="30"/>
        <v>#DIV/0!</v>
      </c>
      <c r="AA93" s="548">
        <f>SUM(AA94:AA95)</f>
        <v>0</v>
      </c>
      <c r="AB93" s="548">
        <f>SUM(AB94:AB95)</f>
        <v>0</v>
      </c>
      <c r="AC93" s="547" t="e">
        <f t="shared" si="31"/>
        <v>#DIV/0!</v>
      </c>
      <c r="AD93" s="548">
        <f>SUM(AD94:AD95)</f>
        <v>0</v>
      </c>
      <c r="AE93" s="548">
        <f>SUM(AE94:AE95)</f>
        <v>0</v>
      </c>
      <c r="AF93" s="547" t="e">
        <f t="shared" si="72"/>
        <v>#DIV/0!</v>
      </c>
      <c r="AG93" s="548">
        <f>SUM(AG94:AG95)</f>
        <v>0</v>
      </c>
      <c r="AH93" s="546">
        <f>SUM(AH94:AH95)</f>
        <v>0</v>
      </c>
      <c r="AI93" s="547" t="e">
        <f t="shared" si="32"/>
        <v>#DIV/0!</v>
      </c>
      <c r="AJ93" s="548">
        <f>SUM(AJ94:AJ95)</f>
        <v>0</v>
      </c>
      <c r="AK93" s="546">
        <f>SUM(AK94:AK95)</f>
        <v>0</v>
      </c>
      <c r="AL93" s="583" t="e">
        <f t="shared" si="33"/>
        <v>#DIV/0!</v>
      </c>
      <c r="AM93" s="548">
        <f>SUM(AM94:AM95)</f>
        <v>0</v>
      </c>
      <c r="AN93" s="593">
        <f>SUM(AN94:AN95)</f>
        <v>0</v>
      </c>
      <c r="AO93" s="549" t="e">
        <f t="shared" si="34"/>
        <v>#DIV/0!</v>
      </c>
      <c r="AP93" s="550">
        <f>AVERAGE(F93,I93,L93,O93,R93,U93,X93,AA93,AD93,AG93,AJ93,AM93)</f>
        <v>5.916666666666667</v>
      </c>
      <c r="AQ93" s="550">
        <f>SUM(G93,J93,M93,P93,S93,V93,Y93,AB93,AE93,AH93,AK93,AN93)</f>
        <v>1</v>
      </c>
      <c r="AR93" s="551">
        <f>AQ93/AP93</f>
        <v>0.16901408450704225</v>
      </c>
      <c r="AS93" s="552"/>
      <c r="AT93" s="553"/>
      <c r="AU93" s="552"/>
      <c r="AV93" s="552"/>
      <c r="AW93" s="554"/>
    </row>
    <row r="94" spans="1:49" s="273" customFormat="1" ht="16.899999999999999" hidden="1" customHeight="1" outlineLevel="1" x14ac:dyDescent="0.25">
      <c r="A94" s="330" t="s">
        <v>1080</v>
      </c>
      <c r="B94" s="332">
        <v>0.15</v>
      </c>
      <c r="C94" s="332">
        <f t="shared" si="94"/>
        <v>7.4999999999999997E-2</v>
      </c>
      <c r="D94" s="329">
        <f t="shared" si="90"/>
        <v>0</v>
      </c>
      <c r="E94" s="366">
        <f t="shared" si="95"/>
        <v>1</v>
      </c>
      <c r="F94" s="106">
        <v>17</v>
      </c>
      <c r="G94" s="304"/>
      <c r="H94" s="303">
        <f t="shared" si="25"/>
        <v>0</v>
      </c>
      <c r="I94" s="246">
        <v>16</v>
      </c>
      <c r="J94" s="246"/>
      <c r="K94" s="303">
        <f t="shared" si="26"/>
        <v>0</v>
      </c>
      <c r="L94" s="246">
        <v>17</v>
      </c>
      <c r="M94" s="246"/>
      <c r="N94" s="303">
        <f t="shared" si="89"/>
        <v>0</v>
      </c>
      <c r="O94" s="246">
        <v>17</v>
      </c>
      <c r="P94" s="246"/>
      <c r="Q94" s="303">
        <f t="shared" si="27"/>
        <v>0</v>
      </c>
      <c r="R94" s="246"/>
      <c r="S94" s="246"/>
      <c r="T94" s="303" t="e">
        <f t="shared" si="28"/>
        <v>#DIV/0!</v>
      </c>
      <c r="U94" s="246"/>
      <c r="V94" s="246"/>
      <c r="W94" s="303" t="e">
        <f t="shared" si="29"/>
        <v>#DIV/0!</v>
      </c>
      <c r="X94" s="246"/>
      <c r="Y94" s="246"/>
      <c r="Z94" s="303" t="e">
        <f t="shared" si="30"/>
        <v>#DIV/0!</v>
      </c>
      <c r="AA94" s="246"/>
      <c r="AB94" s="246"/>
      <c r="AC94" s="303" t="e">
        <f t="shared" si="31"/>
        <v>#DIV/0!</v>
      </c>
      <c r="AD94" s="246"/>
      <c r="AE94" s="246"/>
      <c r="AF94" s="303" t="e">
        <f t="shared" si="72"/>
        <v>#DIV/0!</v>
      </c>
      <c r="AG94" s="246"/>
      <c r="AH94" s="304"/>
      <c r="AI94" s="303" t="e">
        <f t="shared" si="32"/>
        <v>#DIV/0!</v>
      </c>
      <c r="AJ94" s="246"/>
      <c r="AK94" s="304"/>
      <c r="AL94" s="303" t="e">
        <f t="shared" si="33"/>
        <v>#DIV/0!</v>
      </c>
      <c r="AM94" s="246"/>
      <c r="AN94" s="304"/>
      <c r="AO94" s="310" t="e">
        <f t="shared" si="34"/>
        <v>#DIV/0!</v>
      </c>
      <c r="AP94" s="311">
        <f>AVERAGE(F94,I94,L94,O94,R94,U94,X94,AA94,AD94,AG94,AJ94,AM94)</f>
        <v>16.75</v>
      </c>
      <c r="AQ94" s="311">
        <f>SUM(G94,J94,M94,P94,S94,V94,Y94,AB94,AE94,AH94,AK94,AN94)</f>
        <v>0</v>
      </c>
      <c r="AR94" s="551">
        <f>AQ94/AP94</f>
        <v>0</v>
      </c>
      <c r="AS94" s="292"/>
      <c r="AT94" s="293"/>
      <c r="AU94" s="292"/>
      <c r="AV94" s="292"/>
      <c r="AW94" s="294"/>
    </row>
    <row r="95" spans="1:49" s="273" customFormat="1" ht="16.899999999999999" hidden="1" customHeight="1" outlineLevel="1" x14ac:dyDescent="0.25">
      <c r="A95" s="330" t="s">
        <v>1071</v>
      </c>
      <c r="B95" s="332">
        <v>0</v>
      </c>
      <c r="C95" s="332">
        <f t="shared" si="94"/>
        <v>0</v>
      </c>
      <c r="D95" s="329">
        <f t="shared" si="90"/>
        <v>0</v>
      </c>
      <c r="E95" s="366">
        <f t="shared" si="95"/>
        <v>1</v>
      </c>
      <c r="F95" s="106">
        <v>1</v>
      </c>
      <c r="G95" s="304"/>
      <c r="H95" s="303">
        <f t="shared" si="25"/>
        <v>0</v>
      </c>
      <c r="I95" s="246">
        <v>1</v>
      </c>
      <c r="J95" s="246"/>
      <c r="K95" s="303">
        <f t="shared" si="26"/>
        <v>0</v>
      </c>
      <c r="L95" s="246">
        <v>1</v>
      </c>
      <c r="M95" s="246"/>
      <c r="N95" s="303">
        <f t="shared" si="89"/>
        <v>0</v>
      </c>
      <c r="O95" s="246">
        <v>1</v>
      </c>
      <c r="P95" s="246"/>
      <c r="Q95" s="303">
        <f t="shared" si="27"/>
        <v>0</v>
      </c>
      <c r="R95" s="246"/>
      <c r="S95" s="246"/>
      <c r="T95" s="303" t="e">
        <f t="shared" si="28"/>
        <v>#DIV/0!</v>
      </c>
      <c r="U95" s="246"/>
      <c r="V95" s="246"/>
      <c r="W95" s="303" t="e">
        <f t="shared" si="29"/>
        <v>#DIV/0!</v>
      </c>
      <c r="X95" s="246"/>
      <c r="Y95" s="246"/>
      <c r="Z95" s="303" t="e">
        <f t="shared" si="30"/>
        <v>#DIV/0!</v>
      </c>
      <c r="AA95" s="246"/>
      <c r="AB95" s="246"/>
      <c r="AC95" s="303" t="e">
        <f t="shared" si="31"/>
        <v>#DIV/0!</v>
      </c>
      <c r="AD95" s="246"/>
      <c r="AE95" s="246"/>
      <c r="AF95" s="303" t="e">
        <f t="shared" si="72"/>
        <v>#DIV/0!</v>
      </c>
      <c r="AG95" s="246"/>
      <c r="AH95" s="304"/>
      <c r="AI95" s="303" t="e">
        <f t="shared" si="32"/>
        <v>#DIV/0!</v>
      </c>
      <c r="AJ95" s="246"/>
      <c r="AK95" s="304"/>
      <c r="AL95" s="303" t="e">
        <f t="shared" si="33"/>
        <v>#DIV/0!</v>
      </c>
      <c r="AM95" s="246"/>
      <c r="AN95" s="304"/>
      <c r="AO95" s="310" t="e">
        <f t="shared" si="34"/>
        <v>#DIV/0!</v>
      </c>
      <c r="AP95" s="311">
        <f>AVERAGE(F95,I95,L95,O95,R95,U95,X95,AA95,AD95,AG95,AJ95,AM95)</f>
        <v>1</v>
      </c>
      <c r="AQ95" s="311">
        <f>SUM(G95,J95,M95,P95,S95,V95,Y95,AB95,AE95,AH95,AK95,AN95)</f>
        <v>0</v>
      </c>
      <c r="AR95" s="551">
        <f>AQ95/AP95</f>
        <v>0</v>
      </c>
      <c r="AS95" s="292"/>
      <c r="AT95" s="293"/>
      <c r="AU95" s="292"/>
      <c r="AV95" s="292"/>
      <c r="AW95" s="294"/>
    </row>
    <row r="96" spans="1:49" s="29" customFormat="1" ht="16.5" customHeight="1" collapsed="1" x14ac:dyDescent="0.25">
      <c r="A96" s="557" t="s">
        <v>441</v>
      </c>
      <c r="B96" s="315"/>
      <c r="C96" s="315"/>
      <c r="D96" s="316"/>
      <c r="E96" s="317"/>
      <c r="F96" s="558">
        <f>F17+F19+F20+F21+F22+F26+F35+F36+F42+F43+F48+F54+F57+F61+F65+F68+F73+F89+F93</f>
        <v>471</v>
      </c>
      <c r="G96" s="558">
        <f>SUM(G17:G95)</f>
        <v>14</v>
      </c>
      <c r="H96" s="559">
        <f>G96/F96</f>
        <v>2.9723991507430998E-2</v>
      </c>
      <c r="I96" s="558">
        <f>I17+I19+I20+I21+I22+I26+I35+I36+I42+I43+I48+I54+I57+I61+I65+I68+I73+I89+I93</f>
        <v>465</v>
      </c>
      <c r="J96" s="558">
        <f>J22+J35+J26+J36+J41+J57+J61+J65+J68+J73+J89+J93</f>
        <v>12</v>
      </c>
      <c r="K96" s="559">
        <f t="shared" si="26"/>
        <v>2.5806451612903226E-2</v>
      </c>
      <c r="L96" s="558">
        <f>L17+L19+L20+L21+L22+L26+L35+L36+L42+L43+L48+L54+L57+L61+L65+L68+L73+L89+L93</f>
        <v>472</v>
      </c>
      <c r="M96" s="558">
        <f>M22+M35+M26+M36+M41+M57+M61+M65+M68+M73+M80+M85+M89+M93</f>
        <v>8</v>
      </c>
      <c r="N96" s="559">
        <f t="shared" si="89"/>
        <v>1.6949152542372881E-2</v>
      </c>
      <c r="O96" s="558">
        <f>O17+O19+O20+O21+O22+O26+O35+O36+O42+O43+O48+O54+O57+O61+O65+O68+O73+O89+O93</f>
        <v>431</v>
      </c>
      <c r="P96" s="558">
        <f>P22+P35+P26+P36+P41+P57+P61+P65+P68+P73+P80+P85+P89+P93</f>
        <v>7</v>
      </c>
      <c r="Q96" s="559">
        <f>P96/O96</f>
        <v>1.6241299303944315E-2</v>
      </c>
      <c r="R96" s="558"/>
      <c r="S96" s="558"/>
      <c r="T96" s="560"/>
      <c r="U96" s="558"/>
      <c r="V96" s="558"/>
      <c r="W96" s="560"/>
      <c r="X96" s="558"/>
      <c r="Y96" s="558"/>
      <c r="Z96" s="560"/>
      <c r="AA96" s="558"/>
      <c r="AB96" s="558"/>
      <c r="AC96" s="560"/>
      <c r="AD96" s="558"/>
      <c r="AE96" s="558"/>
      <c r="AF96" s="559"/>
      <c r="AG96" s="561"/>
      <c r="AH96" s="562"/>
      <c r="AI96" s="559"/>
      <c r="AJ96" s="561"/>
      <c r="AK96" s="562"/>
      <c r="AL96" s="559"/>
      <c r="AM96" s="561"/>
      <c r="AN96" s="562"/>
      <c r="AO96" s="563"/>
      <c r="AP96" s="564">
        <f>AP17+AP19+AP20+AP21+AP22+AP26+AP35+AP36+AP42+AP43+AP48+AP54+AP57+AP61+AP65+AP68+AP73+AP89+AP93</f>
        <v>193.41666666666666</v>
      </c>
      <c r="AQ96" s="564">
        <f>AQ17+AQ19+AQ20+AQ21+AQ22+AQ26+AQ35+AQ36+AQ42+AQ43+AQ48+AQ54+AQ57+AQ61+AQ65+AQ68+AQ73+AQ89+AQ93</f>
        <v>24</v>
      </c>
      <c r="AR96" s="614">
        <f>AQ96/AP96</f>
        <v>0.12408444635932789</v>
      </c>
      <c r="AS96" s="292"/>
      <c r="AT96" s="293"/>
      <c r="AU96" s="292"/>
      <c r="AV96" s="292"/>
      <c r="AW96" s="294"/>
    </row>
    <row r="98" spans="1:46" s="29" customFormat="1" ht="36" customHeight="1" x14ac:dyDescent="0.3">
      <c r="A98" s="141" t="s">
        <v>1214</v>
      </c>
      <c r="B98" s="620" t="s">
        <v>1119</v>
      </c>
      <c r="C98" s="620" t="s">
        <v>610</v>
      </c>
      <c r="D98" s="620" t="s">
        <v>735</v>
      </c>
      <c r="E98" s="620" t="s">
        <v>736</v>
      </c>
      <c r="F98" s="623" t="s">
        <v>426</v>
      </c>
      <c r="G98" s="623"/>
      <c r="H98" s="623"/>
      <c r="I98" s="623" t="s">
        <v>427</v>
      </c>
      <c r="J98" s="623"/>
      <c r="K98" s="623"/>
      <c r="L98" s="623" t="s">
        <v>428</v>
      </c>
      <c r="M98" s="623"/>
      <c r="N98" s="623"/>
      <c r="O98" s="623" t="s">
        <v>429</v>
      </c>
      <c r="P98" s="623"/>
      <c r="Q98" s="623"/>
      <c r="R98" s="623" t="s">
        <v>423</v>
      </c>
      <c r="S98" s="623"/>
      <c r="T98" s="623"/>
      <c r="U98" s="623" t="s">
        <v>430</v>
      </c>
      <c r="V98" s="623"/>
      <c r="W98" s="623"/>
      <c r="X98" s="623" t="s">
        <v>431</v>
      </c>
      <c r="Y98" s="623"/>
      <c r="Z98" s="623"/>
      <c r="AA98" s="623" t="s">
        <v>432</v>
      </c>
      <c r="AB98" s="623"/>
      <c r="AC98" s="623"/>
      <c r="AD98" s="623" t="s">
        <v>433</v>
      </c>
      <c r="AE98" s="623"/>
      <c r="AF98" s="623"/>
      <c r="AG98" s="623" t="s">
        <v>434</v>
      </c>
      <c r="AH98" s="623"/>
      <c r="AI98" s="623"/>
      <c r="AJ98" s="623" t="s">
        <v>435</v>
      </c>
      <c r="AK98" s="623"/>
      <c r="AL98" s="623"/>
      <c r="AM98" s="623" t="s">
        <v>436</v>
      </c>
      <c r="AN98" s="623"/>
      <c r="AO98" s="623"/>
      <c r="AP98" s="624" t="s">
        <v>437</v>
      </c>
      <c r="AQ98" s="624"/>
      <c r="AR98" s="624"/>
    </row>
    <row r="99" spans="1:46" ht="16.899999999999999" customHeight="1" outlineLevel="1" x14ac:dyDescent="0.25">
      <c r="A99" s="72" t="s">
        <v>696</v>
      </c>
      <c r="B99" s="620"/>
      <c r="C99" s="620"/>
      <c r="D99" s="620"/>
      <c r="E99" s="620"/>
      <c r="F99" s="249" t="s">
        <v>438</v>
      </c>
      <c r="G99" s="249" t="s">
        <v>439</v>
      </c>
      <c r="H99" s="249" t="s">
        <v>440</v>
      </c>
      <c r="I99" s="249" t="s">
        <v>438</v>
      </c>
      <c r="J99" s="249" t="s">
        <v>439</v>
      </c>
      <c r="K99" s="249" t="s">
        <v>440</v>
      </c>
      <c r="L99" s="249" t="s">
        <v>438</v>
      </c>
      <c r="M99" s="249" t="s">
        <v>439</v>
      </c>
      <c r="N99" s="249" t="s">
        <v>440</v>
      </c>
      <c r="O99" s="249" t="s">
        <v>438</v>
      </c>
      <c r="P99" s="249" t="s">
        <v>439</v>
      </c>
      <c r="Q99" s="249" t="s">
        <v>440</v>
      </c>
      <c r="R99" s="249" t="s">
        <v>438</v>
      </c>
      <c r="S99" s="249" t="s">
        <v>439</v>
      </c>
      <c r="T99" s="249" t="s">
        <v>440</v>
      </c>
      <c r="U99" s="249" t="s">
        <v>438</v>
      </c>
      <c r="V99" s="249" t="s">
        <v>439</v>
      </c>
      <c r="W99" s="249" t="s">
        <v>440</v>
      </c>
      <c r="X99" s="249" t="s">
        <v>438</v>
      </c>
      <c r="Y99" s="249" t="s">
        <v>439</v>
      </c>
      <c r="Z99" s="249" t="s">
        <v>440</v>
      </c>
      <c r="AA99" s="249" t="s">
        <v>438</v>
      </c>
      <c r="AB99" s="249" t="s">
        <v>439</v>
      </c>
      <c r="AC99" s="249" t="s">
        <v>440</v>
      </c>
      <c r="AD99" s="249" t="s">
        <v>438</v>
      </c>
      <c r="AE99" s="249" t="s">
        <v>439</v>
      </c>
      <c r="AF99" s="249" t="s">
        <v>440</v>
      </c>
      <c r="AG99" s="249" t="s">
        <v>438</v>
      </c>
      <c r="AH99" s="249" t="s">
        <v>439</v>
      </c>
      <c r="AI99" s="249" t="s">
        <v>440</v>
      </c>
      <c r="AJ99" s="249" t="s">
        <v>438</v>
      </c>
      <c r="AK99" s="249" t="s">
        <v>439</v>
      </c>
      <c r="AL99" s="249" t="s">
        <v>440</v>
      </c>
      <c r="AM99" s="249" t="s">
        <v>438</v>
      </c>
      <c r="AN99" s="249" t="s">
        <v>439</v>
      </c>
      <c r="AO99" s="249" t="s">
        <v>440</v>
      </c>
      <c r="AP99" s="249" t="s">
        <v>438</v>
      </c>
      <c r="AQ99" s="249" t="s">
        <v>439</v>
      </c>
      <c r="AR99" s="249" t="s">
        <v>440</v>
      </c>
    </row>
    <row r="100" spans="1:46" ht="20.25" customHeight="1" outlineLevel="1" x14ac:dyDescent="0.25">
      <c r="A100" s="337" t="s">
        <v>762</v>
      </c>
      <c r="B100" s="339">
        <v>0.15</v>
      </c>
      <c r="C100" s="339">
        <f>B100/12*$C$14</f>
        <v>7.4999999999999997E-2</v>
      </c>
      <c r="D100" s="339">
        <f>C100/12*$C$14</f>
        <v>3.7499999999999999E-2</v>
      </c>
      <c r="E100" s="374">
        <f>IF(D100&gt;0%,C100/D100,100%)</f>
        <v>2</v>
      </c>
      <c r="F100" s="246"/>
      <c r="G100" s="304"/>
      <c r="H100" s="303">
        <v>0</v>
      </c>
      <c r="I100" s="246">
        <v>2</v>
      </c>
      <c r="J100" s="248"/>
      <c r="K100" s="247">
        <f>J100/I100</f>
        <v>0</v>
      </c>
      <c r="L100" s="246">
        <v>1</v>
      </c>
      <c r="M100" s="249"/>
      <c r="N100" s="247">
        <f>M100/L100</f>
        <v>0</v>
      </c>
      <c r="O100" s="246">
        <v>3</v>
      </c>
      <c r="P100" s="248">
        <v>1</v>
      </c>
      <c r="Q100" s="247">
        <f>P100/O100</f>
        <v>0.33333333333333331</v>
      </c>
      <c r="R100" s="246"/>
      <c r="S100" s="248"/>
      <c r="T100" s="247" t="e">
        <f t="shared" ref="T100:T110" si="96">S100/R100</f>
        <v>#DIV/0!</v>
      </c>
      <c r="U100" s="246"/>
      <c r="V100" s="248"/>
      <c r="W100" s="247" t="e">
        <f t="shared" ref="W100:W110" si="97">V100/U100</f>
        <v>#DIV/0!</v>
      </c>
      <c r="X100" s="246"/>
      <c r="Y100" s="248"/>
      <c r="Z100" s="247" t="e">
        <f t="shared" ref="Z100:Z110" si="98">Y100/X100</f>
        <v>#DIV/0!</v>
      </c>
      <c r="AA100" s="246"/>
      <c r="AB100" s="248"/>
      <c r="AC100" s="247" t="e">
        <f t="shared" ref="AC100:AC112" si="99">AB100/AA100</f>
        <v>#DIV/0!</v>
      </c>
      <c r="AD100" s="246"/>
      <c r="AE100" s="248"/>
      <c r="AF100" s="247" t="e">
        <f t="shared" ref="AF100:AF112" si="100">AE100/AD100</f>
        <v>#DIV/0!</v>
      </c>
      <c r="AG100" s="246"/>
      <c r="AH100" s="248"/>
      <c r="AI100" s="247" t="e">
        <f t="shared" ref="AI100:AI112" si="101">AH100/AG100</f>
        <v>#DIV/0!</v>
      </c>
      <c r="AJ100" s="246"/>
      <c r="AK100" s="248"/>
      <c r="AL100" s="247" t="e">
        <f t="shared" ref="AL100:AL112" si="102">AK100/AJ100</f>
        <v>#DIV/0!</v>
      </c>
      <c r="AM100" s="246"/>
      <c r="AN100" s="248"/>
      <c r="AO100" s="250" t="e">
        <f t="shared" ref="AO100:AO112" si="103">AN100/AM100</f>
        <v>#DIV/0!</v>
      </c>
      <c r="AP100" s="251">
        <f>F100+I100+L100+O100+R100+U100+X100+AA100+AD100+AG100+AJ100+AM100</f>
        <v>6</v>
      </c>
      <c r="AQ100" s="251">
        <f>SUM(G100,J100,M100,P100,S100,V100,Y100,AB100,AE100,AH100,AK100,AN100)</f>
        <v>1</v>
      </c>
      <c r="AR100" s="252">
        <f>AQ100/AP100</f>
        <v>0.16666666666666666</v>
      </c>
      <c r="AS100" s="260"/>
      <c r="AT100" s="260"/>
    </row>
    <row r="101" spans="1:46" ht="17.25" customHeight="1" outlineLevel="1" x14ac:dyDescent="0.25">
      <c r="A101" s="295" t="s">
        <v>1098</v>
      </c>
      <c r="B101" s="297">
        <v>0.18</v>
      </c>
      <c r="C101" s="297">
        <f>B101/12*$C$14</f>
        <v>0.09</v>
      </c>
      <c r="D101" s="297">
        <v>0</v>
      </c>
      <c r="E101" s="375">
        <f t="shared" ref="E101:E113" si="104">IF(D101&gt;0%,C101/D101,100%)</f>
        <v>1</v>
      </c>
      <c r="F101" s="246">
        <v>0</v>
      </c>
      <c r="G101" s="246">
        <v>0</v>
      </c>
      <c r="H101" s="303">
        <v>0</v>
      </c>
      <c r="I101" s="246"/>
      <c r="J101" s="248"/>
      <c r="K101" s="247">
        <v>0</v>
      </c>
      <c r="L101" s="246"/>
      <c r="M101" s="249"/>
      <c r="N101" s="247">
        <v>0</v>
      </c>
      <c r="O101" s="246"/>
      <c r="P101" s="248"/>
      <c r="Q101" s="247" t="e">
        <f t="shared" ref="Q101:Q112" si="105">P101/O101</f>
        <v>#DIV/0!</v>
      </c>
      <c r="R101" s="246"/>
      <c r="S101" s="248"/>
      <c r="T101" s="247" t="e">
        <f t="shared" si="96"/>
        <v>#DIV/0!</v>
      </c>
      <c r="U101" s="246"/>
      <c r="V101" s="248"/>
      <c r="W101" s="247" t="e">
        <f t="shared" si="97"/>
        <v>#DIV/0!</v>
      </c>
      <c r="X101" s="246"/>
      <c r="Y101" s="248"/>
      <c r="Z101" s="247" t="e">
        <f t="shared" si="98"/>
        <v>#DIV/0!</v>
      </c>
      <c r="AA101" s="246"/>
      <c r="AB101" s="248"/>
      <c r="AC101" s="247" t="e">
        <f t="shared" si="99"/>
        <v>#DIV/0!</v>
      </c>
      <c r="AD101" s="246"/>
      <c r="AE101" s="248"/>
      <c r="AF101" s="247" t="e">
        <f t="shared" si="100"/>
        <v>#DIV/0!</v>
      </c>
      <c r="AG101" s="246"/>
      <c r="AH101" s="248"/>
      <c r="AI101" s="247" t="e">
        <f t="shared" si="101"/>
        <v>#DIV/0!</v>
      </c>
      <c r="AJ101" s="246"/>
      <c r="AK101" s="248"/>
      <c r="AL101" s="247" t="e">
        <f t="shared" si="102"/>
        <v>#DIV/0!</v>
      </c>
      <c r="AM101" s="246"/>
      <c r="AN101" s="248"/>
      <c r="AO101" s="250" t="e">
        <f t="shared" si="103"/>
        <v>#DIV/0!</v>
      </c>
      <c r="AP101" s="251">
        <f t="shared" ref="AP101:AP164" si="106">F101+I101+L101+O101+R101+U101+X101+AA101+AD101+AG101+AJ101+AM101</f>
        <v>0</v>
      </c>
      <c r="AQ101" s="251">
        <f t="shared" ref="AQ101:AQ164" si="107">SUM(G101,J101,M101,P101,S101,V101,Y101,AB101,AE101,AH101,AK101,AN101)</f>
        <v>0</v>
      </c>
      <c r="AR101" s="252" t="e">
        <f t="shared" ref="AR101:AR164" si="108">AQ101/AP101</f>
        <v>#DIV/0!</v>
      </c>
      <c r="AS101" s="260"/>
      <c r="AT101" s="260"/>
    </row>
    <row r="102" spans="1:46" ht="17.25" customHeight="1" outlineLevel="1" x14ac:dyDescent="0.25">
      <c r="A102" s="330" t="s">
        <v>1056</v>
      </c>
      <c r="B102" s="329">
        <v>0.1</v>
      </c>
      <c r="C102" s="329">
        <f t="shared" ref="C102:C116" si="109">B102/12*$C$14</f>
        <v>0.05</v>
      </c>
      <c r="D102" s="329" t="e">
        <f>AR102</f>
        <v>#DIV/0!</v>
      </c>
      <c r="E102" s="331" t="e">
        <f t="shared" si="104"/>
        <v>#DIV/0!</v>
      </c>
      <c r="F102" s="246">
        <v>0</v>
      </c>
      <c r="G102" s="246"/>
      <c r="H102" s="303">
        <v>0</v>
      </c>
      <c r="I102" s="246"/>
      <c r="J102" s="248"/>
      <c r="K102" s="247">
        <v>0</v>
      </c>
      <c r="L102" s="246"/>
      <c r="M102" s="249"/>
      <c r="N102" s="247">
        <v>0</v>
      </c>
      <c r="O102" s="246"/>
      <c r="P102" s="248"/>
      <c r="Q102" s="247" t="e">
        <f>P102/O102</f>
        <v>#DIV/0!</v>
      </c>
      <c r="R102" s="246"/>
      <c r="S102" s="248"/>
      <c r="T102" s="247" t="e">
        <f>S102/R102</f>
        <v>#DIV/0!</v>
      </c>
      <c r="U102" s="246"/>
      <c r="V102" s="248"/>
      <c r="W102" s="247" t="e">
        <f>V102/U102</f>
        <v>#DIV/0!</v>
      </c>
      <c r="X102" s="246"/>
      <c r="Y102" s="248"/>
      <c r="Z102" s="247" t="e">
        <f>Y102/X102</f>
        <v>#DIV/0!</v>
      </c>
      <c r="AA102" s="246"/>
      <c r="AB102" s="248"/>
      <c r="AC102" s="247" t="e">
        <f>AB102/AA102</f>
        <v>#DIV/0!</v>
      </c>
      <c r="AD102" s="246"/>
      <c r="AE102" s="248"/>
      <c r="AF102" s="247" t="e">
        <f>AE102/AD102</f>
        <v>#DIV/0!</v>
      </c>
      <c r="AG102" s="246"/>
      <c r="AH102" s="248"/>
      <c r="AI102" s="247" t="e">
        <f>AH102/AG102</f>
        <v>#DIV/0!</v>
      </c>
      <c r="AJ102" s="246"/>
      <c r="AK102" s="248"/>
      <c r="AL102" s="247" t="e">
        <f>AK102/AJ102</f>
        <v>#DIV/0!</v>
      </c>
      <c r="AM102" s="246"/>
      <c r="AN102" s="248"/>
      <c r="AO102" s="250" t="e">
        <f>AN102/AM102</f>
        <v>#DIV/0!</v>
      </c>
      <c r="AP102" s="251">
        <f t="shared" si="106"/>
        <v>0</v>
      </c>
      <c r="AQ102" s="251">
        <f t="shared" si="107"/>
        <v>0</v>
      </c>
      <c r="AR102" s="252" t="e">
        <f t="shared" si="108"/>
        <v>#DIV/0!</v>
      </c>
      <c r="AS102" s="260"/>
      <c r="AT102" s="260"/>
    </row>
    <row r="103" spans="1:46" ht="17.25" customHeight="1" outlineLevel="1" x14ac:dyDescent="0.25">
      <c r="A103" s="330" t="s">
        <v>139</v>
      </c>
      <c r="B103" s="329">
        <v>0.04</v>
      </c>
      <c r="C103" s="329">
        <f t="shared" si="109"/>
        <v>0.02</v>
      </c>
      <c r="D103" s="329" t="e">
        <f t="shared" ref="D103:D140" si="110">AR103</f>
        <v>#DIV/0!</v>
      </c>
      <c r="E103" s="331" t="e">
        <f t="shared" si="104"/>
        <v>#DIV/0!</v>
      </c>
      <c r="F103" s="246">
        <v>0</v>
      </c>
      <c r="G103" s="246"/>
      <c r="H103" s="303">
        <v>0</v>
      </c>
      <c r="I103" s="246"/>
      <c r="J103" s="248"/>
      <c r="K103" s="247">
        <v>0</v>
      </c>
      <c r="L103" s="246"/>
      <c r="M103" s="249"/>
      <c r="N103" s="247">
        <v>0</v>
      </c>
      <c r="O103" s="246"/>
      <c r="P103" s="248"/>
      <c r="Q103" s="247" t="e">
        <f t="shared" si="105"/>
        <v>#DIV/0!</v>
      </c>
      <c r="R103" s="246"/>
      <c r="S103" s="248"/>
      <c r="T103" s="247" t="e">
        <f t="shared" si="96"/>
        <v>#DIV/0!</v>
      </c>
      <c r="U103" s="246"/>
      <c r="V103" s="248"/>
      <c r="W103" s="247" t="e">
        <f t="shared" si="97"/>
        <v>#DIV/0!</v>
      </c>
      <c r="X103" s="246"/>
      <c r="Y103" s="248"/>
      <c r="Z103" s="247" t="e">
        <f t="shared" si="98"/>
        <v>#DIV/0!</v>
      </c>
      <c r="AA103" s="246"/>
      <c r="AB103" s="248"/>
      <c r="AC103" s="247" t="e">
        <f t="shared" si="99"/>
        <v>#DIV/0!</v>
      </c>
      <c r="AD103" s="246"/>
      <c r="AE103" s="248"/>
      <c r="AF103" s="247" t="e">
        <f t="shared" si="100"/>
        <v>#DIV/0!</v>
      </c>
      <c r="AG103" s="246"/>
      <c r="AH103" s="248"/>
      <c r="AI103" s="247" t="e">
        <f t="shared" si="101"/>
        <v>#DIV/0!</v>
      </c>
      <c r="AJ103" s="246"/>
      <c r="AK103" s="248"/>
      <c r="AL103" s="247" t="e">
        <f t="shared" si="102"/>
        <v>#DIV/0!</v>
      </c>
      <c r="AM103" s="246"/>
      <c r="AN103" s="248"/>
      <c r="AO103" s="250" t="e">
        <f t="shared" si="103"/>
        <v>#DIV/0!</v>
      </c>
      <c r="AP103" s="251">
        <f t="shared" si="106"/>
        <v>0</v>
      </c>
      <c r="AQ103" s="251">
        <f t="shared" si="107"/>
        <v>0</v>
      </c>
      <c r="AR103" s="252" t="e">
        <f t="shared" si="108"/>
        <v>#DIV/0!</v>
      </c>
      <c r="AS103" s="260"/>
      <c r="AT103" s="260"/>
    </row>
    <row r="104" spans="1:46" ht="17.25" customHeight="1" outlineLevel="1" x14ac:dyDescent="0.25">
      <c r="A104" s="330" t="s">
        <v>486</v>
      </c>
      <c r="B104" s="329">
        <v>0.03</v>
      </c>
      <c r="C104" s="329">
        <f t="shared" si="109"/>
        <v>1.4999999999999999E-2</v>
      </c>
      <c r="D104" s="329" t="e">
        <f t="shared" si="110"/>
        <v>#DIV/0!</v>
      </c>
      <c r="E104" s="331" t="e">
        <f t="shared" si="104"/>
        <v>#DIV/0!</v>
      </c>
      <c r="F104" s="246">
        <v>0</v>
      </c>
      <c r="G104" s="246"/>
      <c r="H104" s="303">
        <v>0</v>
      </c>
      <c r="I104" s="246"/>
      <c r="J104" s="248"/>
      <c r="K104" s="247">
        <v>0</v>
      </c>
      <c r="L104" s="246"/>
      <c r="M104" s="249"/>
      <c r="N104" s="247">
        <v>0</v>
      </c>
      <c r="O104" s="246"/>
      <c r="P104" s="248"/>
      <c r="Q104" s="247" t="e">
        <f t="shared" si="105"/>
        <v>#DIV/0!</v>
      </c>
      <c r="R104" s="246"/>
      <c r="S104" s="248"/>
      <c r="T104" s="247" t="e">
        <f t="shared" si="96"/>
        <v>#DIV/0!</v>
      </c>
      <c r="U104" s="246"/>
      <c r="V104" s="248"/>
      <c r="W104" s="247" t="e">
        <f t="shared" si="97"/>
        <v>#DIV/0!</v>
      </c>
      <c r="X104" s="246"/>
      <c r="Y104" s="248"/>
      <c r="Z104" s="247" t="e">
        <f t="shared" si="98"/>
        <v>#DIV/0!</v>
      </c>
      <c r="AA104" s="246"/>
      <c r="AB104" s="248"/>
      <c r="AC104" s="247" t="e">
        <f>AB104/AA104</f>
        <v>#DIV/0!</v>
      </c>
      <c r="AD104" s="246"/>
      <c r="AE104" s="248"/>
      <c r="AF104" s="247" t="e">
        <f>AE104/AD104</f>
        <v>#DIV/0!</v>
      </c>
      <c r="AG104" s="246"/>
      <c r="AH104" s="248"/>
      <c r="AI104" s="247" t="e">
        <f>AH104/AG104</f>
        <v>#DIV/0!</v>
      </c>
      <c r="AJ104" s="246"/>
      <c r="AK104" s="248"/>
      <c r="AL104" s="247" t="e">
        <f>AK104/AJ104</f>
        <v>#DIV/0!</v>
      </c>
      <c r="AM104" s="246"/>
      <c r="AN104" s="248"/>
      <c r="AO104" s="250" t="e">
        <f>AN104/AM104</f>
        <v>#DIV/0!</v>
      </c>
      <c r="AP104" s="251">
        <f t="shared" si="106"/>
        <v>0</v>
      </c>
      <c r="AQ104" s="251">
        <f t="shared" si="107"/>
        <v>0</v>
      </c>
      <c r="AR104" s="252" t="e">
        <f t="shared" si="108"/>
        <v>#DIV/0!</v>
      </c>
      <c r="AS104" s="260"/>
      <c r="AT104" s="260"/>
    </row>
    <row r="105" spans="1:46" ht="17.25" customHeight="1" outlineLevel="1" x14ac:dyDescent="0.25">
      <c r="A105" s="295" t="s">
        <v>811</v>
      </c>
      <c r="B105" s="297">
        <v>0.1</v>
      </c>
      <c r="C105" s="297">
        <f t="shared" si="109"/>
        <v>0.05</v>
      </c>
      <c r="D105" s="328" t="e">
        <f t="shared" si="110"/>
        <v>#DIV/0!</v>
      </c>
      <c r="E105" s="375" t="e">
        <f t="shared" si="104"/>
        <v>#DIV/0!</v>
      </c>
      <c r="F105" s="106">
        <v>0</v>
      </c>
      <c r="G105" s="304"/>
      <c r="H105" s="303">
        <v>0</v>
      </c>
      <c r="I105" s="246"/>
      <c r="J105" s="248"/>
      <c r="K105" s="247">
        <v>0</v>
      </c>
      <c r="L105" s="246"/>
      <c r="M105" s="249"/>
      <c r="N105" s="247">
        <v>0</v>
      </c>
      <c r="O105" s="246"/>
      <c r="P105" s="248"/>
      <c r="Q105" s="247" t="e">
        <f t="shared" si="105"/>
        <v>#DIV/0!</v>
      </c>
      <c r="R105" s="246"/>
      <c r="S105" s="248"/>
      <c r="T105" s="247" t="e">
        <f t="shared" si="96"/>
        <v>#DIV/0!</v>
      </c>
      <c r="U105" s="246"/>
      <c r="V105" s="248"/>
      <c r="W105" s="247" t="e">
        <f t="shared" si="97"/>
        <v>#DIV/0!</v>
      </c>
      <c r="X105" s="246"/>
      <c r="Y105" s="248"/>
      <c r="Z105" s="247" t="e">
        <f t="shared" si="98"/>
        <v>#DIV/0!</v>
      </c>
      <c r="AA105" s="246"/>
      <c r="AB105" s="248"/>
      <c r="AC105" s="247" t="e">
        <f t="shared" si="99"/>
        <v>#DIV/0!</v>
      </c>
      <c r="AD105" s="246"/>
      <c r="AE105" s="248"/>
      <c r="AF105" s="247" t="e">
        <f t="shared" si="100"/>
        <v>#DIV/0!</v>
      </c>
      <c r="AG105" s="246"/>
      <c r="AH105" s="248"/>
      <c r="AI105" s="247" t="e">
        <f t="shared" si="101"/>
        <v>#DIV/0!</v>
      </c>
      <c r="AJ105" s="246"/>
      <c r="AK105" s="248"/>
      <c r="AL105" s="247" t="e">
        <f t="shared" si="102"/>
        <v>#DIV/0!</v>
      </c>
      <c r="AM105" s="246"/>
      <c r="AN105" s="248"/>
      <c r="AO105" s="250" t="e">
        <f t="shared" si="103"/>
        <v>#DIV/0!</v>
      </c>
      <c r="AP105" s="251">
        <f t="shared" si="106"/>
        <v>0</v>
      </c>
      <c r="AQ105" s="251">
        <f t="shared" si="107"/>
        <v>0</v>
      </c>
      <c r="AR105" s="252" t="e">
        <f t="shared" si="108"/>
        <v>#DIV/0!</v>
      </c>
      <c r="AS105" s="260"/>
      <c r="AT105" s="260"/>
    </row>
    <row r="106" spans="1:46" ht="17.25" customHeight="1" outlineLevel="1" x14ac:dyDescent="0.25">
      <c r="A106" s="330" t="s">
        <v>1063</v>
      </c>
      <c r="B106" s="332">
        <v>0.04</v>
      </c>
      <c r="C106" s="332">
        <f t="shared" si="109"/>
        <v>0.02</v>
      </c>
      <c r="D106" s="329" t="e">
        <f t="shared" si="110"/>
        <v>#DIV/0!</v>
      </c>
      <c r="E106" s="331" t="e">
        <f t="shared" si="104"/>
        <v>#DIV/0!</v>
      </c>
      <c r="F106" s="106">
        <v>0</v>
      </c>
      <c r="G106" s="304"/>
      <c r="H106" s="303">
        <v>0</v>
      </c>
      <c r="I106" s="246"/>
      <c r="J106" s="248"/>
      <c r="K106" s="247">
        <v>0</v>
      </c>
      <c r="L106" s="246"/>
      <c r="M106" s="249"/>
      <c r="N106" s="247">
        <v>0</v>
      </c>
      <c r="O106" s="246"/>
      <c r="P106" s="248"/>
      <c r="Q106" s="247" t="e">
        <f>P106/O106</f>
        <v>#DIV/0!</v>
      </c>
      <c r="R106" s="246"/>
      <c r="S106" s="248"/>
      <c r="T106" s="247" t="e">
        <f>S106/R106</f>
        <v>#DIV/0!</v>
      </c>
      <c r="U106" s="246"/>
      <c r="V106" s="248"/>
      <c r="W106" s="247" t="e">
        <f>V106/U106</f>
        <v>#DIV/0!</v>
      </c>
      <c r="X106" s="246"/>
      <c r="Y106" s="248"/>
      <c r="Z106" s="247" t="e">
        <f>Y106/X106</f>
        <v>#DIV/0!</v>
      </c>
      <c r="AA106" s="246"/>
      <c r="AB106" s="248"/>
      <c r="AC106" s="247" t="e">
        <f>AB106/AA106</f>
        <v>#DIV/0!</v>
      </c>
      <c r="AD106" s="246"/>
      <c r="AE106" s="248"/>
      <c r="AF106" s="247" t="e">
        <f>AE106/AD106</f>
        <v>#DIV/0!</v>
      </c>
      <c r="AG106" s="246"/>
      <c r="AH106" s="248"/>
      <c r="AI106" s="247" t="e">
        <f>AH106/AG106</f>
        <v>#DIV/0!</v>
      </c>
      <c r="AJ106" s="246"/>
      <c r="AK106" s="248"/>
      <c r="AL106" s="247" t="e">
        <f>AK106/AJ106</f>
        <v>#DIV/0!</v>
      </c>
      <c r="AM106" s="246"/>
      <c r="AN106" s="248"/>
      <c r="AO106" s="250" t="e">
        <f>AN106/AM106</f>
        <v>#DIV/0!</v>
      </c>
      <c r="AP106" s="251">
        <f t="shared" si="106"/>
        <v>0</v>
      </c>
      <c r="AQ106" s="251">
        <f t="shared" si="107"/>
        <v>0</v>
      </c>
      <c r="AR106" s="252" t="e">
        <f t="shared" si="108"/>
        <v>#DIV/0!</v>
      </c>
      <c r="AS106" s="260"/>
      <c r="AT106" s="260"/>
    </row>
    <row r="107" spans="1:46" ht="17.25" customHeight="1" outlineLevel="1" x14ac:dyDescent="0.25">
      <c r="A107" s="330" t="s">
        <v>1064</v>
      </c>
      <c r="B107" s="332">
        <v>0.02</v>
      </c>
      <c r="C107" s="332">
        <f t="shared" si="109"/>
        <v>0.01</v>
      </c>
      <c r="D107" s="329" t="e">
        <f t="shared" si="110"/>
        <v>#DIV/0!</v>
      </c>
      <c r="E107" s="331" t="e">
        <f t="shared" si="104"/>
        <v>#DIV/0!</v>
      </c>
      <c r="F107" s="106">
        <v>0</v>
      </c>
      <c r="G107" s="304"/>
      <c r="H107" s="303">
        <v>0</v>
      </c>
      <c r="I107" s="246"/>
      <c r="J107" s="248"/>
      <c r="K107" s="247">
        <v>0</v>
      </c>
      <c r="L107" s="246"/>
      <c r="M107" s="249"/>
      <c r="N107" s="247">
        <v>0</v>
      </c>
      <c r="O107" s="246"/>
      <c r="P107" s="248"/>
      <c r="Q107" s="247" t="e">
        <f t="shared" si="105"/>
        <v>#DIV/0!</v>
      </c>
      <c r="R107" s="246"/>
      <c r="S107" s="248"/>
      <c r="T107" s="247" t="e">
        <f t="shared" si="96"/>
        <v>#DIV/0!</v>
      </c>
      <c r="U107" s="246"/>
      <c r="V107" s="248"/>
      <c r="W107" s="247" t="e">
        <f t="shared" si="97"/>
        <v>#DIV/0!</v>
      </c>
      <c r="X107" s="246"/>
      <c r="Y107" s="248"/>
      <c r="Z107" s="247" t="e">
        <f t="shared" si="98"/>
        <v>#DIV/0!</v>
      </c>
      <c r="AA107" s="246"/>
      <c r="AB107" s="248"/>
      <c r="AC107" s="247" t="e">
        <f t="shared" si="99"/>
        <v>#DIV/0!</v>
      </c>
      <c r="AD107" s="246"/>
      <c r="AE107" s="248"/>
      <c r="AF107" s="247" t="e">
        <f t="shared" si="100"/>
        <v>#DIV/0!</v>
      </c>
      <c r="AG107" s="246"/>
      <c r="AH107" s="248"/>
      <c r="AI107" s="247" t="e">
        <f t="shared" si="101"/>
        <v>#DIV/0!</v>
      </c>
      <c r="AJ107" s="246"/>
      <c r="AK107" s="248"/>
      <c r="AL107" s="247" t="e">
        <f t="shared" si="102"/>
        <v>#DIV/0!</v>
      </c>
      <c r="AM107" s="246"/>
      <c r="AN107" s="248"/>
      <c r="AO107" s="250" t="e">
        <f t="shared" si="103"/>
        <v>#DIV/0!</v>
      </c>
      <c r="AP107" s="251">
        <f t="shared" si="106"/>
        <v>0</v>
      </c>
      <c r="AQ107" s="251">
        <f t="shared" si="107"/>
        <v>0</v>
      </c>
      <c r="AR107" s="252" t="e">
        <f t="shared" si="108"/>
        <v>#DIV/0!</v>
      </c>
      <c r="AS107" s="260"/>
      <c r="AT107" s="260"/>
    </row>
    <row r="108" spans="1:46" ht="17.25" customHeight="1" outlineLevel="1" x14ac:dyDescent="0.25">
      <c r="A108" s="330" t="s">
        <v>1065</v>
      </c>
      <c r="B108" s="332">
        <v>0.02</v>
      </c>
      <c r="C108" s="332">
        <f t="shared" si="109"/>
        <v>0.01</v>
      </c>
      <c r="D108" s="329">
        <f t="shared" si="110"/>
        <v>0</v>
      </c>
      <c r="E108" s="331">
        <f t="shared" si="104"/>
        <v>1</v>
      </c>
      <c r="F108" s="106">
        <v>0</v>
      </c>
      <c r="G108" s="304"/>
      <c r="H108" s="303">
        <v>0</v>
      </c>
      <c r="I108" s="246"/>
      <c r="J108" s="248"/>
      <c r="K108" s="247">
        <v>0</v>
      </c>
      <c r="L108" s="246"/>
      <c r="M108" s="249"/>
      <c r="N108" s="247">
        <v>0</v>
      </c>
      <c r="O108" s="246">
        <v>1</v>
      </c>
      <c r="P108" s="248"/>
      <c r="Q108" s="247">
        <f t="shared" si="105"/>
        <v>0</v>
      </c>
      <c r="R108" s="246"/>
      <c r="S108" s="248"/>
      <c r="T108" s="247" t="e">
        <f t="shared" si="96"/>
        <v>#DIV/0!</v>
      </c>
      <c r="U108" s="246"/>
      <c r="V108" s="248"/>
      <c r="W108" s="247" t="e">
        <f t="shared" si="97"/>
        <v>#DIV/0!</v>
      </c>
      <c r="X108" s="246"/>
      <c r="Y108" s="248"/>
      <c r="Z108" s="247" t="e">
        <f t="shared" si="98"/>
        <v>#DIV/0!</v>
      </c>
      <c r="AA108" s="246"/>
      <c r="AB108" s="248"/>
      <c r="AC108" s="247" t="e">
        <f t="shared" si="99"/>
        <v>#DIV/0!</v>
      </c>
      <c r="AD108" s="246"/>
      <c r="AE108" s="248"/>
      <c r="AF108" s="247" t="e">
        <f t="shared" si="100"/>
        <v>#DIV/0!</v>
      </c>
      <c r="AG108" s="246"/>
      <c r="AH108" s="248"/>
      <c r="AI108" s="247" t="e">
        <f t="shared" si="101"/>
        <v>#DIV/0!</v>
      </c>
      <c r="AJ108" s="246"/>
      <c r="AK108" s="248"/>
      <c r="AL108" s="247" t="e">
        <f t="shared" si="102"/>
        <v>#DIV/0!</v>
      </c>
      <c r="AM108" s="246"/>
      <c r="AN108" s="248"/>
      <c r="AO108" s="250" t="e">
        <f t="shared" si="103"/>
        <v>#DIV/0!</v>
      </c>
      <c r="AP108" s="251">
        <f t="shared" si="106"/>
        <v>1</v>
      </c>
      <c r="AQ108" s="251">
        <f t="shared" si="107"/>
        <v>0</v>
      </c>
      <c r="AR108" s="252">
        <f t="shared" si="108"/>
        <v>0</v>
      </c>
      <c r="AS108" s="260"/>
      <c r="AT108" s="260"/>
    </row>
    <row r="109" spans="1:46" ht="16.899999999999999" customHeight="1" outlineLevel="1" x14ac:dyDescent="0.25">
      <c r="A109" s="330" t="s">
        <v>1066</v>
      </c>
      <c r="B109" s="332">
        <v>0.02</v>
      </c>
      <c r="C109" s="332">
        <f t="shared" si="109"/>
        <v>0.01</v>
      </c>
      <c r="D109" s="329" t="e">
        <f t="shared" si="110"/>
        <v>#DIV/0!</v>
      </c>
      <c r="E109" s="331" t="e">
        <f t="shared" si="104"/>
        <v>#DIV/0!</v>
      </c>
      <c r="F109" s="106">
        <v>0</v>
      </c>
      <c r="G109" s="304"/>
      <c r="H109" s="303">
        <v>0</v>
      </c>
      <c r="I109" s="246"/>
      <c r="J109" s="248"/>
      <c r="K109" s="247">
        <v>0</v>
      </c>
      <c r="L109" s="246"/>
      <c r="M109" s="248"/>
      <c r="N109" s="247">
        <v>0</v>
      </c>
      <c r="O109" s="246"/>
      <c r="P109" s="248"/>
      <c r="Q109" s="247" t="e">
        <f t="shared" si="105"/>
        <v>#DIV/0!</v>
      </c>
      <c r="R109" s="246"/>
      <c r="S109" s="248"/>
      <c r="T109" s="247" t="e">
        <f t="shared" si="96"/>
        <v>#DIV/0!</v>
      </c>
      <c r="U109" s="246"/>
      <c r="V109" s="248"/>
      <c r="W109" s="247" t="e">
        <f t="shared" si="97"/>
        <v>#DIV/0!</v>
      </c>
      <c r="X109" s="246"/>
      <c r="Y109" s="248"/>
      <c r="Z109" s="247" t="e">
        <f t="shared" si="98"/>
        <v>#DIV/0!</v>
      </c>
      <c r="AA109" s="246"/>
      <c r="AB109" s="248"/>
      <c r="AC109" s="247" t="e">
        <f t="shared" si="99"/>
        <v>#DIV/0!</v>
      </c>
      <c r="AD109" s="246"/>
      <c r="AE109" s="248"/>
      <c r="AF109" s="247" t="e">
        <f t="shared" si="100"/>
        <v>#DIV/0!</v>
      </c>
      <c r="AG109" s="246"/>
      <c r="AH109" s="248"/>
      <c r="AI109" s="247" t="e">
        <f t="shared" si="101"/>
        <v>#DIV/0!</v>
      </c>
      <c r="AJ109" s="246"/>
      <c r="AK109" s="248"/>
      <c r="AL109" s="247" t="e">
        <f t="shared" si="102"/>
        <v>#DIV/0!</v>
      </c>
      <c r="AM109" s="246"/>
      <c r="AN109" s="248"/>
      <c r="AO109" s="250" t="e">
        <f t="shared" si="103"/>
        <v>#DIV/0!</v>
      </c>
      <c r="AP109" s="251">
        <f t="shared" si="106"/>
        <v>0</v>
      </c>
      <c r="AQ109" s="251">
        <f t="shared" si="107"/>
        <v>0</v>
      </c>
      <c r="AR109" s="252" t="e">
        <f t="shared" si="108"/>
        <v>#DIV/0!</v>
      </c>
      <c r="AS109" s="260"/>
      <c r="AT109" s="260"/>
    </row>
    <row r="110" spans="1:46" ht="16.899999999999999" customHeight="1" outlineLevel="1" x14ac:dyDescent="0.25">
      <c r="A110" s="295" t="s">
        <v>821</v>
      </c>
      <c r="B110" s="297">
        <v>0.17</v>
      </c>
      <c r="C110" s="297">
        <f t="shared" si="109"/>
        <v>8.5000000000000006E-2</v>
      </c>
      <c r="D110" s="328" t="e">
        <f t="shared" si="110"/>
        <v>#DIV/0!</v>
      </c>
      <c r="E110" s="375" t="e">
        <f t="shared" si="104"/>
        <v>#DIV/0!</v>
      </c>
      <c r="F110" s="106">
        <v>0</v>
      </c>
      <c r="G110" s="304"/>
      <c r="H110" s="303">
        <v>0</v>
      </c>
      <c r="I110" s="246"/>
      <c r="J110" s="248"/>
      <c r="K110" s="247">
        <v>0</v>
      </c>
      <c r="L110" s="246"/>
      <c r="M110" s="249"/>
      <c r="N110" s="247">
        <v>0</v>
      </c>
      <c r="O110" s="246"/>
      <c r="P110" s="248"/>
      <c r="Q110" s="247" t="e">
        <f t="shared" si="105"/>
        <v>#DIV/0!</v>
      </c>
      <c r="R110" s="246"/>
      <c r="S110" s="253"/>
      <c r="T110" s="247" t="e">
        <f t="shared" si="96"/>
        <v>#DIV/0!</v>
      </c>
      <c r="U110" s="246"/>
      <c r="V110" s="248"/>
      <c r="W110" s="247" t="e">
        <f t="shared" si="97"/>
        <v>#DIV/0!</v>
      </c>
      <c r="X110" s="246"/>
      <c r="Y110" s="248"/>
      <c r="Z110" s="247" t="e">
        <f t="shared" si="98"/>
        <v>#DIV/0!</v>
      </c>
      <c r="AA110" s="246"/>
      <c r="AB110" s="248"/>
      <c r="AC110" s="247" t="e">
        <f t="shared" si="99"/>
        <v>#DIV/0!</v>
      </c>
      <c r="AD110" s="246"/>
      <c r="AE110" s="248"/>
      <c r="AF110" s="247" t="e">
        <f t="shared" si="100"/>
        <v>#DIV/0!</v>
      </c>
      <c r="AG110" s="246"/>
      <c r="AH110" s="248"/>
      <c r="AI110" s="247" t="e">
        <f t="shared" si="101"/>
        <v>#DIV/0!</v>
      </c>
      <c r="AJ110" s="246"/>
      <c r="AK110" s="248"/>
      <c r="AL110" s="247" t="e">
        <f t="shared" si="102"/>
        <v>#DIV/0!</v>
      </c>
      <c r="AM110" s="246"/>
      <c r="AN110" s="248"/>
      <c r="AO110" s="250" t="e">
        <f t="shared" si="103"/>
        <v>#DIV/0!</v>
      </c>
      <c r="AP110" s="251">
        <f t="shared" si="106"/>
        <v>0</v>
      </c>
      <c r="AQ110" s="251">
        <f t="shared" si="107"/>
        <v>0</v>
      </c>
      <c r="AR110" s="252" t="e">
        <f t="shared" si="108"/>
        <v>#DIV/0!</v>
      </c>
      <c r="AS110" s="260"/>
      <c r="AT110" s="260"/>
    </row>
    <row r="111" spans="1:46" ht="16.899999999999999" customHeight="1" outlineLevel="1" x14ac:dyDescent="0.25">
      <c r="A111" s="330" t="s">
        <v>1103</v>
      </c>
      <c r="B111" s="332">
        <v>0.06</v>
      </c>
      <c r="C111" s="332">
        <f t="shared" si="109"/>
        <v>0.03</v>
      </c>
      <c r="D111" s="329">
        <f t="shared" si="110"/>
        <v>0</v>
      </c>
      <c r="E111" s="331">
        <f t="shared" si="104"/>
        <v>1</v>
      </c>
      <c r="F111" s="106">
        <v>0</v>
      </c>
      <c r="G111" s="304"/>
      <c r="H111" s="303">
        <v>0</v>
      </c>
      <c r="I111" s="246"/>
      <c r="J111" s="248"/>
      <c r="K111" s="247">
        <v>0</v>
      </c>
      <c r="L111" s="246">
        <v>1</v>
      </c>
      <c r="M111" s="249"/>
      <c r="N111" s="247">
        <f>M111/L111</f>
        <v>0</v>
      </c>
      <c r="O111" s="246">
        <v>1</v>
      </c>
      <c r="P111" s="248"/>
      <c r="Q111" s="247">
        <f t="shared" si="105"/>
        <v>0</v>
      </c>
      <c r="R111" s="246"/>
      <c r="S111" s="248"/>
      <c r="T111" s="247" t="e">
        <f>S111/R111</f>
        <v>#DIV/0!</v>
      </c>
      <c r="U111" s="246"/>
      <c r="V111" s="248"/>
      <c r="W111" s="247" t="e">
        <f>V111/U111</f>
        <v>#DIV/0!</v>
      </c>
      <c r="X111" s="246"/>
      <c r="Y111" s="248"/>
      <c r="Z111" s="247" t="e">
        <f>Y111/X111</f>
        <v>#DIV/0!</v>
      </c>
      <c r="AA111" s="246"/>
      <c r="AB111" s="248"/>
      <c r="AC111" s="247" t="e">
        <f t="shared" si="99"/>
        <v>#DIV/0!</v>
      </c>
      <c r="AD111" s="246"/>
      <c r="AE111" s="248"/>
      <c r="AF111" s="247" t="e">
        <f t="shared" si="100"/>
        <v>#DIV/0!</v>
      </c>
      <c r="AG111" s="246"/>
      <c r="AH111" s="248"/>
      <c r="AI111" s="247" t="e">
        <f t="shared" si="101"/>
        <v>#DIV/0!</v>
      </c>
      <c r="AJ111" s="246"/>
      <c r="AK111" s="248"/>
      <c r="AL111" s="247" t="e">
        <f t="shared" si="102"/>
        <v>#DIV/0!</v>
      </c>
      <c r="AM111" s="246"/>
      <c r="AN111" s="248"/>
      <c r="AO111" s="250" t="e">
        <f t="shared" si="103"/>
        <v>#DIV/0!</v>
      </c>
      <c r="AP111" s="251">
        <f t="shared" si="106"/>
        <v>2</v>
      </c>
      <c r="AQ111" s="251">
        <f t="shared" si="107"/>
        <v>0</v>
      </c>
      <c r="AR111" s="252">
        <f t="shared" si="108"/>
        <v>0</v>
      </c>
      <c r="AS111" s="260"/>
      <c r="AT111" s="260"/>
    </row>
    <row r="112" spans="1:46" ht="16.899999999999999" customHeight="1" outlineLevel="1" x14ac:dyDescent="0.25">
      <c r="A112" s="330" t="s">
        <v>1026</v>
      </c>
      <c r="B112" s="332">
        <v>0.03</v>
      </c>
      <c r="C112" s="332">
        <f t="shared" si="109"/>
        <v>1.4999999999999999E-2</v>
      </c>
      <c r="D112" s="329" t="e">
        <f t="shared" si="110"/>
        <v>#DIV/0!</v>
      </c>
      <c r="E112" s="331" t="e">
        <f t="shared" si="104"/>
        <v>#DIV/0!</v>
      </c>
      <c r="F112" s="106">
        <v>0</v>
      </c>
      <c r="G112" s="304"/>
      <c r="H112" s="303">
        <v>0</v>
      </c>
      <c r="I112" s="246"/>
      <c r="J112" s="248"/>
      <c r="K112" s="247">
        <v>0</v>
      </c>
      <c r="L112" s="246"/>
      <c r="M112" s="249"/>
      <c r="N112" s="247" t="e">
        <f>M112/L112</f>
        <v>#DIV/0!</v>
      </c>
      <c r="O112" s="246"/>
      <c r="P112" s="248"/>
      <c r="Q112" s="247" t="e">
        <f t="shared" si="105"/>
        <v>#DIV/0!</v>
      </c>
      <c r="R112" s="246"/>
      <c r="S112" s="248"/>
      <c r="T112" s="247" t="e">
        <f>S112/R112</f>
        <v>#DIV/0!</v>
      </c>
      <c r="U112" s="246"/>
      <c r="V112" s="248"/>
      <c r="W112" s="247" t="e">
        <f t="shared" ref="W112:W175" si="111">V112/U112</f>
        <v>#DIV/0!</v>
      </c>
      <c r="X112" s="246"/>
      <c r="Y112" s="248"/>
      <c r="Z112" s="247" t="e">
        <f>Y112/X112</f>
        <v>#DIV/0!</v>
      </c>
      <c r="AA112" s="246"/>
      <c r="AB112" s="248"/>
      <c r="AC112" s="247" t="e">
        <f t="shared" si="99"/>
        <v>#DIV/0!</v>
      </c>
      <c r="AD112" s="246"/>
      <c r="AE112" s="248"/>
      <c r="AF112" s="247" t="e">
        <f t="shared" si="100"/>
        <v>#DIV/0!</v>
      </c>
      <c r="AG112" s="246"/>
      <c r="AH112" s="248"/>
      <c r="AI112" s="247" t="e">
        <f t="shared" si="101"/>
        <v>#DIV/0!</v>
      </c>
      <c r="AJ112" s="246"/>
      <c r="AK112" s="248"/>
      <c r="AL112" s="247" t="e">
        <f t="shared" si="102"/>
        <v>#DIV/0!</v>
      </c>
      <c r="AM112" s="246"/>
      <c r="AN112" s="248"/>
      <c r="AO112" s="250" t="e">
        <f t="shared" si="103"/>
        <v>#DIV/0!</v>
      </c>
      <c r="AP112" s="251">
        <f t="shared" si="106"/>
        <v>0</v>
      </c>
      <c r="AQ112" s="251">
        <f t="shared" si="107"/>
        <v>0</v>
      </c>
      <c r="AR112" s="252" t="e">
        <f t="shared" si="108"/>
        <v>#DIV/0!</v>
      </c>
      <c r="AS112" s="260"/>
      <c r="AT112" s="260"/>
    </row>
    <row r="113" spans="1:46" ht="16.899999999999999" customHeight="1" outlineLevel="1" x14ac:dyDescent="0.25">
      <c r="A113" s="330" t="s">
        <v>1067</v>
      </c>
      <c r="B113" s="332">
        <v>0.1</v>
      </c>
      <c r="C113" s="332">
        <f t="shared" si="109"/>
        <v>0.05</v>
      </c>
      <c r="D113" s="329">
        <f t="shared" si="110"/>
        <v>0</v>
      </c>
      <c r="E113" s="331">
        <f t="shared" si="104"/>
        <v>1</v>
      </c>
      <c r="F113" s="106"/>
      <c r="G113" s="304"/>
      <c r="H113" s="303">
        <v>0</v>
      </c>
      <c r="I113" s="246"/>
      <c r="J113" s="248"/>
      <c r="K113" s="247">
        <v>0</v>
      </c>
      <c r="L113" s="246">
        <v>1</v>
      </c>
      <c r="M113" s="249"/>
      <c r="N113" s="247">
        <f>M113/L113</f>
        <v>0</v>
      </c>
      <c r="O113" s="246"/>
      <c r="P113" s="248"/>
      <c r="Q113" s="247" t="e">
        <f>P113/O113</f>
        <v>#DIV/0!</v>
      </c>
      <c r="R113" s="246"/>
      <c r="S113" s="248"/>
      <c r="T113" s="247" t="e">
        <f>S113/R113</f>
        <v>#DIV/0!</v>
      </c>
      <c r="U113" s="246"/>
      <c r="V113" s="248"/>
      <c r="W113" s="247" t="e">
        <f t="shared" si="111"/>
        <v>#DIV/0!</v>
      </c>
      <c r="X113" s="246"/>
      <c r="Y113" s="248"/>
      <c r="Z113" s="247" t="e">
        <f>Y113/X113</f>
        <v>#DIV/0!</v>
      </c>
      <c r="AA113" s="246"/>
      <c r="AB113" s="248"/>
      <c r="AC113" s="247" t="e">
        <f>AB113/AA113</f>
        <v>#DIV/0!</v>
      </c>
      <c r="AD113" s="246"/>
      <c r="AE113" s="248"/>
      <c r="AF113" s="247" t="e">
        <f>AE113/AD113</f>
        <v>#DIV/0!</v>
      </c>
      <c r="AG113" s="246"/>
      <c r="AH113" s="248"/>
      <c r="AI113" s="247" t="e">
        <f>AH113/AG113</f>
        <v>#DIV/0!</v>
      </c>
      <c r="AJ113" s="246"/>
      <c r="AK113" s="248"/>
      <c r="AL113" s="247" t="e">
        <f>AK113/AJ113</f>
        <v>#DIV/0!</v>
      </c>
      <c r="AM113" s="246"/>
      <c r="AN113" s="248"/>
      <c r="AO113" s="250" t="e">
        <f>AN113/AM113</f>
        <v>#DIV/0!</v>
      </c>
      <c r="AP113" s="251">
        <f t="shared" si="106"/>
        <v>1</v>
      </c>
      <c r="AQ113" s="251">
        <f t="shared" si="107"/>
        <v>0</v>
      </c>
      <c r="AR113" s="252">
        <f t="shared" si="108"/>
        <v>0</v>
      </c>
      <c r="AS113" s="260"/>
      <c r="AT113" s="260"/>
    </row>
    <row r="114" spans="1:46" ht="16.899999999999999" customHeight="1" outlineLevel="1" x14ac:dyDescent="0.25">
      <c r="A114" s="330" t="s">
        <v>1084</v>
      </c>
      <c r="B114" s="332">
        <v>0.1</v>
      </c>
      <c r="C114" s="332">
        <f t="shared" si="109"/>
        <v>0.05</v>
      </c>
      <c r="D114" s="329">
        <f t="shared" si="110"/>
        <v>0</v>
      </c>
      <c r="E114" s="331">
        <f>IF(D114&gt;0%,C114/D114,100%)</f>
        <v>1</v>
      </c>
      <c r="F114" s="106">
        <v>1</v>
      </c>
      <c r="G114" s="304"/>
      <c r="H114" s="303">
        <f t="shared" ref="H114:H144" si="112">G114/F114</f>
        <v>0</v>
      </c>
      <c r="I114" s="246">
        <v>1</v>
      </c>
      <c r="J114" s="248"/>
      <c r="K114" s="247">
        <f t="shared" ref="K114:K163" si="113">J114/I114</f>
        <v>0</v>
      </c>
      <c r="L114" s="246"/>
      <c r="M114" s="249"/>
      <c r="N114" s="247"/>
      <c r="O114" s="246"/>
      <c r="P114" s="248"/>
      <c r="Q114" s="247" t="e">
        <f>P114/O114</f>
        <v>#DIV/0!</v>
      </c>
      <c r="R114" s="246"/>
      <c r="S114" s="248"/>
      <c r="T114" s="247" t="e">
        <f>S114/R114</f>
        <v>#DIV/0!</v>
      </c>
      <c r="U114" s="246"/>
      <c r="V114" s="248"/>
      <c r="W114" s="247" t="e">
        <f t="shared" si="111"/>
        <v>#DIV/0!</v>
      </c>
      <c r="X114" s="246"/>
      <c r="Y114" s="248"/>
      <c r="Z114" s="247" t="e">
        <f>Y114/X114</f>
        <v>#DIV/0!</v>
      </c>
      <c r="AA114" s="246"/>
      <c r="AB114" s="248"/>
      <c r="AC114" s="247" t="e">
        <f>AB114/AA114</f>
        <v>#DIV/0!</v>
      </c>
      <c r="AD114" s="246"/>
      <c r="AE114" s="248"/>
      <c r="AF114" s="247" t="e">
        <f>AE114/AD114</f>
        <v>#DIV/0!</v>
      </c>
      <c r="AG114" s="246"/>
      <c r="AH114" s="248"/>
      <c r="AI114" s="247" t="e">
        <f>AH114/AG114</f>
        <v>#DIV/0!</v>
      </c>
      <c r="AJ114" s="246"/>
      <c r="AK114" s="248"/>
      <c r="AL114" s="247" t="e">
        <f>AK114/AJ114</f>
        <v>#DIV/0!</v>
      </c>
      <c r="AM114" s="246"/>
      <c r="AN114" s="248"/>
      <c r="AO114" s="250" t="e">
        <f>AN114/AM114</f>
        <v>#DIV/0!</v>
      </c>
      <c r="AP114" s="251">
        <f t="shared" si="106"/>
        <v>2</v>
      </c>
      <c r="AQ114" s="251">
        <f t="shared" si="107"/>
        <v>0</v>
      </c>
      <c r="AR114" s="252">
        <f t="shared" si="108"/>
        <v>0</v>
      </c>
      <c r="AS114" s="260"/>
      <c r="AT114" s="260"/>
    </row>
    <row r="115" spans="1:46" s="65" customFormat="1" ht="16.899999999999999" customHeight="1" outlineLevel="1" x14ac:dyDescent="0.25">
      <c r="A115" s="330" t="s">
        <v>1068</v>
      </c>
      <c r="B115" s="332">
        <v>7.0000000000000007E-2</v>
      </c>
      <c r="C115" s="332">
        <f t="shared" si="109"/>
        <v>3.5000000000000003E-2</v>
      </c>
      <c r="D115" s="329" t="e">
        <f t="shared" si="110"/>
        <v>#DIV/0!</v>
      </c>
      <c r="E115" s="331" t="e">
        <f t="shared" ref="E115:E121" si="114">IF(D115&gt;0%,C115/D115,100%)</f>
        <v>#DIV/0!</v>
      </c>
      <c r="F115" s="106"/>
      <c r="G115" s="304"/>
      <c r="H115" s="303" t="e">
        <f t="shared" si="112"/>
        <v>#DIV/0!</v>
      </c>
      <c r="I115" s="246"/>
      <c r="J115" s="253"/>
      <c r="K115" s="255" t="e">
        <f>J115/I115</f>
        <v>#DIV/0!</v>
      </c>
      <c r="L115" s="254"/>
      <c r="M115" s="256"/>
      <c r="N115" s="255" t="e">
        <f>M115/L115</f>
        <v>#DIV/0!</v>
      </c>
      <c r="O115" s="254"/>
      <c r="P115" s="253"/>
      <c r="Q115" s="255" t="e">
        <f>P115/O115</f>
        <v>#DIV/0!</v>
      </c>
      <c r="R115" s="254"/>
      <c r="S115" s="253"/>
      <c r="T115" s="247" t="e">
        <f t="shared" ref="T115:T178" si="115">S115/R115</f>
        <v>#DIV/0!</v>
      </c>
      <c r="U115" s="254"/>
      <c r="V115" s="253"/>
      <c r="W115" s="247" t="e">
        <f t="shared" si="111"/>
        <v>#DIV/0!</v>
      </c>
      <c r="X115" s="254"/>
      <c r="Y115" s="253"/>
      <c r="Z115" s="247" t="e">
        <f t="shared" ref="Z115:Z178" si="116">Y115/X115</f>
        <v>#DIV/0!</v>
      </c>
      <c r="AA115" s="254"/>
      <c r="AB115" s="253"/>
      <c r="AC115" s="247" t="e">
        <f t="shared" ref="AC115:AC178" si="117">AB115/AA115</f>
        <v>#DIV/0!</v>
      </c>
      <c r="AD115" s="254"/>
      <c r="AE115" s="253"/>
      <c r="AF115" s="255" t="e">
        <f t="shared" ref="AF115:AF178" si="118">AE115/AD115</f>
        <v>#DIV/0!</v>
      </c>
      <c r="AG115" s="254"/>
      <c r="AH115" s="253"/>
      <c r="AI115" s="255" t="e">
        <f t="shared" ref="AI115:AI178" si="119">AH115/AG115</f>
        <v>#DIV/0!</v>
      </c>
      <c r="AJ115" s="254"/>
      <c r="AK115" s="253"/>
      <c r="AL115" s="255" t="e">
        <f t="shared" ref="AL115:AL178" si="120">AK115/AJ115</f>
        <v>#DIV/0!</v>
      </c>
      <c r="AM115" s="254"/>
      <c r="AN115" s="253"/>
      <c r="AO115" s="250" t="e">
        <f t="shared" ref="AO115:AO178" si="121">AN115/AM115</f>
        <v>#DIV/0!</v>
      </c>
      <c r="AP115" s="251">
        <f t="shared" si="106"/>
        <v>0</v>
      </c>
      <c r="AQ115" s="251">
        <f t="shared" si="107"/>
        <v>0</v>
      </c>
      <c r="AR115" s="252" t="e">
        <f t="shared" si="108"/>
        <v>#DIV/0!</v>
      </c>
      <c r="AS115" s="261"/>
      <c r="AT115" s="260"/>
    </row>
    <row r="116" spans="1:46" ht="16.899999999999999" customHeight="1" outlineLevel="1" x14ac:dyDescent="0.25">
      <c r="A116" s="330" t="s">
        <v>718</v>
      </c>
      <c r="B116" s="332">
        <v>0.05</v>
      </c>
      <c r="C116" s="332">
        <f t="shared" si="109"/>
        <v>2.5000000000000001E-2</v>
      </c>
      <c r="D116" s="329" t="e">
        <f t="shared" si="110"/>
        <v>#DIV/0!</v>
      </c>
      <c r="E116" s="331" t="e">
        <f t="shared" si="114"/>
        <v>#DIV/0!</v>
      </c>
      <c r="F116" s="106"/>
      <c r="G116" s="304"/>
      <c r="H116" s="303" t="e">
        <f t="shared" si="112"/>
        <v>#DIV/0!</v>
      </c>
      <c r="I116" s="246"/>
      <c r="J116" s="57"/>
      <c r="K116" s="247" t="e">
        <f t="shared" si="113"/>
        <v>#DIV/0!</v>
      </c>
      <c r="L116" s="246"/>
      <c r="M116" s="57"/>
      <c r="N116" s="247" t="e">
        <f>M116/L116</f>
        <v>#DIV/0!</v>
      </c>
      <c r="O116" s="246"/>
      <c r="P116" s="57"/>
      <c r="Q116" s="247" t="e">
        <f>P116/O116</f>
        <v>#DIV/0!</v>
      </c>
      <c r="R116" s="246"/>
      <c r="S116" s="257"/>
      <c r="T116" s="247" t="e">
        <f t="shared" si="115"/>
        <v>#DIV/0!</v>
      </c>
      <c r="U116" s="246"/>
      <c r="V116" s="57"/>
      <c r="W116" s="247" t="e">
        <f t="shared" si="111"/>
        <v>#DIV/0!</v>
      </c>
      <c r="X116" s="246"/>
      <c r="Y116" s="57"/>
      <c r="Z116" s="247" t="e">
        <f t="shared" si="116"/>
        <v>#DIV/0!</v>
      </c>
      <c r="AA116" s="246"/>
      <c r="AB116" s="57"/>
      <c r="AC116" s="247" t="e">
        <f t="shared" si="117"/>
        <v>#DIV/0!</v>
      </c>
      <c r="AD116" s="246">
        <f>SUM(AD100:AD115)+SUM(AD100:AD115)</f>
        <v>0</v>
      </c>
      <c r="AE116" s="57">
        <f>SUM(AE100:AE115)+SUM(AE100:AE115)</f>
        <v>0</v>
      </c>
      <c r="AF116" s="247" t="e">
        <f t="shared" si="118"/>
        <v>#DIV/0!</v>
      </c>
      <c r="AG116" s="246">
        <f>SUM(AG100:AG115)+SUM(AG100:AG115)</f>
        <v>0</v>
      </c>
      <c r="AH116" s="57">
        <f>SUM(AH100:AH115)+SUM(AH100:AH115)</f>
        <v>0</v>
      </c>
      <c r="AI116" s="247" t="e">
        <f t="shared" si="119"/>
        <v>#DIV/0!</v>
      </c>
      <c r="AJ116" s="246">
        <f>SUM(AJ100:AJ115)+SUM(AJ100:AJ115)</f>
        <v>0</v>
      </c>
      <c r="AK116" s="57">
        <f>SUM(AK100:AK115)+SUM(AK100:AK115)</f>
        <v>0</v>
      </c>
      <c r="AL116" s="247" t="e">
        <f t="shared" si="120"/>
        <v>#DIV/0!</v>
      </c>
      <c r="AM116" s="246">
        <f>SUM(AM100:AM115)+SUM(AM100:AM115)</f>
        <v>0</v>
      </c>
      <c r="AN116" s="57">
        <f>SUM(AN100:AN115)+SUM(AN100:AN115)</f>
        <v>0</v>
      </c>
      <c r="AO116" s="250" t="e">
        <f t="shared" si="121"/>
        <v>#DIV/0!</v>
      </c>
      <c r="AP116" s="251">
        <f t="shared" si="106"/>
        <v>0</v>
      </c>
      <c r="AQ116" s="251">
        <f t="shared" si="107"/>
        <v>0</v>
      </c>
      <c r="AR116" s="252" t="e">
        <f t="shared" si="108"/>
        <v>#DIV/0!</v>
      </c>
      <c r="AS116" s="260"/>
      <c r="AT116" s="260"/>
    </row>
    <row r="117" spans="1:46" x14ac:dyDescent="0.25">
      <c r="A117" s="330" t="s">
        <v>1079</v>
      </c>
      <c r="B117" s="332">
        <v>0</v>
      </c>
      <c r="C117" s="332">
        <f>B117/12*$C$14</f>
        <v>0</v>
      </c>
      <c r="D117" s="329" t="e">
        <f t="shared" si="110"/>
        <v>#DIV/0!</v>
      </c>
      <c r="E117" s="331" t="e">
        <f t="shared" si="114"/>
        <v>#DIV/0!</v>
      </c>
      <c r="F117" s="106"/>
      <c r="G117" s="304"/>
      <c r="H117" s="303" t="e">
        <f t="shared" si="112"/>
        <v>#DIV/0!</v>
      </c>
      <c r="I117" s="246"/>
      <c r="J117" s="57"/>
      <c r="K117" s="247" t="e">
        <f t="shared" si="113"/>
        <v>#DIV/0!</v>
      </c>
      <c r="L117" s="57"/>
      <c r="M117" s="57"/>
      <c r="N117" s="247" t="e">
        <f t="shared" ref="N117:N178" si="122">M117/L117</f>
        <v>#DIV/0!</v>
      </c>
      <c r="O117" s="57"/>
      <c r="P117" s="57"/>
      <c r="Q117" s="247" t="e">
        <f t="shared" ref="Q117:Q178" si="123">P117/O117</f>
        <v>#DIV/0!</v>
      </c>
      <c r="R117" s="57"/>
      <c r="S117" s="57"/>
      <c r="T117" s="247" t="e">
        <f t="shared" si="115"/>
        <v>#DIV/0!</v>
      </c>
      <c r="U117" s="57"/>
      <c r="V117" s="57"/>
      <c r="W117" s="247" t="e">
        <f t="shared" si="111"/>
        <v>#DIV/0!</v>
      </c>
      <c r="X117" s="57"/>
      <c r="Y117" s="57"/>
      <c r="Z117" s="247" t="e">
        <f t="shared" si="116"/>
        <v>#DIV/0!</v>
      </c>
      <c r="AA117" s="57"/>
      <c r="AB117" s="57"/>
      <c r="AC117" s="247" t="e">
        <f t="shared" si="117"/>
        <v>#DIV/0!</v>
      </c>
      <c r="AD117" s="57"/>
      <c r="AE117" s="57"/>
      <c r="AF117" s="57" t="e">
        <f t="shared" si="118"/>
        <v>#DIV/0!</v>
      </c>
      <c r="AG117" s="57"/>
      <c r="AH117" s="57"/>
      <c r="AI117" s="57" t="e">
        <f t="shared" si="119"/>
        <v>#DIV/0!</v>
      </c>
      <c r="AJ117" s="57"/>
      <c r="AK117" s="57"/>
      <c r="AL117" s="57" t="e">
        <f t="shared" si="120"/>
        <v>#DIV/0!</v>
      </c>
      <c r="AM117" s="57"/>
      <c r="AN117" s="57"/>
      <c r="AO117" s="57" t="e">
        <f t="shared" si="121"/>
        <v>#DIV/0!</v>
      </c>
      <c r="AP117" s="251">
        <f t="shared" si="106"/>
        <v>0</v>
      </c>
      <c r="AQ117" s="251">
        <f t="shared" si="107"/>
        <v>0</v>
      </c>
      <c r="AR117" s="252" t="e">
        <f t="shared" si="108"/>
        <v>#DIV/0!</v>
      </c>
    </row>
    <row r="118" spans="1:46" x14ac:dyDescent="0.25">
      <c r="A118" s="330" t="s">
        <v>1039</v>
      </c>
      <c r="B118" s="332">
        <v>0</v>
      </c>
      <c r="C118" s="332">
        <f t="shared" ref="C118:C140" si="124">B118/12*$C$14</f>
        <v>0</v>
      </c>
      <c r="D118" s="329">
        <f t="shared" si="110"/>
        <v>0</v>
      </c>
      <c r="E118" s="331">
        <f t="shared" si="114"/>
        <v>1</v>
      </c>
      <c r="F118" s="106"/>
      <c r="G118" s="304"/>
      <c r="H118" s="303" t="e">
        <f t="shared" si="112"/>
        <v>#DIV/0!</v>
      </c>
      <c r="I118" s="246">
        <v>1</v>
      </c>
      <c r="J118" s="57"/>
      <c r="K118" s="247">
        <f t="shared" si="113"/>
        <v>0</v>
      </c>
      <c r="L118" s="57"/>
      <c r="M118" s="57"/>
      <c r="N118" s="247" t="e">
        <f t="shared" si="122"/>
        <v>#DIV/0!</v>
      </c>
      <c r="O118" s="57"/>
      <c r="P118" s="57"/>
      <c r="Q118" s="247" t="e">
        <f t="shared" si="123"/>
        <v>#DIV/0!</v>
      </c>
      <c r="R118" s="57"/>
      <c r="S118" s="57"/>
      <c r="T118" s="247" t="e">
        <f t="shared" si="115"/>
        <v>#DIV/0!</v>
      </c>
      <c r="U118" s="57"/>
      <c r="V118" s="57"/>
      <c r="W118" s="247" t="e">
        <f t="shared" si="111"/>
        <v>#DIV/0!</v>
      </c>
      <c r="X118" s="57"/>
      <c r="Y118" s="57"/>
      <c r="Z118" s="247" t="e">
        <f t="shared" si="116"/>
        <v>#DIV/0!</v>
      </c>
      <c r="AA118" s="57"/>
      <c r="AB118" s="57"/>
      <c r="AC118" s="247" t="e">
        <f t="shared" si="117"/>
        <v>#DIV/0!</v>
      </c>
      <c r="AD118" s="57"/>
      <c r="AE118" s="57"/>
      <c r="AF118" s="57" t="e">
        <f t="shared" si="118"/>
        <v>#DIV/0!</v>
      </c>
      <c r="AG118" s="57"/>
      <c r="AH118" s="57"/>
      <c r="AI118" s="57" t="e">
        <f t="shared" si="119"/>
        <v>#DIV/0!</v>
      </c>
      <c r="AJ118" s="57"/>
      <c r="AK118" s="57"/>
      <c r="AL118" s="57" t="e">
        <f t="shared" si="120"/>
        <v>#DIV/0!</v>
      </c>
      <c r="AM118" s="57"/>
      <c r="AN118" s="57"/>
      <c r="AO118" s="57" t="e">
        <f t="shared" si="121"/>
        <v>#DIV/0!</v>
      </c>
      <c r="AP118" s="251">
        <f t="shared" si="106"/>
        <v>1</v>
      </c>
      <c r="AQ118" s="251">
        <f t="shared" si="107"/>
        <v>0</v>
      </c>
      <c r="AR118" s="252">
        <f t="shared" si="108"/>
        <v>0</v>
      </c>
    </row>
    <row r="119" spans="1:46" x14ac:dyDescent="0.25">
      <c r="A119" s="337" t="s">
        <v>809</v>
      </c>
      <c r="B119" s="339">
        <v>0.16500000000000001</v>
      </c>
      <c r="C119" s="339">
        <f t="shared" si="124"/>
        <v>8.2500000000000004E-2</v>
      </c>
      <c r="D119" s="339">
        <f t="shared" si="110"/>
        <v>0</v>
      </c>
      <c r="E119" s="374">
        <f t="shared" si="114"/>
        <v>1</v>
      </c>
      <c r="F119" s="106"/>
      <c r="G119" s="304"/>
      <c r="H119" s="303" t="e">
        <f t="shared" si="112"/>
        <v>#DIV/0!</v>
      </c>
      <c r="I119" s="246">
        <v>1</v>
      </c>
      <c r="J119" s="57"/>
      <c r="K119" s="247">
        <f t="shared" si="113"/>
        <v>0</v>
      </c>
      <c r="L119" s="57">
        <v>1</v>
      </c>
      <c r="M119" s="57"/>
      <c r="N119" s="247">
        <f t="shared" si="122"/>
        <v>0</v>
      </c>
      <c r="O119" s="57"/>
      <c r="P119" s="57"/>
      <c r="Q119" s="247" t="e">
        <f t="shared" si="123"/>
        <v>#DIV/0!</v>
      </c>
      <c r="R119" s="57"/>
      <c r="S119" s="57"/>
      <c r="T119" s="247" t="e">
        <f t="shared" si="115"/>
        <v>#DIV/0!</v>
      </c>
      <c r="U119" s="57"/>
      <c r="V119" s="57"/>
      <c r="W119" s="247" t="e">
        <f t="shared" si="111"/>
        <v>#DIV/0!</v>
      </c>
      <c r="X119" s="57"/>
      <c r="Y119" s="57"/>
      <c r="Z119" s="247" t="e">
        <f t="shared" si="116"/>
        <v>#DIV/0!</v>
      </c>
      <c r="AA119" s="57"/>
      <c r="AB119" s="57"/>
      <c r="AC119" s="247" t="e">
        <f t="shared" si="117"/>
        <v>#DIV/0!</v>
      </c>
      <c r="AD119" s="57"/>
      <c r="AE119" s="57"/>
      <c r="AF119" s="57" t="e">
        <f t="shared" si="118"/>
        <v>#DIV/0!</v>
      </c>
      <c r="AG119" s="57"/>
      <c r="AH119" s="57"/>
      <c r="AI119" s="57" t="e">
        <f t="shared" si="119"/>
        <v>#DIV/0!</v>
      </c>
      <c r="AJ119" s="57"/>
      <c r="AK119" s="57"/>
      <c r="AL119" s="57" t="e">
        <f t="shared" si="120"/>
        <v>#DIV/0!</v>
      </c>
      <c r="AM119" s="57"/>
      <c r="AN119" s="57"/>
      <c r="AO119" s="57" t="e">
        <f t="shared" si="121"/>
        <v>#DIV/0!</v>
      </c>
      <c r="AP119" s="251">
        <f t="shared" si="106"/>
        <v>2</v>
      </c>
      <c r="AQ119" s="251">
        <f t="shared" si="107"/>
        <v>0</v>
      </c>
      <c r="AR119" s="252">
        <f t="shared" si="108"/>
        <v>0</v>
      </c>
    </row>
    <row r="120" spans="1:46" x14ac:dyDescent="0.25">
      <c r="A120" s="337" t="s">
        <v>897</v>
      </c>
      <c r="B120" s="339">
        <v>0.12</v>
      </c>
      <c r="C120" s="339">
        <f t="shared" si="124"/>
        <v>0.06</v>
      </c>
      <c r="D120" s="339" t="e">
        <f t="shared" si="110"/>
        <v>#DIV/0!</v>
      </c>
      <c r="E120" s="374" t="e">
        <f t="shared" si="114"/>
        <v>#DIV/0!</v>
      </c>
      <c r="F120" s="106"/>
      <c r="G120" s="304"/>
      <c r="H120" s="303" t="e">
        <f t="shared" si="112"/>
        <v>#DIV/0!</v>
      </c>
      <c r="I120" s="246"/>
      <c r="J120" s="57"/>
      <c r="K120" s="247" t="e">
        <f t="shared" si="113"/>
        <v>#DIV/0!</v>
      </c>
      <c r="L120" s="57"/>
      <c r="M120" s="57"/>
      <c r="N120" s="247" t="e">
        <f t="shared" si="122"/>
        <v>#DIV/0!</v>
      </c>
      <c r="O120" s="57"/>
      <c r="P120" s="57"/>
      <c r="Q120" s="247" t="e">
        <f t="shared" si="123"/>
        <v>#DIV/0!</v>
      </c>
      <c r="R120" s="57"/>
      <c r="S120" s="57"/>
      <c r="T120" s="247" t="e">
        <f t="shared" si="115"/>
        <v>#DIV/0!</v>
      </c>
      <c r="U120" s="57"/>
      <c r="V120" s="57"/>
      <c r="W120" s="247" t="e">
        <f t="shared" si="111"/>
        <v>#DIV/0!</v>
      </c>
      <c r="X120" s="57"/>
      <c r="Y120" s="57"/>
      <c r="Z120" s="247" t="e">
        <f t="shared" si="116"/>
        <v>#DIV/0!</v>
      </c>
      <c r="AA120" s="57"/>
      <c r="AB120" s="57"/>
      <c r="AC120" s="247" t="e">
        <f t="shared" si="117"/>
        <v>#DIV/0!</v>
      </c>
      <c r="AD120" s="57"/>
      <c r="AE120" s="57"/>
      <c r="AF120" s="57" t="e">
        <f t="shared" si="118"/>
        <v>#DIV/0!</v>
      </c>
      <c r="AG120" s="57"/>
      <c r="AH120" s="57"/>
      <c r="AI120" s="57" t="e">
        <f t="shared" si="119"/>
        <v>#DIV/0!</v>
      </c>
      <c r="AJ120" s="57"/>
      <c r="AK120" s="57"/>
      <c r="AL120" s="57" t="e">
        <f t="shared" si="120"/>
        <v>#DIV/0!</v>
      </c>
      <c r="AM120" s="57"/>
      <c r="AN120" s="57"/>
      <c r="AO120" s="57" t="e">
        <f t="shared" si="121"/>
        <v>#DIV/0!</v>
      </c>
      <c r="AP120" s="251">
        <f t="shared" si="106"/>
        <v>0</v>
      </c>
      <c r="AQ120" s="251">
        <f t="shared" si="107"/>
        <v>0</v>
      </c>
      <c r="AR120" s="252" t="e">
        <f t="shared" si="108"/>
        <v>#DIV/0!</v>
      </c>
    </row>
    <row r="121" spans="1:46" x14ac:dyDescent="0.25">
      <c r="A121" s="330" t="s">
        <v>1124</v>
      </c>
      <c r="B121" s="329">
        <v>0</v>
      </c>
      <c r="C121" s="329">
        <f t="shared" si="124"/>
        <v>0</v>
      </c>
      <c r="D121" s="329" t="e">
        <f t="shared" si="110"/>
        <v>#DIV/0!</v>
      </c>
      <c r="E121" s="331" t="e">
        <f t="shared" si="114"/>
        <v>#DIV/0!</v>
      </c>
      <c r="F121" s="106"/>
      <c r="G121" s="304"/>
      <c r="H121" s="303" t="e">
        <f t="shared" si="112"/>
        <v>#DIV/0!</v>
      </c>
      <c r="I121" s="246"/>
      <c r="J121" s="57"/>
      <c r="K121" s="247" t="e">
        <f t="shared" si="113"/>
        <v>#DIV/0!</v>
      </c>
      <c r="L121" s="57"/>
      <c r="M121" s="57"/>
      <c r="N121" s="247" t="e">
        <f t="shared" si="122"/>
        <v>#DIV/0!</v>
      </c>
      <c r="O121" s="57"/>
      <c r="P121" s="57"/>
      <c r="Q121" s="247" t="e">
        <f t="shared" si="123"/>
        <v>#DIV/0!</v>
      </c>
      <c r="R121" s="57"/>
      <c r="S121" s="57"/>
      <c r="T121" s="247" t="e">
        <f t="shared" si="115"/>
        <v>#DIV/0!</v>
      </c>
      <c r="U121" s="57"/>
      <c r="V121" s="57"/>
      <c r="W121" s="247" t="e">
        <f t="shared" si="111"/>
        <v>#DIV/0!</v>
      </c>
      <c r="X121" s="57"/>
      <c r="Y121" s="57"/>
      <c r="Z121" s="247" t="e">
        <f t="shared" si="116"/>
        <v>#DIV/0!</v>
      </c>
      <c r="AA121" s="57"/>
      <c r="AB121" s="57"/>
      <c r="AC121" s="247" t="e">
        <f t="shared" si="117"/>
        <v>#DIV/0!</v>
      </c>
      <c r="AD121" s="57"/>
      <c r="AE121" s="57"/>
      <c r="AF121" s="57" t="e">
        <f t="shared" si="118"/>
        <v>#DIV/0!</v>
      </c>
      <c r="AG121" s="57"/>
      <c r="AH121" s="57"/>
      <c r="AI121" s="57" t="e">
        <f t="shared" si="119"/>
        <v>#DIV/0!</v>
      </c>
      <c r="AJ121" s="57"/>
      <c r="AK121" s="57"/>
      <c r="AL121" s="57" t="e">
        <f t="shared" si="120"/>
        <v>#DIV/0!</v>
      </c>
      <c r="AM121" s="57"/>
      <c r="AN121" s="57"/>
      <c r="AO121" s="57" t="e">
        <f t="shared" si="121"/>
        <v>#DIV/0!</v>
      </c>
      <c r="AP121" s="251">
        <f t="shared" si="106"/>
        <v>0</v>
      </c>
      <c r="AQ121" s="251">
        <f t="shared" si="107"/>
        <v>0</v>
      </c>
      <c r="AR121" s="252" t="e">
        <f t="shared" si="108"/>
        <v>#DIV/0!</v>
      </c>
    </row>
    <row r="122" spans="1:46" x14ac:dyDescent="0.25">
      <c r="A122" s="330" t="s">
        <v>1069</v>
      </c>
      <c r="B122" s="329">
        <v>0.3</v>
      </c>
      <c r="C122" s="329">
        <f t="shared" si="124"/>
        <v>0.15</v>
      </c>
      <c r="D122" s="329" t="e">
        <f t="shared" si="110"/>
        <v>#DIV/0!</v>
      </c>
      <c r="E122" s="331" t="e">
        <f>IF(D122&gt;0%,C122/D122,100%)</f>
        <v>#DIV/0!</v>
      </c>
      <c r="F122" s="106"/>
      <c r="G122" s="304"/>
      <c r="H122" s="303" t="e">
        <f t="shared" si="112"/>
        <v>#DIV/0!</v>
      </c>
      <c r="I122" s="246"/>
      <c r="J122" s="57"/>
      <c r="K122" s="247" t="e">
        <f t="shared" si="113"/>
        <v>#DIV/0!</v>
      </c>
      <c r="L122" s="57"/>
      <c r="M122" s="57"/>
      <c r="N122" s="247" t="e">
        <f t="shared" si="122"/>
        <v>#DIV/0!</v>
      </c>
      <c r="O122" s="57"/>
      <c r="P122" s="57"/>
      <c r="Q122" s="247" t="e">
        <f t="shared" si="123"/>
        <v>#DIV/0!</v>
      </c>
      <c r="R122" s="57"/>
      <c r="S122" s="57"/>
      <c r="T122" s="247" t="e">
        <f t="shared" si="115"/>
        <v>#DIV/0!</v>
      </c>
      <c r="U122" s="57"/>
      <c r="V122" s="57"/>
      <c r="W122" s="247" t="e">
        <f t="shared" si="111"/>
        <v>#DIV/0!</v>
      </c>
      <c r="X122" s="57"/>
      <c r="Y122" s="57"/>
      <c r="Z122" s="247" t="e">
        <f t="shared" si="116"/>
        <v>#DIV/0!</v>
      </c>
      <c r="AA122" s="57"/>
      <c r="AB122" s="57"/>
      <c r="AC122" s="247" t="e">
        <f t="shared" si="117"/>
        <v>#DIV/0!</v>
      </c>
      <c r="AD122" s="57"/>
      <c r="AE122" s="57"/>
      <c r="AF122" s="57" t="e">
        <f t="shared" si="118"/>
        <v>#DIV/0!</v>
      </c>
      <c r="AG122" s="57"/>
      <c r="AH122" s="57"/>
      <c r="AI122" s="57" t="e">
        <f t="shared" si="119"/>
        <v>#DIV/0!</v>
      </c>
      <c r="AJ122" s="57"/>
      <c r="AK122" s="57"/>
      <c r="AL122" s="57" t="e">
        <f t="shared" si="120"/>
        <v>#DIV/0!</v>
      </c>
      <c r="AM122" s="57"/>
      <c r="AN122" s="57"/>
      <c r="AO122" s="57" t="e">
        <f t="shared" si="121"/>
        <v>#DIV/0!</v>
      </c>
      <c r="AP122" s="251">
        <f t="shared" si="106"/>
        <v>0</v>
      </c>
      <c r="AQ122" s="251">
        <f t="shared" si="107"/>
        <v>0</v>
      </c>
      <c r="AR122" s="252" t="e">
        <f t="shared" si="108"/>
        <v>#DIV/0!</v>
      </c>
    </row>
    <row r="123" spans="1:46" x14ac:dyDescent="0.25">
      <c r="A123" s="330" t="s">
        <v>1070</v>
      </c>
      <c r="B123" s="329">
        <v>0.05</v>
      </c>
      <c r="C123" s="329">
        <f t="shared" si="124"/>
        <v>2.5000000000000001E-2</v>
      </c>
      <c r="D123" s="329" t="e">
        <f t="shared" si="110"/>
        <v>#DIV/0!</v>
      </c>
      <c r="E123" s="331" t="e">
        <f t="shared" ref="E123:E140" si="125">IF(D123&gt;0%,C123/D123,100%)</f>
        <v>#DIV/0!</v>
      </c>
      <c r="F123" s="106"/>
      <c r="G123" s="304"/>
      <c r="H123" s="303" t="e">
        <f t="shared" si="112"/>
        <v>#DIV/0!</v>
      </c>
      <c r="I123" s="246"/>
      <c r="J123" s="57"/>
      <c r="K123" s="247" t="e">
        <f t="shared" si="113"/>
        <v>#DIV/0!</v>
      </c>
      <c r="L123" s="57"/>
      <c r="M123" s="57"/>
      <c r="N123" s="247" t="e">
        <f t="shared" si="122"/>
        <v>#DIV/0!</v>
      </c>
      <c r="O123" s="57"/>
      <c r="P123" s="57"/>
      <c r="Q123" s="247" t="e">
        <f t="shared" si="123"/>
        <v>#DIV/0!</v>
      </c>
      <c r="R123" s="57"/>
      <c r="S123" s="57"/>
      <c r="T123" s="247" t="e">
        <f t="shared" si="115"/>
        <v>#DIV/0!</v>
      </c>
      <c r="U123" s="57"/>
      <c r="V123" s="57"/>
      <c r="W123" s="247" t="e">
        <f t="shared" si="111"/>
        <v>#DIV/0!</v>
      </c>
      <c r="X123" s="57"/>
      <c r="Y123" s="57"/>
      <c r="Z123" s="247" t="e">
        <f t="shared" si="116"/>
        <v>#DIV/0!</v>
      </c>
      <c r="AA123" s="57"/>
      <c r="AB123" s="57"/>
      <c r="AC123" s="247" t="e">
        <f t="shared" si="117"/>
        <v>#DIV/0!</v>
      </c>
      <c r="AD123" s="57"/>
      <c r="AE123" s="57"/>
      <c r="AF123" s="57" t="e">
        <f t="shared" si="118"/>
        <v>#DIV/0!</v>
      </c>
      <c r="AG123" s="57"/>
      <c r="AH123" s="57"/>
      <c r="AI123" s="57" t="e">
        <f t="shared" si="119"/>
        <v>#DIV/0!</v>
      </c>
      <c r="AJ123" s="57"/>
      <c r="AK123" s="57"/>
      <c r="AL123" s="57" t="e">
        <f t="shared" si="120"/>
        <v>#DIV/0!</v>
      </c>
      <c r="AM123" s="57"/>
      <c r="AN123" s="57"/>
      <c r="AO123" s="57" t="e">
        <f t="shared" si="121"/>
        <v>#DIV/0!</v>
      </c>
      <c r="AP123" s="251">
        <f t="shared" si="106"/>
        <v>0</v>
      </c>
      <c r="AQ123" s="251">
        <f t="shared" si="107"/>
        <v>0</v>
      </c>
      <c r="AR123" s="252" t="e">
        <f t="shared" si="108"/>
        <v>#DIV/0!</v>
      </c>
    </row>
    <row r="124" spans="1:46" x14ac:dyDescent="0.25">
      <c r="A124" s="330" t="s">
        <v>1071</v>
      </c>
      <c r="B124" s="329">
        <v>0.3</v>
      </c>
      <c r="C124" s="329">
        <f t="shared" si="124"/>
        <v>0.15</v>
      </c>
      <c r="D124" s="329" t="e">
        <f t="shared" si="110"/>
        <v>#DIV/0!</v>
      </c>
      <c r="E124" s="331" t="e">
        <f t="shared" si="125"/>
        <v>#DIV/0!</v>
      </c>
      <c r="F124" s="106"/>
      <c r="G124" s="304"/>
      <c r="H124" s="303" t="e">
        <f t="shared" si="112"/>
        <v>#DIV/0!</v>
      </c>
      <c r="I124" s="246"/>
      <c r="J124" s="57"/>
      <c r="K124" s="247" t="e">
        <f t="shared" si="113"/>
        <v>#DIV/0!</v>
      </c>
      <c r="L124" s="57"/>
      <c r="M124" s="57"/>
      <c r="N124" s="247" t="e">
        <f t="shared" si="122"/>
        <v>#DIV/0!</v>
      </c>
      <c r="O124" s="57"/>
      <c r="P124" s="57"/>
      <c r="Q124" s="247" t="e">
        <f t="shared" si="123"/>
        <v>#DIV/0!</v>
      </c>
      <c r="R124" s="57"/>
      <c r="S124" s="57"/>
      <c r="T124" s="247" t="e">
        <f t="shared" si="115"/>
        <v>#DIV/0!</v>
      </c>
      <c r="U124" s="57"/>
      <c r="V124" s="57"/>
      <c r="W124" s="247" t="e">
        <f t="shared" si="111"/>
        <v>#DIV/0!</v>
      </c>
      <c r="X124" s="57"/>
      <c r="Y124" s="57"/>
      <c r="Z124" s="247" t="e">
        <f t="shared" si="116"/>
        <v>#DIV/0!</v>
      </c>
      <c r="AA124" s="57"/>
      <c r="AB124" s="57"/>
      <c r="AC124" s="247" t="e">
        <f t="shared" si="117"/>
        <v>#DIV/0!</v>
      </c>
      <c r="AD124" s="57"/>
      <c r="AE124" s="57"/>
      <c r="AF124" s="57" t="e">
        <f t="shared" si="118"/>
        <v>#DIV/0!</v>
      </c>
      <c r="AG124" s="57"/>
      <c r="AH124" s="57"/>
      <c r="AI124" s="57" t="e">
        <f t="shared" si="119"/>
        <v>#DIV/0!</v>
      </c>
      <c r="AJ124" s="57"/>
      <c r="AK124" s="57"/>
      <c r="AL124" s="57" t="e">
        <f t="shared" si="120"/>
        <v>#DIV/0!</v>
      </c>
      <c r="AM124" s="57"/>
      <c r="AN124" s="57"/>
      <c r="AO124" s="57" t="e">
        <f t="shared" si="121"/>
        <v>#DIV/0!</v>
      </c>
      <c r="AP124" s="251">
        <f t="shared" si="106"/>
        <v>0</v>
      </c>
      <c r="AQ124" s="251">
        <f t="shared" si="107"/>
        <v>0</v>
      </c>
      <c r="AR124" s="252" t="e">
        <f t="shared" si="108"/>
        <v>#DIV/0!</v>
      </c>
    </row>
    <row r="125" spans="1:46" x14ac:dyDescent="0.25">
      <c r="A125" s="295" t="s">
        <v>807</v>
      </c>
      <c r="B125" s="297">
        <v>0.15</v>
      </c>
      <c r="C125" s="297">
        <f t="shared" si="124"/>
        <v>7.4999999999999997E-2</v>
      </c>
      <c r="D125" s="297" t="e">
        <f t="shared" si="110"/>
        <v>#DIV/0!</v>
      </c>
      <c r="E125" s="375" t="e">
        <f t="shared" si="125"/>
        <v>#DIV/0!</v>
      </c>
      <c r="F125" s="106"/>
      <c r="G125" s="304"/>
      <c r="H125" s="303" t="e">
        <f t="shared" si="112"/>
        <v>#DIV/0!</v>
      </c>
      <c r="I125" s="246"/>
      <c r="J125" s="57"/>
      <c r="K125" s="247" t="e">
        <f t="shared" si="113"/>
        <v>#DIV/0!</v>
      </c>
      <c r="L125" s="57"/>
      <c r="M125" s="57"/>
      <c r="N125" s="247" t="e">
        <f t="shared" si="122"/>
        <v>#DIV/0!</v>
      </c>
      <c r="O125" s="57"/>
      <c r="P125" s="57"/>
      <c r="Q125" s="247" t="e">
        <f t="shared" si="123"/>
        <v>#DIV/0!</v>
      </c>
      <c r="R125" s="57"/>
      <c r="S125" s="57"/>
      <c r="T125" s="247" t="e">
        <f t="shared" si="115"/>
        <v>#DIV/0!</v>
      </c>
      <c r="U125" s="57"/>
      <c r="V125" s="57"/>
      <c r="W125" s="247" t="e">
        <f t="shared" si="111"/>
        <v>#DIV/0!</v>
      </c>
      <c r="X125" s="57"/>
      <c r="Y125" s="57"/>
      <c r="Z125" s="247" t="e">
        <f t="shared" si="116"/>
        <v>#DIV/0!</v>
      </c>
      <c r="AA125" s="57"/>
      <c r="AB125" s="57"/>
      <c r="AC125" s="247" t="e">
        <f t="shared" si="117"/>
        <v>#DIV/0!</v>
      </c>
      <c r="AD125" s="57"/>
      <c r="AE125" s="57"/>
      <c r="AF125" s="57" t="e">
        <f t="shared" si="118"/>
        <v>#DIV/0!</v>
      </c>
      <c r="AG125" s="57"/>
      <c r="AH125" s="57"/>
      <c r="AI125" s="57" t="e">
        <f t="shared" si="119"/>
        <v>#DIV/0!</v>
      </c>
      <c r="AJ125" s="57"/>
      <c r="AK125" s="57"/>
      <c r="AL125" s="57" t="e">
        <f t="shared" si="120"/>
        <v>#DIV/0!</v>
      </c>
      <c r="AM125" s="57"/>
      <c r="AN125" s="57"/>
      <c r="AO125" s="57" t="e">
        <f t="shared" si="121"/>
        <v>#DIV/0!</v>
      </c>
      <c r="AP125" s="251">
        <f t="shared" si="106"/>
        <v>0</v>
      </c>
      <c r="AQ125" s="251">
        <f t="shared" si="107"/>
        <v>0</v>
      </c>
      <c r="AR125" s="252" t="e">
        <f t="shared" si="108"/>
        <v>#DIV/0!</v>
      </c>
    </row>
    <row r="126" spans="1:46" x14ac:dyDescent="0.25">
      <c r="A126" s="370" t="s">
        <v>1143</v>
      </c>
      <c r="B126" s="329">
        <v>0</v>
      </c>
      <c r="C126" s="329">
        <f t="shared" si="124"/>
        <v>0</v>
      </c>
      <c r="D126" s="329" t="e">
        <f t="shared" si="110"/>
        <v>#DIV/0!</v>
      </c>
      <c r="E126" s="331" t="e">
        <f t="shared" si="125"/>
        <v>#DIV/0!</v>
      </c>
      <c r="F126" s="106"/>
      <c r="G126" s="304"/>
      <c r="H126" s="303" t="e">
        <f t="shared" si="112"/>
        <v>#DIV/0!</v>
      </c>
      <c r="I126" s="246"/>
      <c r="J126" s="57"/>
      <c r="K126" s="247" t="e">
        <f t="shared" si="113"/>
        <v>#DIV/0!</v>
      </c>
      <c r="L126" s="57"/>
      <c r="M126" s="57"/>
      <c r="N126" s="247" t="e">
        <f t="shared" si="122"/>
        <v>#DIV/0!</v>
      </c>
      <c r="O126" s="57"/>
      <c r="P126" s="57"/>
      <c r="Q126" s="247" t="e">
        <f t="shared" si="123"/>
        <v>#DIV/0!</v>
      </c>
      <c r="R126" s="57"/>
      <c r="S126" s="57"/>
      <c r="T126" s="247" t="e">
        <f t="shared" si="115"/>
        <v>#DIV/0!</v>
      </c>
      <c r="U126" s="57"/>
      <c r="V126" s="57"/>
      <c r="W126" s="247" t="e">
        <f t="shared" si="111"/>
        <v>#DIV/0!</v>
      </c>
      <c r="X126" s="57"/>
      <c r="Y126" s="57"/>
      <c r="Z126" s="247" t="e">
        <f t="shared" si="116"/>
        <v>#DIV/0!</v>
      </c>
      <c r="AA126" s="57"/>
      <c r="AB126" s="57"/>
      <c r="AC126" s="247" t="e">
        <f t="shared" si="117"/>
        <v>#DIV/0!</v>
      </c>
      <c r="AD126" s="57"/>
      <c r="AE126" s="57"/>
      <c r="AF126" s="57" t="e">
        <f t="shared" si="118"/>
        <v>#DIV/0!</v>
      </c>
      <c r="AG126" s="57"/>
      <c r="AH126" s="57"/>
      <c r="AI126" s="57" t="e">
        <f t="shared" si="119"/>
        <v>#DIV/0!</v>
      </c>
      <c r="AJ126" s="57"/>
      <c r="AK126" s="57"/>
      <c r="AL126" s="57" t="e">
        <f t="shared" si="120"/>
        <v>#DIV/0!</v>
      </c>
      <c r="AM126" s="57"/>
      <c r="AN126" s="57"/>
      <c r="AO126" s="57" t="e">
        <f t="shared" si="121"/>
        <v>#DIV/0!</v>
      </c>
      <c r="AP126" s="251">
        <f t="shared" si="106"/>
        <v>0</v>
      </c>
      <c r="AQ126" s="251">
        <f t="shared" si="107"/>
        <v>0</v>
      </c>
      <c r="AR126" s="252" t="e">
        <f t="shared" si="108"/>
        <v>#DIV/0!</v>
      </c>
    </row>
    <row r="127" spans="1:46" x14ac:dyDescent="0.25">
      <c r="A127" s="369" t="s">
        <v>1131</v>
      </c>
      <c r="B127" s="297">
        <v>0.1</v>
      </c>
      <c r="C127" s="297">
        <f t="shared" si="124"/>
        <v>0.05</v>
      </c>
      <c r="D127" s="297" t="e">
        <f t="shared" si="110"/>
        <v>#DIV/0!</v>
      </c>
      <c r="E127" s="375" t="e">
        <f t="shared" si="125"/>
        <v>#DIV/0!</v>
      </c>
      <c r="F127" s="354"/>
      <c r="G127" s="304"/>
      <c r="H127" s="303" t="e">
        <f t="shared" si="112"/>
        <v>#DIV/0!</v>
      </c>
      <c r="I127" s="246"/>
      <c r="J127" s="57"/>
      <c r="K127" s="247" t="e">
        <f t="shared" si="113"/>
        <v>#DIV/0!</v>
      </c>
      <c r="L127" s="57"/>
      <c r="M127" s="57"/>
      <c r="N127" s="247" t="e">
        <f t="shared" si="122"/>
        <v>#DIV/0!</v>
      </c>
      <c r="O127" s="57"/>
      <c r="P127" s="57"/>
      <c r="Q127" s="247" t="e">
        <f t="shared" si="123"/>
        <v>#DIV/0!</v>
      </c>
      <c r="R127" s="57"/>
      <c r="S127" s="57"/>
      <c r="T127" s="247" t="e">
        <f t="shared" si="115"/>
        <v>#DIV/0!</v>
      </c>
      <c r="U127" s="57"/>
      <c r="V127" s="57"/>
      <c r="W127" s="247" t="e">
        <f t="shared" si="111"/>
        <v>#DIV/0!</v>
      </c>
      <c r="X127" s="57"/>
      <c r="Y127" s="57"/>
      <c r="Z127" s="247" t="e">
        <f t="shared" si="116"/>
        <v>#DIV/0!</v>
      </c>
      <c r="AA127" s="57"/>
      <c r="AB127" s="57"/>
      <c r="AC127" s="247" t="e">
        <f t="shared" si="117"/>
        <v>#DIV/0!</v>
      </c>
      <c r="AD127" s="57"/>
      <c r="AE127" s="57"/>
      <c r="AF127" s="57" t="e">
        <f t="shared" si="118"/>
        <v>#DIV/0!</v>
      </c>
      <c r="AG127" s="57"/>
      <c r="AH127" s="57"/>
      <c r="AI127" s="57" t="e">
        <f t="shared" si="119"/>
        <v>#DIV/0!</v>
      </c>
      <c r="AJ127" s="57"/>
      <c r="AK127" s="57"/>
      <c r="AL127" s="57" t="e">
        <f t="shared" si="120"/>
        <v>#DIV/0!</v>
      </c>
      <c r="AM127" s="57"/>
      <c r="AN127" s="57"/>
      <c r="AO127" s="57" t="e">
        <f t="shared" si="121"/>
        <v>#DIV/0!</v>
      </c>
      <c r="AP127" s="251">
        <f t="shared" si="106"/>
        <v>0</v>
      </c>
      <c r="AQ127" s="251">
        <f t="shared" si="107"/>
        <v>0</v>
      </c>
      <c r="AR127" s="252" t="e">
        <f t="shared" si="108"/>
        <v>#DIV/0!</v>
      </c>
    </row>
    <row r="128" spans="1:46" x14ac:dyDescent="0.25">
      <c r="A128" s="370" t="s">
        <v>1132</v>
      </c>
      <c r="B128" s="329">
        <v>0.05</v>
      </c>
      <c r="C128" s="329">
        <f t="shared" si="124"/>
        <v>2.5000000000000001E-2</v>
      </c>
      <c r="D128" s="329" t="e">
        <f t="shared" si="110"/>
        <v>#DIV/0!</v>
      </c>
      <c r="E128" s="331" t="e">
        <f t="shared" si="125"/>
        <v>#DIV/0!</v>
      </c>
      <c r="F128" s="355"/>
      <c r="G128" s="304"/>
      <c r="H128" s="303" t="e">
        <f t="shared" si="112"/>
        <v>#DIV/0!</v>
      </c>
      <c r="I128" s="246"/>
      <c r="J128" s="57"/>
      <c r="K128" s="247" t="e">
        <f t="shared" si="113"/>
        <v>#DIV/0!</v>
      </c>
      <c r="L128" s="57"/>
      <c r="M128" s="57"/>
      <c r="N128" s="247" t="e">
        <f t="shared" si="122"/>
        <v>#DIV/0!</v>
      </c>
      <c r="O128" s="57"/>
      <c r="P128" s="57"/>
      <c r="Q128" s="247" t="e">
        <f t="shared" si="123"/>
        <v>#DIV/0!</v>
      </c>
      <c r="R128" s="57"/>
      <c r="S128" s="57"/>
      <c r="T128" s="247" t="e">
        <f t="shared" si="115"/>
        <v>#DIV/0!</v>
      </c>
      <c r="U128" s="57"/>
      <c r="V128" s="57"/>
      <c r="W128" s="247" t="e">
        <f t="shared" si="111"/>
        <v>#DIV/0!</v>
      </c>
      <c r="X128" s="57"/>
      <c r="Y128" s="57"/>
      <c r="Z128" s="247" t="e">
        <f t="shared" si="116"/>
        <v>#DIV/0!</v>
      </c>
      <c r="AA128" s="57"/>
      <c r="AB128" s="57"/>
      <c r="AC128" s="247" t="e">
        <f t="shared" si="117"/>
        <v>#DIV/0!</v>
      </c>
      <c r="AD128" s="57"/>
      <c r="AE128" s="57"/>
      <c r="AF128" s="57" t="e">
        <f t="shared" si="118"/>
        <v>#DIV/0!</v>
      </c>
      <c r="AG128" s="57"/>
      <c r="AH128" s="57"/>
      <c r="AI128" s="57" t="e">
        <f t="shared" si="119"/>
        <v>#DIV/0!</v>
      </c>
      <c r="AJ128" s="57"/>
      <c r="AK128" s="57"/>
      <c r="AL128" s="57" t="e">
        <f t="shared" si="120"/>
        <v>#DIV/0!</v>
      </c>
      <c r="AM128" s="57"/>
      <c r="AN128" s="57"/>
      <c r="AO128" s="57" t="e">
        <f t="shared" si="121"/>
        <v>#DIV/0!</v>
      </c>
      <c r="AP128" s="251">
        <f t="shared" si="106"/>
        <v>0</v>
      </c>
      <c r="AQ128" s="251">
        <f t="shared" si="107"/>
        <v>0</v>
      </c>
      <c r="AR128" s="252" t="e">
        <f t="shared" si="108"/>
        <v>#DIV/0!</v>
      </c>
    </row>
    <row r="129" spans="1:44" ht="30" x14ac:dyDescent="0.25">
      <c r="A129" s="371" t="s">
        <v>1133</v>
      </c>
      <c r="B129" s="329">
        <v>0.05</v>
      </c>
      <c r="C129" s="329">
        <f t="shared" si="124"/>
        <v>2.5000000000000001E-2</v>
      </c>
      <c r="D129" s="329" t="e">
        <f t="shared" si="110"/>
        <v>#DIV/0!</v>
      </c>
      <c r="E129" s="331" t="e">
        <f t="shared" si="125"/>
        <v>#DIV/0!</v>
      </c>
      <c r="F129" s="355"/>
      <c r="G129" s="304"/>
      <c r="H129" s="303" t="e">
        <f t="shared" si="112"/>
        <v>#DIV/0!</v>
      </c>
      <c r="I129" s="246"/>
      <c r="J129" s="57"/>
      <c r="K129" s="247" t="e">
        <f t="shared" si="113"/>
        <v>#DIV/0!</v>
      </c>
      <c r="L129" s="57"/>
      <c r="M129" s="57"/>
      <c r="N129" s="247" t="e">
        <f t="shared" si="122"/>
        <v>#DIV/0!</v>
      </c>
      <c r="O129" s="57"/>
      <c r="P129" s="57"/>
      <c r="Q129" s="247" t="e">
        <f t="shared" si="123"/>
        <v>#DIV/0!</v>
      </c>
      <c r="R129" s="57"/>
      <c r="S129" s="57"/>
      <c r="T129" s="247" t="e">
        <f t="shared" si="115"/>
        <v>#DIV/0!</v>
      </c>
      <c r="U129" s="57"/>
      <c r="V129" s="57"/>
      <c r="W129" s="247" t="e">
        <f t="shared" si="111"/>
        <v>#DIV/0!</v>
      </c>
      <c r="X129" s="57"/>
      <c r="Y129" s="57"/>
      <c r="Z129" s="247" t="e">
        <f t="shared" si="116"/>
        <v>#DIV/0!</v>
      </c>
      <c r="AA129" s="57"/>
      <c r="AB129" s="57"/>
      <c r="AC129" s="247" t="e">
        <f t="shared" si="117"/>
        <v>#DIV/0!</v>
      </c>
      <c r="AD129" s="57"/>
      <c r="AE129" s="57"/>
      <c r="AF129" s="57" t="e">
        <f t="shared" si="118"/>
        <v>#DIV/0!</v>
      </c>
      <c r="AG129" s="57"/>
      <c r="AH129" s="57"/>
      <c r="AI129" s="57" t="e">
        <f t="shared" si="119"/>
        <v>#DIV/0!</v>
      </c>
      <c r="AJ129" s="57"/>
      <c r="AK129" s="57"/>
      <c r="AL129" s="57" t="e">
        <f t="shared" si="120"/>
        <v>#DIV/0!</v>
      </c>
      <c r="AM129" s="57"/>
      <c r="AN129" s="57"/>
      <c r="AO129" s="57" t="e">
        <f t="shared" si="121"/>
        <v>#DIV/0!</v>
      </c>
      <c r="AP129" s="251">
        <f t="shared" si="106"/>
        <v>0</v>
      </c>
      <c r="AQ129" s="251">
        <f t="shared" si="107"/>
        <v>0</v>
      </c>
      <c r="AR129" s="252" t="e">
        <f t="shared" si="108"/>
        <v>#DIV/0!</v>
      </c>
    </row>
    <row r="130" spans="1:44" ht="30" x14ac:dyDescent="0.25">
      <c r="A130" s="371" t="s">
        <v>1134</v>
      </c>
      <c r="B130" s="329">
        <v>0.05</v>
      </c>
      <c r="C130" s="329">
        <f t="shared" si="124"/>
        <v>2.5000000000000001E-2</v>
      </c>
      <c r="D130" s="329">
        <f t="shared" si="110"/>
        <v>0</v>
      </c>
      <c r="E130" s="331">
        <f t="shared" si="125"/>
        <v>1</v>
      </c>
      <c r="F130" s="355"/>
      <c r="G130" s="304"/>
      <c r="H130" s="303" t="e">
        <f t="shared" si="112"/>
        <v>#DIV/0!</v>
      </c>
      <c r="I130" s="246">
        <v>1</v>
      </c>
      <c r="J130" s="57"/>
      <c r="K130" s="247">
        <f t="shared" si="113"/>
        <v>0</v>
      </c>
      <c r="L130" s="57"/>
      <c r="M130" s="57"/>
      <c r="N130" s="247" t="e">
        <f t="shared" si="122"/>
        <v>#DIV/0!</v>
      </c>
      <c r="O130" s="57"/>
      <c r="P130" s="57"/>
      <c r="Q130" s="247" t="e">
        <f t="shared" si="123"/>
        <v>#DIV/0!</v>
      </c>
      <c r="R130" s="57"/>
      <c r="S130" s="57"/>
      <c r="T130" s="247" t="e">
        <f t="shared" si="115"/>
        <v>#DIV/0!</v>
      </c>
      <c r="U130" s="57"/>
      <c r="V130" s="57"/>
      <c r="W130" s="247" t="e">
        <f t="shared" si="111"/>
        <v>#DIV/0!</v>
      </c>
      <c r="X130" s="57"/>
      <c r="Y130" s="57"/>
      <c r="Z130" s="247" t="e">
        <f t="shared" si="116"/>
        <v>#DIV/0!</v>
      </c>
      <c r="AA130" s="57"/>
      <c r="AB130" s="57"/>
      <c r="AC130" s="247" t="e">
        <f t="shared" si="117"/>
        <v>#DIV/0!</v>
      </c>
      <c r="AD130" s="57"/>
      <c r="AE130" s="57"/>
      <c r="AF130" s="57" t="e">
        <f t="shared" si="118"/>
        <v>#DIV/0!</v>
      </c>
      <c r="AG130" s="57"/>
      <c r="AH130" s="57"/>
      <c r="AI130" s="57" t="e">
        <f t="shared" si="119"/>
        <v>#DIV/0!</v>
      </c>
      <c r="AJ130" s="57"/>
      <c r="AK130" s="57"/>
      <c r="AL130" s="57" t="e">
        <f t="shared" si="120"/>
        <v>#DIV/0!</v>
      </c>
      <c r="AM130" s="57"/>
      <c r="AN130" s="57"/>
      <c r="AO130" s="57" t="e">
        <f t="shared" si="121"/>
        <v>#DIV/0!</v>
      </c>
      <c r="AP130" s="251">
        <f t="shared" si="106"/>
        <v>1</v>
      </c>
      <c r="AQ130" s="251">
        <f t="shared" si="107"/>
        <v>0</v>
      </c>
      <c r="AR130" s="252">
        <f t="shared" si="108"/>
        <v>0</v>
      </c>
    </row>
    <row r="131" spans="1:44" ht="30" x14ac:dyDescent="0.25">
      <c r="A131" s="371" t="s">
        <v>1135</v>
      </c>
      <c r="B131" s="329">
        <v>0.05</v>
      </c>
      <c r="C131" s="329">
        <f t="shared" si="124"/>
        <v>2.5000000000000001E-2</v>
      </c>
      <c r="D131" s="329" t="e">
        <f t="shared" si="110"/>
        <v>#DIV/0!</v>
      </c>
      <c r="E131" s="331" t="e">
        <f t="shared" si="125"/>
        <v>#DIV/0!</v>
      </c>
      <c r="F131" s="355"/>
      <c r="G131" s="304"/>
      <c r="H131" s="303" t="e">
        <f t="shared" si="112"/>
        <v>#DIV/0!</v>
      </c>
      <c r="I131" s="246"/>
      <c r="J131" s="57"/>
      <c r="K131" s="247" t="e">
        <f t="shared" si="113"/>
        <v>#DIV/0!</v>
      </c>
      <c r="L131" s="57"/>
      <c r="M131" s="57"/>
      <c r="N131" s="247" t="e">
        <f t="shared" si="122"/>
        <v>#DIV/0!</v>
      </c>
      <c r="O131" s="57"/>
      <c r="P131" s="57"/>
      <c r="Q131" s="247" t="e">
        <f t="shared" si="123"/>
        <v>#DIV/0!</v>
      </c>
      <c r="R131" s="57"/>
      <c r="S131" s="57"/>
      <c r="T131" s="247" t="e">
        <f t="shared" si="115"/>
        <v>#DIV/0!</v>
      </c>
      <c r="U131" s="57"/>
      <c r="V131" s="57"/>
      <c r="W131" s="247" t="e">
        <f t="shared" si="111"/>
        <v>#DIV/0!</v>
      </c>
      <c r="X131" s="57"/>
      <c r="Y131" s="57"/>
      <c r="Z131" s="247" t="e">
        <f t="shared" si="116"/>
        <v>#DIV/0!</v>
      </c>
      <c r="AA131" s="57"/>
      <c r="AB131" s="57"/>
      <c r="AC131" s="247" t="e">
        <f t="shared" si="117"/>
        <v>#DIV/0!</v>
      </c>
      <c r="AD131" s="57"/>
      <c r="AE131" s="57"/>
      <c r="AF131" s="57" t="e">
        <f t="shared" si="118"/>
        <v>#DIV/0!</v>
      </c>
      <c r="AG131" s="57"/>
      <c r="AH131" s="57"/>
      <c r="AI131" s="57" t="e">
        <f t="shared" si="119"/>
        <v>#DIV/0!</v>
      </c>
      <c r="AJ131" s="57"/>
      <c r="AK131" s="57"/>
      <c r="AL131" s="57" t="e">
        <f t="shared" si="120"/>
        <v>#DIV/0!</v>
      </c>
      <c r="AM131" s="57"/>
      <c r="AN131" s="57"/>
      <c r="AO131" s="57" t="e">
        <f t="shared" si="121"/>
        <v>#DIV/0!</v>
      </c>
      <c r="AP131" s="251">
        <f t="shared" si="106"/>
        <v>0</v>
      </c>
      <c r="AQ131" s="251">
        <f t="shared" si="107"/>
        <v>0</v>
      </c>
      <c r="AR131" s="252" t="e">
        <f t="shared" si="108"/>
        <v>#DIV/0!</v>
      </c>
    </row>
    <row r="132" spans="1:44" x14ac:dyDescent="0.25">
      <c r="A132" s="372" t="s">
        <v>1136</v>
      </c>
      <c r="B132" s="297">
        <v>0.2</v>
      </c>
      <c r="C132" s="297">
        <f t="shared" si="124"/>
        <v>0.1</v>
      </c>
      <c r="D132" s="297" t="e">
        <f t="shared" si="110"/>
        <v>#DIV/0!</v>
      </c>
      <c r="E132" s="376" t="e">
        <f t="shared" si="125"/>
        <v>#DIV/0!</v>
      </c>
      <c r="F132" s="360"/>
      <c r="G132" s="304"/>
      <c r="H132" s="303" t="e">
        <f t="shared" si="112"/>
        <v>#DIV/0!</v>
      </c>
      <c r="I132" s="246"/>
      <c r="J132" s="57"/>
      <c r="K132" s="247" t="e">
        <f t="shared" si="113"/>
        <v>#DIV/0!</v>
      </c>
      <c r="L132" s="57"/>
      <c r="M132" s="57"/>
      <c r="N132" s="247" t="e">
        <f t="shared" si="122"/>
        <v>#DIV/0!</v>
      </c>
      <c r="O132" s="57"/>
      <c r="P132" s="57"/>
      <c r="Q132" s="247" t="e">
        <f t="shared" si="123"/>
        <v>#DIV/0!</v>
      </c>
      <c r="R132" s="57"/>
      <c r="S132" s="57"/>
      <c r="T132" s="247" t="e">
        <f t="shared" si="115"/>
        <v>#DIV/0!</v>
      </c>
      <c r="U132" s="57"/>
      <c r="V132" s="57"/>
      <c r="W132" s="247" t="e">
        <f t="shared" si="111"/>
        <v>#DIV/0!</v>
      </c>
      <c r="X132" s="57"/>
      <c r="Y132" s="57"/>
      <c r="Z132" s="247" t="e">
        <f t="shared" si="116"/>
        <v>#DIV/0!</v>
      </c>
      <c r="AA132" s="57"/>
      <c r="AB132" s="57"/>
      <c r="AC132" s="247" t="e">
        <f t="shared" si="117"/>
        <v>#DIV/0!</v>
      </c>
      <c r="AD132" s="57"/>
      <c r="AE132" s="57"/>
      <c r="AF132" s="57" t="e">
        <f t="shared" si="118"/>
        <v>#DIV/0!</v>
      </c>
      <c r="AG132" s="57"/>
      <c r="AH132" s="57"/>
      <c r="AI132" s="57" t="e">
        <f t="shared" si="119"/>
        <v>#DIV/0!</v>
      </c>
      <c r="AJ132" s="57"/>
      <c r="AK132" s="57"/>
      <c r="AL132" s="57" t="e">
        <f t="shared" si="120"/>
        <v>#DIV/0!</v>
      </c>
      <c r="AM132" s="57"/>
      <c r="AN132" s="57"/>
      <c r="AO132" s="57" t="e">
        <f t="shared" si="121"/>
        <v>#DIV/0!</v>
      </c>
      <c r="AP132" s="251">
        <f t="shared" si="106"/>
        <v>0</v>
      </c>
      <c r="AQ132" s="251">
        <f t="shared" si="107"/>
        <v>0</v>
      </c>
      <c r="AR132" s="252" t="e">
        <f t="shared" si="108"/>
        <v>#DIV/0!</v>
      </c>
    </row>
    <row r="133" spans="1:44" x14ac:dyDescent="0.25">
      <c r="A133" s="370" t="s">
        <v>1139</v>
      </c>
      <c r="B133" s="329">
        <v>0.08</v>
      </c>
      <c r="C133" s="329">
        <f t="shared" si="124"/>
        <v>0.04</v>
      </c>
      <c r="D133" s="329">
        <f t="shared" si="110"/>
        <v>0</v>
      </c>
      <c r="E133" s="331">
        <f t="shared" si="125"/>
        <v>1</v>
      </c>
      <c r="F133" s="355"/>
      <c r="G133" s="304"/>
      <c r="H133" s="303" t="e">
        <f t="shared" si="112"/>
        <v>#DIV/0!</v>
      </c>
      <c r="I133" s="246">
        <v>1</v>
      </c>
      <c r="J133" s="57"/>
      <c r="K133" s="247">
        <f t="shared" si="113"/>
        <v>0</v>
      </c>
      <c r="L133" s="57"/>
      <c r="M133" s="57"/>
      <c r="N133" s="247" t="e">
        <f t="shared" si="122"/>
        <v>#DIV/0!</v>
      </c>
      <c r="O133" s="57"/>
      <c r="P133" s="57"/>
      <c r="Q133" s="247" t="e">
        <f t="shared" si="123"/>
        <v>#DIV/0!</v>
      </c>
      <c r="R133" s="57"/>
      <c r="S133" s="57"/>
      <c r="T133" s="247" t="e">
        <f t="shared" si="115"/>
        <v>#DIV/0!</v>
      </c>
      <c r="U133" s="57"/>
      <c r="V133" s="57"/>
      <c r="W133" s="247" t="e">
        <f t="shared" si="111"/>
        <v>#DIV/0!</v>
      </c>
      <c r="X133" s="57"/>
      <c r="Y133" s="57"/>
      <c r="Z133" s="247" t="e">
        <f t="shared" si="116"/>
        <v>#DIV/0!</v>
      </c>
      <c r="AA133" s="57"/>
      <c r="AB133" s="57"/>
      <c r="AC133" s="247" t="e">
        <f t="shared" si="117"/>
        <v>#DIV/0!</v>
      </c>
      <c r="AD133" s="57"/>
      <c r="AE133" s="57"/>
      <c r="AF133" s="57" t="e">
        <f t="shared" si="118"/>
        <v>#DIV/0!</v>
      </c>
      <c r="AG133" s="57"/>
      <c r="AH133" s="57"/>
      <c r="AI133" s="57" t="e">
        <f t="shared" si="119"/>
        <v>#DIV/0!</v>
      </c>
      <c r="AJ133" s="57"/>
      <c r="AK133" s="57"/>
      <c r="AL133" s="57" t="e">
        <f t="shared" si="120"/>
        <v>#DIV/0!</v>
      </c>
      <c r="AM133" s="57"/>
      <c r="AN133" s="57"/>
      <c r="AO133" s="57" t="e">
        <f t="shared" si="121"/>
        <v>#DIV/0!</v>
      </c>
      <c r="AP133" s="251">
        <f t="shared" si="106"/>
        <v>1</v>
      </c>
      <c r="AQ133" s="251">
        <f t="shared" si="107"/>
        <v>0</v>
      </c>
      <c r="AR133" s="252">
        <f t="shared" si="108"/>
        <v>0</v>
      </c>
    </row>
    <row r="134" spans="1:44" x14ac:dyDescent="0.25">
      <c r="A134" s="370" t="s">
        <v>1140</v>
      </c>
      <c r="B134" s="329">
        <v>0.13</v>
      </c>
      <c r="C134" s="329">
        <f t="shared" si="124"/>
        <v>6.5000000000000002E-2</v>
      </c>
      <c r="D134" s="329">
        <f t="shared" si="110"/>
        <v>0</v>
      </c>
      <c r="E134" s="331">
        <f t="shared" si="125"/>
        <v>1</v>
      </c>
      <c r="F134" s="355">
        <v>1</v>
      </c>
      <c r="G134" s="304"/>
      <c r="H134" s="303">
        <f t="shared" si="112"/>
        <v>0</v>
      </c>
      <c r="I134" s="246"/>
      <c r="J134" s="57"/>
      <c r="K134" s="247" t="e">
        <f t="shared" si="113"/>
        <v>#DIV/0!</v>
      </c>
      <c r="L134" s="57"/>
      <c r="M134" s="57"/>
      <c r="N134" s="247" t="e">
        <f t="shared" si="122"/>
        <v>#DIV/0!</v>
      </c>
      <c r="O134" s="57"/>
      <c r="P134" s="57"/>
      <c r="Q134" s="247" t="e">
        <f t="shared" si="123"/>
        <v>#DIV/0!</v>
      </c>
      <c r="R134" s="57"/>
      <c r="S134" s="57"/>
      <c r="T134" s="247" t="e">
        <f t="shared" si="115"/>
        <v>#DIV/0!</v>
      </c>
      <c r="U134" s="57"/>
      <c r="V134" s="57"/>
      <c r="W134" s="247" t="e">
        <f t="shared" si="111"/>
        <v>#DIV/0!</v>
      </c>
      <c r="X134" s="57"/>
      <c r="Y134" s="57"/>
      <c r="Z134" s="247" t="e">
        <f t="shared" si="116"/>
        <v>#DIV/0!</v>
      </c>
      <c r="AA134" s="57"/>
      <c r="AB134" s="57"/>
      <c r="AC134" s="247" t="e">
        <f t="shared" si="117"/>
        <v>#DIV/0!</v>
      </c>
      <c r="AD134" s="57"/>
      <c r="AE134" s="57"/>
      <c r="AF134" s="57" t="e">
        <f t="shared" si="118"/>
        <v>#DIV/0!</v>
      </c>
      <c r="AG134" s="57"/>
      <c r="AH134" s="57"/>
      <c r="AI134" s="57" t="e">
        <f t="shared" si="119"/>
        <v>#DIV/0!</v>
      </c>
      <c r="AJ134" s="57"/>
      <c r="AK134" s="57"/>
      <c r="AL134" s="57" t="e">
        <f t="shared" si="120"/>
        <v>#DIV/0!</v>
      </c>
      <c r="AM134" s="57"/>
      <c r="AN134" s="57"/>
      <c r="AO134" s="57" t="e">
        <f t="shared" si="121"/>
        <v>#DIV/0!</v>
      </c>
      <c r="AP134" s="251">
        <f t="shared" si="106"/>
        <v>1</v>
      </c>
      <c r="AQ134" s="251">
        <f t="shared" si="107"/>
        <v>0</v>
      </c>
      <c r="AR134" s="252">
        <f t="shared" si="108"/>
        <v>0</v>
      </c>
    </row>
    <row r="135" spans="1:44" x14ac:dyDescent="0.25">
      <c r="A135" s="370" t="s">
        <v>1141</v>
      </c>
      <c r="B135" s="329">
        <v>0.13</v>
      </c>
      <c r="C135" s="329">
        <f t="shared" si="124"/>
        <v>6.5000000000000002E-2</v>
      </c>
      <c r="D135" s="329">
        <f t="shared" si="110"/>
        <v>0</v>
      </c>
      <c r="E135" s="331">
        <f t="shared" si="125"/>
        <v>1</v>
      </c>
      <c r="F135" s="355"/>
      <c r="G135" s="304"/>
      <c r="H135" s="303" t="e">
        <f t="shared" si="112"/>
        <v>#DIV/0!</v>
      </c>
      <c r="I135" s="246"/>
      <c r="J135" s="57"/>
      <c r="K135" s="247" t="e">
        <f t="shared" si="113"/>
        <v>#DIV/0!</v>
      </c>
      <c r="L135" s="57">
        <v>2</v>
      </c>
      <c r="M135" s="57"/>
      <c r="N135" s="247">
        <f t="shared" si="122"/>
        <v>0</v>
      </c>
      <c r="O135" s="57">
        <v>1</v>
      </c>
      <c r="P135" s="57"/>
      <c r="Q135" s="247">
        <f t="shared" si="123"/>
        <v>0</v>
      </c>
      <c r="R135" s="57"/>
      <c r="S135" s="57"/>
      <c r="T135" s="247" t="e">
        <f t="shared" si="115"/>
        <v>#DIV/0!</v>
      </c>
      <c r="U135" s="57"/>
      <c r="V135" s="57"/>
      <c r="W135" s="247" t="e">
        <f t="shared" si="111"/>
        <v>#DIV/0!</v>
      </c>
      <c r="X135" s="57"/>
      <c r="Y135" s="57"/>
      <c r="Z135" s="247" t="e">
        <f t="shared" si="116"/>
        <v>#DIV/0!</v>
      </c>
      <c r="AA135" s="57"/>
      <c r="AB135" s="57"/>
      <c r="AC135" s="247" t="e">
        <f t="shared" si="117"/>
        <v>#DIV/0!</v>
      </c>
      <c r="AD135" s="57"/>
      <c r="AE135" s="57"/>
      <c r="AF135" s="57" t="e">
        <f t="shared" si="118"/>
        <v>#DIV/0!</v>
      </c>
      <c r="AG135" s="57"/>
      <c r="AH135" s="57"/>
      <c r="AI135" s="57" t="e">
        <f t="shared" si="119"/>
        <v>#DIV/0!</v>
      </c>
      <c r="AJ135" s="57"/>
      <c r="AK135" s="57"/>
      <c r="AL135" s="57" t="e">
        <f t="shared" si="120"/>
        <v>#DIV/0!</v>
      </c>
      <c r="AM135" s="57"/>
      <c r="AN135" s="57"/>
      <c r="AO135" s="57" t="e">
        <f t="shared" si="121"/>
        <v>#DIV/0!</v>
      </c>
      <c r="AP135" s="251">
        <f t="shared" si="106"/>
        <v>3</v>
      </c>
      <c r="AQ135" s="251">
        <f t="shared" si="107"/>
        <v>0</v>
      </c>
      <c r="AR135" s="252">
        <f t="shared" si="108"/>
        <v>0</v>
      </c>
    </row>
    <row r="136" spans="1:44" x14ac:dyDescent="0.25">
      <c r="A136" s="370" t="s">
        <v>1138</v>
      </c>
      <c r="B136" s="332">
        <v>0</v>
      </c>
      <c r="C136" s="332">
        <f t="shared" si="124"/>
        <v>0</v>
      </c>
      <c r="D136" s="332" t="e">
        <f t="shared" si="110"/>
        <v>#DIV/0!</v>
      </c>
      <c r="E136" s="366" t="e">
        <f t="shared" si="125"/>
        <v>#DIV/0!</v>
      </c>
      <c r="F136" s="355"/>
      <c r="G136" s="304"/>
      <c r="H136" s="303" t="e">
        <f t="shared" si="112"/>
        <v>#DIV/0!</v>
      </c>
      <c r="I136" s="246"/>
      <c r="J136" s="57"/>
      <c r="K136" s="247" t="e">
        <f t="shared" si="113"/>
        <v>#DIV/0!</v>
      </c>
      <c r="L136" s="57"/>
      <c r="M136" s="57"/>
      <c r="N136" s="247" t="e">
        <f t="shared" si="122"/>
        <v>#DIV/0!</v>
      </c>
      <c r="O136" s="57"/>
      <c r="P136" s="57"/>
      <c r="Q136" s="247" t="e">
        <f t="shared" si="123"/>
        <v>#DIV/0!</v>
      </c>
      <c r="R136" s="57"/>
      <c r="S136" s="57"/>
      <c r="T136" s="247" t="e">
        <f t="shared" si="115"/>
        <v>#DIV/0!</v>
      </c>
      <c r="U136" s="57"/>
      <c r="V136" s="57"/>
      <c r="W136" s="247" t="e">
        <f t="shared" si="111"/>
        <v>#DIV/0!</v>
      </c>
      <c r="X136" s="57"/>
      <c r="Y136" s="57"/>
      <c r="Z136" s="247" t="e">
        <f t="shared" si="116"/>
        <v>#DIV/0!</v>
      </c>
      <c r="AA136" s="57"/>
      <c r="AB136" s="57"/>
      <c r="AC136" s="247" t="e">
        <f t="shared" si="117"/>
        <v>#DIV/0!</v>
      </c>
      <c r="AD136" s="57"/>
      <c r="AE136" s="57"/>
      <c r="AF136" s="57" t="e">
        <f t="shared" si="118"/>
        <v>#DIV/0!</v>
      </c>
      <c r="AG136" s="57"/>
      <c r="AH136" s="57"/>
      <c r="AI136" s="57" t="e">
        <f t="shared" si="119"/>
        <v>#DIV/0!</v>
      </c>
      <c r="AJ136" s="57"/>
      <c r="AK136" s="57"/>
      <c r="AL136" s="57" t="e">
        <f t="shared" si="120"/>
        <v>#DIV/0!</v>
      </c>
      <c r="AM136" s="57"/>
      <c r="AN136" s="57"/>
      <c r="AO136" s="57" t="e">
        <f t="shared" si="121"/>
        <v>#DIV/0!</v>
      </c>
      <c r="AP136" s="251">
        <f t="shared" si="106"/>
        <v>0</v>
      </c>
      <c r="AQ136" s="251">
        <f t="shared" si="107"/>
        <v>0</v>
      </c>
      <c r="AR136" s="252" t="e">
        <f t="shared" si="108"/>
        <v>#DIV/0!</v>
      </c>
    </row>
    <row r="137" spans="1:44" x14ac:dyDescent="0.25">
      <c r="A137" s="370" t="s">
        <v>1137</v>
      </c>
      <c r="B137" s="332">
        <v>0.2</v>
      </c>
      <c r="C137" s="332">
        <f t="shared" si="124"/>
        <v>0.1</v>
      </c>
      <c r="D137" s="332">
        <f t="shared" si="110"/>
        <v>0.5</v>
      </c>
      <c r="E137" s="366">
        <f t="shared" si="125"/>
        <v>0.2</v>
      </c>
      <c r="F137" s="355"/>
      <c r="G137" s="304"/>
      <c r="H137" s="303" t="e">
        <f t="shared" si="112"/>
        <v>#DIV/0!</v>
      </c>
      <c r="I137" s="246"/>
      <c r="J137" s="57">
        <v>1</v>
      </c>
      <c r="K137" s="247" t="e">
        <f t="shared" si="113"/>
        <v>#DIV/0!</v>
      </c>
      <c r="L137" s="57"/>
      <c r="M137" s="57"/>
      <c r="N137" s="247" t="e">
        <f t="shared" si="122"/>
        <v>#DIV/0!</v>
      </c>
      <c r="O137" s="57">
        <v>2</v>
      </c>
      <c r="P137" s="57"/>
      <c r="Q137" s="247">
        <f t="shared" si="123"/>
        <v>0</v>
      </c>
      <c r="R137" s="57"/>
      <c r="S137" s="57"/>
      <c r="T137" s="247" t="e">
        <f t="shared" si="115"/>
        <v>#DIV/0!</v>
      </c>
      <c r="U137" s="57"/>
      <c r="V137" s="57"/>
      <c r="W137" s="247" t="e">
        <f t="shared" si="111"/>
        <v>#DIV/0!</v>
      </c>
      <c r="X137" s="57"/>
      <c r="Y137" s="57"/>
      <c r="Z137" s="247" t="e">
        <f t="shared" si="116"/>
        <v>#DIV/0!</v>
      </c>
      <c r="AA137" s="57"/>
      <c r="AB137" s="57"/>
      <c r="AC137" s="247" t="e">
        <f t="shared" si="117"/>
        <v>#DIV/0!</v>
      </c>
      <c r="AD137" s="57"/>
      <c r="AE137" s="57"/>
      <c r="AF137" s="57" t="e">
        <f t="shared" si="118"/>
        <v>#DIV/0!</v>
      </c>
      <c r="AG137" s="57"/>
      <c r="AH137" s="57"/>
      <c r="AI137" s="57" t="e">
        <f t="shared" si="119"/>
        <v>#DIV/0!</v>
      </c>
      <c r="AJ137" s="57"/>
      <c r="AK137" s="57"/>
      <c r="AL137" s="57" t="e">
        <f t="shared" si="120"/>
        <v>#DIV/0!</v>
      </c>
      <c r="AM137" s="57"/>
      <c r="AN137" s="57"/>
      <c r="AO137" s="57" t="e">
        <f t="shared" si="121"/>
        <v>#DIV/0!</v>
      </c>
      <c r="AP137" s="251">
        <f t="shared" si="106"/>
        <v>2</v>
      </c>
      <c r="AQ137" s="251">
        <f t="shared" si="107"/>
        <v>1</v>
      </c>
      <c r="AR137" s="252">
        <f t="shared" si="108"/>
        <v>0.5</v>
      </c>
    </row>
    <row r="138" spans="1:44" x14ac:dyDescent="0.25">
      <c r="A138" s="369" t="s">
        <v>1129</v>
      </c>
      <c r="B138" s="297">
        <v>0.15</v>
      </c>
      <c r="C138" s="297">
        <f t="shared" si="124"/>
        <v>7.4999999999999997E-2</v>
      </c>
      <c r="D138" s="297" t="e">
        <f t="shared" si="110"/>
        <v>#DIV/0!</v>
      </c>
      <c r="E138" s="375" t="e">
        <f t="shared" si="125"/>
        <v>#DIV/0!</v>
      </c>
      <c r="F138" s="355"/>
      <c r="G138" s="304"/>
      <c r="H138" s="303" t="e">
        <f t="shared" si="112"/>
        <v>#DIV/0!</v>
      </c>
      <c r="I138" s="246"/>
      <c r="J138" s="57"/>
      <c r="K138" s="247" t="e">
        <f t="shared" si="113"/>
        <v>#DIV/0!</v>
      </c>
      <c r="L138" s="57"/>
      <c r="M138" s="57"/>
      <c r="N138" s="247" t="e">
        <f t="shared" si="122"/>
        <v>#DIV/0!</v>
      </c>
      <c r="O138" s="57"/>
      <c r="P138" s="57"/>
      <c r="Q138" s="247" t="e">
        <f t="shared" si="123"/>
        <v>#DIV/0!</v>
      </c>
      <c r="R138" s="57"/>
      <c r="S138" s="57"/>
      <c r="T138" s="247" t="e">
        <f t="shared" si="115"/>
        <v>#DIV/0!</v>
      </c>
      <c r="U138" s="57"/>
      <c r="V138" s="57"/>
      <c r="W138" s="247" t="e">
        <f t="shared" si="111"/>
        <v>#DIV/0!</v>
      </c>
      <c r="X138" s="57"/>
      <c r="Y138" s="57"/>
      <c r="Z138" s="247" t="e">
        <f t="shared" si="116"/>
        <v>#DIV/0!</v>
      </c>
      <c r="AA138" s="57"/>
      <c r="AB138" s="57"/>
      <c r="AC138" s="247" t="e">
        <f t="shared" si="117"/>
        <v>#DIV/0!</v>
      </c>
      <c r="AD138" s="57"/>
      <c r="AE138" s="57"/>
      <c r="AF138" s="57" t="e">
        <f t="shared" si="118"/>
        <v>#DIV/0!</v>
      </c>
      <c r="AG138" s="57"/>
      <c r="AH138" s="57"/>
      <c r="AI138" s="57" t="e">
        <f t="shared" si="119"/>
        <v>#DIV/0!</v>
      </c>
      <c r="AJ138" s="57"/>
      <c r="AK138" s="57"/>
      <c r="AL138" s="57" t="e">
        <f t="shared" si="120"/>
        <v>#DIV/0!</v>
      </c>
      <c r="AM138" s="57"/>
      <c r="AN138" s="57"/>
      <c r="AO138" s="57" t="e">
        <f t="shared" si="121"/>
        <v>#DIV/0!</v>
      </c>
      <c r="AP138" s="251">
        <f t="shared" si="106"/>
        <v>0</v>
      </c>
      <c r="AQ138" s="251">
        <f t="shared" si="107"/>
        <v>0</v>
      </c>
      <c r="AR138" s="252" t="e">
        <f t="shared" si="108"/>
        <v>#DIV/0!</v>
      </c>
    </row>
    <row r="139" spans="1:44" ht="30" x14ac:dyDescent="0.25">
      <c r="A139" s="334" t="s">
        <v>1130</v>
      </c>
      <c r="B139" s="329">
        <v>0.05</v>
      </c>
      <c r="C139" s="329">
        <f t="shared" si="124"/>
        <v>2.5000000000000001E-2</v>
      </c>
      <c r="D139" s="329" t="e">
        <f t="shared" si="110"/>
        <v>#DIV/0!</v>
      </c>
      <c r="E139" s="331" t="e">
        <f t="shared" si="125"/>
        <v>#DIV/0!</v>
      </c>
      <c r="F139" s="106"/>
      <c r="G139" s="304"/>
      <c r="H139" s="303" t="e">
        <f t="shared" si="112"/>
        <v>#DIV/0!</v>
      </c>
      <c r="I139" s="246"/>
      <c r="J139" s="57"/>
      <c r="K139" s="247" t="e">
        <f t="shared" si="113"/>
        <v>#DIV/0!</v>
      </c>
      <c r="L139" s="57"/>
      <c r="M139" s="57"/>
      <c r="N139" s="247" t="e">
        <f t="shared" si="122"/>
        <v>#DIV/0!</v>
      </c>
      <c r="O139" s="57"/>
      <c r="P139" s="57"/>
      <c r="Q139" s="247" t="e">
        <f t="shared" si="123"/>
        <v>#DIV/0!</v>
      </c>
      <c r="R139" s="57"/>
      <c r="S139" s="57"/>
      <c r="T139" s="247" t="e">
        <f t="shared" si="115"/>
        <v>#DIV/0!</v>
      </c>
      <c r="U139" s="57"/>
      <c r="V139" s="57"/>
      <c r="W139" s="247" t="e">
        <f t="shared" si="111"/>
        <v>#DIV/0!</v>
      </c>
      <c r="X139" s="57"/>
      <c r="Y139" s="57"/>
      <c r="Z139" s="247" t="e">
        <f t="shared" si="116"/>
        <v>#DIV/0!</v>
      </c>
      <c r="AA139" s="57"/>
      <c r="AB139" s="57"/>
      <c r="AC139" s="247" t="e">
        <f t="shared" si="117"/>
        <v>#DIV/0!</v>
      </c>
      <c r="AD139" s="57"/>
      <c r="AE139" s="57"/>
      <c r="AF139" s="57" t="e">
        <f t="shared" si="118"/>
        <v>#DIV/0!</v>
      </c>
      <c r="AG139" s="57"/>
      <c r="AH139" s="57"/>
      <c r="AI139" s="57" t="e">
        <f t="shared" si="119"/>
        <v>#DIV/0!</v>
      </c>
      <c r="AJ139" s="57"/>
      <c r="AK139" s="57"/>
      <c r="AL139" s="57" t="e">
        <f t="shared" si="120"/>
        <v>#DIV/0!</v>
      </c>
      <c r="AM139" s="57"/>
      <c r="AN139" s="57"/>
      <c r="AO139" s="57" t="e">
        <f t="shared" si="121"/>
        <v>#DIV/0!</v>
      </c>
      <c r="AP139" s="251">
        <f t="shared" si="106"/>
        <v>0</v>
      </c>
      <c r="AQ139" s="251">
        <f t="shared" si="107"/>
        <v>0</v>
      </c>
      <c r="AR139" s="252" t="e">
        <f t="shared" si="108"/>
        <v>#DIV/0!</v>
      </c>
    </row>
    <row r="140" spans="1:44" x14ac:dyDescent="0.25">
      <c r="A140" s="334" t="s">
        <v>1126</v>
      </c>
      <c r="B140" s="329">
        <v>0.1</v>
      </c>
      <c r="C140" s="329">
        <f t="shared" si="124"/>
        <v>0.05</v>
      </c>
      <c r="D140" s="329" t="e">
        <f t="shared" si="110"/>
        <v>#DIV/0!</v>
      </c>
      <c r="E140" s="331" t="e">
        <f t="shared" si="125"/>
        <v>#DIV/0!</v>
      </c>
      <c r="F140" s="106"/>
      <c r="G140" s="304"/>
      <c r="H140" s="303" t="e">
        <f t="shared" si="112"/>
        <v>#DIV/0!</v>
      </c>
      <c r="I140" s="246"/>
      <c r="J140" s="57"/>
      <c r="K140" s="247" t="e">
        <f t="shared" si="113"/>
        <v>#DIV/0!</v>
      </c>
      <c r="L140" s="57"/>
      <c r="M140" s="57"/>
      <c r="N140" s="247" t="e">
        <f t="shared" si="122"/>
        <v>#DIV/0!</v>
      </c>
      <c r="O140" s="57"/>
      <c r="P140" s="57"/>
      <c r="Q140" s="247" t="e">
        <f t="shared" si="123"/>
        <v>#DIV/0!</v>
      </c>
      <c r="R140" s="57"/>
      <c r="S140" s="57"/>
      <c r="T140" s="247" t="e">
        <f t="shared" si="115"/>
        <v>#DIV/0!</v>
      </c>
      <c r="U140" s="57"/>
      <c r="V140" s="57"/>
      <c r="W140" s="247" t="e">
        <f t="shared" si="111"/>
        <v>#DIV/0!</v>
      </c>
      <c r="X140" s="57"/>
      <c r="Y140" s="57"/>
      <c r="Z140" s="247" t="e">
        <f t="shared" si="116"/>
        <v>#DIV/0!</v>
      </c>
      <c r="AA140" s="57"/>
      <c r="AB140" s="57"/>
      <c r="AC140" s="247" t="e">
        <f t="shared" si="117"/>
        <v>#DIV/0!</v>
      </c>
      <c r="AD140" s="57"/>
      <c r="AE140" s="57"/>
      <c r="AF140" s="57" t="e">
        <f t="shared" si="118"/>
        <v>#DIV/0!</v>
      </c>
      <c r="AG140" s="57"/>
      <c r="AH140" s="57"/>
      <c r="AI140" s="57" t="e">
        <f t="shared" si="119"/>
        <v>#DIV/0!</v>
      </c>
      <c r="AJ140" s="57"/>
      <c r="AK140" s="57"/>
      <c r="AL140" s="57" t="e">
        <f t="shared" si="120"/>
        <v>#DIV/0!</v>
      </c>
      <c r="AM140" s="57"/>
      <c r="AN140" s="57"/>
      <c r="AO140" s="57" t="e">
        <f t="shared" si="121"/>
        <v>#DIV/0!</v>
      </c>
      <c r="AP140" s="251">
        <f t="shared" si="106"/>
        <v>0</v>
      </c>
      <c r="AQ140" s="251">
        <f t="shared" si="107"/>
        <v>0</v>
      </c>
      <c r="AR140" s="252" t="e">
        <f t="shared" si="108"/>
        <v>#DIV/0!</v>
      </c>
    </row>
    <row r="141" spans="1:44" x14ac:dyDescent="0.25">
      <c r="A141" s="295" t="s">
        <v>810</v>
      </c>
      <c r="B141" s="297">
        <v>0.1</v>
      </c>
      <c r="C141" s="297">
        <f>B141/12*$C$14</f>
        <v>0.05</v>
      </c>
      <c r="D141" s="297" t="e">
        <f t="shared" ref="D141:D149" si="126">AR141</f>
        <v>#DIV/0!</v>
      </c>
      <c r="E141" s="375" t="e">
        <f>IF(D141&gt;0%,C141/D141,100%)</f>
        <v>#DIV/0!</v>
      </c>
      <c r="F141" s="246"/>
      <c r="G141" s="304"/>
      <c r="H141" s="303" t="e">
        <f t="shared" si="112"/>
        <v>#DIV/0!</v>
      </c>
      <c r="I141" s="246"/>
      <c r="J141" s="57"/>
      <c r="K141" s="247" t="e">
        <f t="shared" si="113"/>
        <v>#DIV/0!</v>
      </c>
      <c r="L141" s="57"/>
      <c r="M141" s="57"/>
      <c r="N141" s="247" t="e">
        <f t="shared" si="122"/>
        <v>#DIV/0!</v>
      </c>
      <c r="O141" s="57"/>
      <c r="P141" s="57"/>
      <c r="Q141" s="247" t="e">
        <f t="shared" si="123"/>
        <v>#DIV/0!</v>
      </c>
      <c r="R141" s="57"/>
      <c r="S141" s="57"/>
      <c r="T141" s="247" t="e">
        <f t="shared" si="115"/>
        <v>#DIV/0!</v>
      </c>
      <c r="U141" s="57"/>
      <c r="V141" s="57"/>
      <c r="W141" s="247" t="e">
        <f t="shared" si="111"/>
        <v>#DIV/0!</v>
      </c>
      <c r="X141" s="57"/>
      <c r="Y141" s="57"/>
      <c r="Z141" s="247" t="e">
        <f t="shared" si="116"/>
        <v>#DIV/0!</v>
      </c>
      <c r="AA141" s="57"/>
      <c r="AB141" s="57"/>
      <c r="AC141" s="247" t="e">
        <f t="shared" si="117"/>
        <v>#DIV/0!</v>
      </c>
      <c r="AD141" s="57"/>
      <c r="AE141" s="57"/>
      <c r="AF141" s="57" t="e">
        <f t="shared" si="118"/>
        <v>#DIV/0!</v>
      </c>
      <c r="AG141" s="57"/>
      <c r="AH141" s="57"/>
      <c r="AI141" s="57" t="e">
        <f t="shared" si="119"/>
        <v>#DIV/0!</v>
      </c>
      <c r="AJ141" s="57"/>
      <c r="AK141" s="57"/>
      <c r="AL141" s="57" t="e">
        <f t="shared" si="120"/>
        <v>#DIV/0!</v>
      </c>
      <c r="AM141" s="57"/>
      <c r="AN141" s="57"/>
      <c r="AO141" s="57" t="e">
        <f t="shared" si="121"/>
        <v>#DIV/0!</v>
      </c>
      <c r="AP141" s="251">
        <f t="shared" si="106"/>
        <v>0</v>
      </c>
      <c r="AQ141" s="251">
        <f t="shared" si="107"/>
        <v>0</v>
      </c>
      <c r="AR141" s="252" t="e">
        <f t="shared" si="108"/>
        <v>#DIV/0!</v>
      </c>
    </row>
    <row r="142" spans="1:44" x14ac:dyDescent="0.25">
      <c r="A142" s="313" t="s">
        <v>1106</v>
      </c>
      <c r="B142" s="300">
        <v>0.08</v>
      </c>
      <c r="C142" s="300">
        <f>B142/12*$C$14</f>
        <v>0.04</v>
      </c>
      <c r="D142" s="300" t="e">
        <f t="shared" si="126"/>
        <v>#DIV/0!</v>
      </c>
      <c r="E142" s="377">
        <f>AS142</f>
        <v>0</v>
      </c>
      <c r="F142" s="246"/>
      <c r="G142" s="304"/>
      <c r="H142" s="303" t="e">
        <f t="shared" si="112"/>
        <v>#DIV/0!</v>
      </c>
      <c r="I142" s="246"/>
      <c r="J142" s="57"/>
      <c r="K142" s="247" t="e">
        <f t="shared" si="113"/>
        <v>#DIV/0!</v>
      </c>
      <c r="L142" s="57"/>
      <c r="M142" s="57"/>
      <c r="N142" s="247" t="e">
        <f t="shared" si="122"/>
        <v>#DIV/0!</v>
      </c>
      <c r="O142" s="57"/>
      <c r="P142" s="57"/>
      <c r="Q142" s="247" t="e">
        <f t="shared" si="123"/>
        <v>#DIV/0!</v>
      </c>
      <c r="R142" s="57"/>
      <c r="S142" s="57"/>
      <c r="T142" s="247" t="e">
        <f t="shared" si="115"/>
        <v>#DIV/0!</v>
      </c>
      <c r="U142" s="57"/>
      <c r="V142" s="57"/>
      <c r="W142" s="247" t="e">
        <f t="shared" si="111"/>
        <v>#DIV/0!</v>
      </c>
      <c r="X142" s="57"/>
      <c r="Y142" s="57"/>
      <c r="Z142" s="247" t="e">
        <f t="shared" si="116"/>
        <v>#DIV/0!</v>
      </c>
      <c r="AA142" s="57"/>
      <c r="AB142" s="57"/>
      <c r="AC142" s="247" t="e">
        <f t="shared" si="117"/>
        <v>#DIV/0!</v>
      </c>
      <c r="AD142" s="57"/>
      <c r="AE142" s="57"/>
      <c r="AF142" s="57" t="e">
        <f t="shared" si="118"/>
        <v>#DIV/0!</v>
      </c>
      <c r="AG142" s="57"/>
      <c r="AH142" s="57"/>
      <c r="AI142" s="57" t="e">
        <f t="shared" si="119"/>
        <v>#DIV/0!</v>
      </c>
      <c r="AJ142" s="57"/>
      <c r="AK142" s="57"/>
      <c r="AL142" s="57" t="e">
        <f t="shared" si="120"/>
        <v>#DIV/0!</v>
      </c>
      <c r="AM142" s="57"/>
      <c r="AN142" s="57"/>
      <c r="AO142" s="57" t="e">
        <f t="shared" si="121"/>
        <v>#DIV/0!</v>
      </c>
      <c r="AP142" s="251">
        <f t="shared" si="106"/>
        <v>0</v>
      </c>
      <c r="AQ142" s="251">
        <f t="shared" si="107"/>
        <v>0</v>
      </c>
      <c r="AR142" s="252" t="e">
        <f t="shared" si="108"/>
        <v>#DIV/0!</v>
      </c>
    </row>
    <row r="143" spans="1:44" x14ac:dyDescent="0.25">
      <c r="A143" s="313" t="s">
        <v>1107</v>
      </c>
      <c r="B143" s="300">
        <v>0.02</v>
      </c>
      <c r="C143" s="300">
        <f>B143/12*$C$14</f>
        <v>0.01</v>
      </c>
      <c r="D143" s="300" t="e">
        <f t="shared" si="126"/>
        <v>#DIV/0!</v>
      </c>
      <c r="E143" s="377">
        <f>AS143</f>
        <v>0</v>
      </c>
      <c r="F143" s="246"/>
      <c r="G143" s="304"/>
      <c r="H143" s="303" t="e">
        <f t="shared" si="112"/>
        <v>#DIV/0!</v>
      </c>
      <c r="I143" s="246"/>
      <c r="J143" s="57"/>
      <c r="K143" s="247" t="e">
        <f t="shared" si="113"/>
        <v>#DIV/0!</v>
      </c>
      <c r="L143" s="57"/>
      <c r="M143" s="57"/>
      <c r="N143" s="247" t="e">
        <f t="shared" si="122"/>
        <v>#DIV/0!</v>
      </c>
      <c r="O143" s="57"/>
      <c r="P143" s="57"/>
      <c r="Q143" s="247" t="e">
        <f t="shared" si="123"/>
        <v>#DIV/0!</v>
      </c>
      <c r="R143" s="57"/>
      <c r="S143" s="57"/>
      <c r="T143" s="247" t="e">
        <f t="shared" si="115"/>
        <v>#DIV/0!</v>
      </c>
      <c r="U143" s="57"/>
      <c r="V143" s="57"/>
      <c r="W143" s="247" t="e">
        <f t="shared" si="111"/>
        <v>#DIV/0!</v>
      </c>
      <c r="X143" s="57"/>
      <c r="Y143" s="57"/>
      <c r="Z143" s="247" t="e">
        <f t="shared" si="116"/>
        <v>#DIV/0!</v>
      </c>
      <c r="AA143" s="57"/>
      <c r="AB143" s="57"/>
      <c r="AC143" s="247" t="e">
        <f t="shared" si="117"/>
        <v>#DIV/0!</v>
      </c>
      <c r="AD143" s="57"/>
      <c r="AE143" s="57"/>
      <c r="AF143" s="57" t="e">
        <f t="shared" si="118"/>
        <v>#DIV/0!</v>
      </c>
      <c r="AG143" s="57"/>
      <c r="AH143" s="57"/>
      <c r="AI143" s="57" t="e">
        <f t="shared" si="119"/>
        <v>#DIV/0!</v>
      </c>
      <c r="AJ143" s="57"/>
      <c r="AK143" s="57"/>
      <c r="AL143" s="57" t="e">
        <f t="shared" si="120"/>
        <v>#DIV/0!</v>
      </c>
      <c r="AM143" s="57"/>
      <c r="AN143" s="57"/>
      <c r="AO143" s="57" t="e">
        <f t="shared" si="121"/>
        <v>#DIV/0!</v>
      </c>
      <c r="AP143" s="251">
        <f t="shared" si="106"/>
        <v>0</v>
      </c>
      <c r="AQ143" s="251">
        <f t="shared" si="107"/>
        <v>0</v>
      </c>
      <c r="AR143" s="252" t="e">
        <f t="shared" si="108"/>
        <v>#DIV/0!</v>
      </c>
    </row>
    <row r="144" spans="1:44" x14ac:dyDescent="0.25">
      <c r="A144" s="295" t="s">
        <v>1121</v>
      </c>
      <c r="B144" s="328">
        <v>0.15</v>
      </c>
      <c r="C144" s="328">
        <f t="shared" ref="C144:C178" si="127">B144/12*$C$14</f>
        <v>7.4999999999999997E-2</v>
      </c>
      <c r="D144" s="328" t="e">
        <f t="shared" si="126"/>
        <v>#DIV/0!</v>
      </c>
      <c r="E144" s="327" t="e">
        <f>IF(D144&gt;0%,C144/D144,100%)</f>
        <v>#DIV/0!</v>
      </c>
      <c r="F144" s="106"/>
      <c r="G144" s="304"/>
      <c r="H144" s="303" t="e">
        <f t="shared" si="112"/>
        <v>#DIV/0!</v>
      </c>
      <c r="I144" s="246"/>
      <c r="J144" s="57"/>
      <c r="K144" s="247" t="e">
        <f t="shared" si="113"/>
        <v>#DIV/0!</v>
      </c>
      <c r="L144" s="57"/>
      <c r="M144" s="57"/>
      <c r="N144" s="247" t="e">
        <f t="shared" si="122"/>
        <v>#DIV/0!</v>
      </c>
      <c r="O144" s="57"/>
      <c r="P144" s="57"/>
      <c r="Q144" s="247" t="e">
        <f t="shared" si="123"/>
        <v>#DIV/0!</v>
      </c>
      <c r="R144" s="57"/>
      <c r="S144" s="57"/>
      <c r="T144" s="247" t="e">
        <f t="shared" si="115"/>
        <v>#DIV/0!</v>
      </c>
      <c r="U144" s="57"/>
      <c r="V144" s="57"/>
      <c r="W144" s="247" t="e">
        <f t="shared" si="111"/>
        <v>#DIV/0!</v>
      </c>
      <c r="X144" s="57"/>
      <c r="Y144" s="57"/>
      <c r="Z144" s="247" t="e">
        <f t="shared" si="116"/>
        <v>#DIV/0!</v>
      </c>
      <c r="AA144" s="57"/>
      <c r="AB144" s="57"/>
      <c r="AC144" s="247" t="e">
        <f t="shared" si="117"/>
        <v>#DIV/0!</v>
      </c>
      <c r="AD144" s="57"/>
      <c r="AE144" s="57"/>
      <c r="AF144" s="57" t="e">
        <f t="shared" si="118"/>
        <v>#DIV/0!</v>
      </c>
      <c r="AG144" s="57"/>
      <c r="AH144" s="57"/>
      <c r="AI144" s="57" t="e">
        <f t="shared" si="119"/>
        <v>#DIV/0!</v>
      </c>
      <c r="AJ144" s="57"/>
      <c r="AK144" s="57"/>
      <c r="AL144" s="57" t="e">
        <f t="shared" si="120"/>
        <v>#DIV/0!</v>
      </c>
      <c r="AM144" s="57"/>
      <c r="AN144" s="57"/>
      <c r="AO144" s="57" t="e">
        <f t="shared" si="121"/>
        <v>#DIV/0!</v>
      </c>
      <c r="AP144" s="251">
        <f t="shared" si="106"/>
        <v>0</v>
      </c>
      <c r="AQ144" s="251">
        <f t="shared" si="107"/>
        <v>0</v>
      </c>
      <c r="AR144" s="252" t="e">
        <f t="shared" si="108"/>
        <v>#DIV/0!</v>
      </c>
    </row>
    <row r="145" spans="1:44" x14ac:dyDescent="0.25">
      <c r="A145" s="330" t="s">
        <v>225</v>
      </c>
      <c r="B145" s="329">
        <v>0.09</v>
      </c>
      <c r="C145" s="329">
        <f t="shared" si="127"/>
        <v>4.4999999999999998E-2</v>
      </c>
      <c r="D145" s="329" t="e">
        <f t="shared" si="126"/>
        <v>#DIV/0!</v>
      </c>
      <c r="E145" s="331" t="e">
        <f>IF(D145&gt;0%,C145/D145,100%)</f>
        <v>#DIV/0!</v>
      </c>
      <c r="F145" s="106"/>
      <c r="G145" s="304"/>
      <c r="H145" s="303" t="e">
        <f t="shared" ref="H145:H150" si="128">G145/F145</f>
        <v>#DIV/0!</v>
      </c>
      <c r="I145" s="246"/>
      <c r="J145" s="57"/>
      <c r="K145" s="247" t="e">
        <f t="shared" si="113"/>
        <v>#DIV/0!</v>
      </c>
      <c r="L145" s="57"/>
      <c r="M145" s="57"/>
      <c r="N145" s="247" t="e">
        <f t="shared" si="122"/>
        <v>#DIV/0!</v>
      </c>
      <c r="O145" s="57"/>
      <c r="P145" s="57"/>
      <c r="Q145" s="247" t="e">
        <f t="shared" si="123"/>
        <v>#DIV/0!</v>
      </c>
      <c r="R145" s="57"/>
      <c r="S145" s="57"/>
      <c r="T145" s="247" t="e">
        <f t="shared" si="115"/>
        <v>#DIV/0!</v>
      </c>
      <c r="U145" s="57"/>
      <c r="V145" s="57"/>
      <c r="W145" s="247" t="e">
        <f t="shared" si="111"/>
        <v>#DIV/0!</v>
      </c>
      <c r="X145" s="57"/>
      <c r="Y145" s="57"/>
      <c r="Z145" s="247" t="e">
        <f t="shared" si="116"/>
        <v>#DIV/0!</v>
      </c>
      <c r="AA145" s="57"/>
      <c r="AB145" s="57"/>
      <c r="AC145" s="247" t="e">
        <f t="shared" si="117"/>
        <v>#DIV/0!</v>
      </c>
      <c r="AD145" s="57"/>
      <c r="AE145" s="57"/>
      <c r="AF145" s="57" t="e">
        <f t="shared" si="118"/>
        <v>#DIV/0!</v>
      </c>
      <c r="AG145" s="57"/>
      <c r="AH145" s="57"/>
      <c r="AI145" s="57" t="e">
        <f t="shared" si="119"/>
        <v>#DIV/0!</v>
      </c>
      <c r="AJ145" s="57"/>
      <c r="AK145" s="57"/>
      <c r="AL145" s="57" t="e">
        <f t="shared" si="120"/>
        <v>#DIV/0!</v>
      </c>
      <c r="AM145" s="57"/>
      <c r="AN145" s="57"/>
      <c r="AO145" s="57" t="e">
        <f t="shared" si="121"/>
        <v>#DIV/0!</v>
      </c>
      <c r="AP145" s="251">
        <f t="shared" si="106"/>
        <v>0</v>
      </c>
      <c r="AQ145" s="251">
        <f t="shared" si="107"/>
        <v>0</v>
      </c>
      <c r="AR145" s="252" t="e">
        <f t="shared" si="108"/>
        <v>#DIV/0!</v>
      </c>
    </row>
    <row r="146" spans="1:44" x14ac:dyDescent="0.25">
      <c r="A146" s="330" t="s">
        <v>1076</v>
      </c>
      <c r="B146" s="329">
        <v>0.06</v>
      </c>
      <c r="C146" s="329">
        <f t="shared" si="127"/>
        <v>0.03</v>
      </c>
      <c r="D146" s="329">
        <f t="shared" si="126"/>
        <v>0</v>
      </c>
      <c r="E146" s="331">
        <f>IF(D146&gt;0%,C146/D146,100%)</f>
        <v>1</v>
      </c>
      <c r="F146" s="106"/>
      <c r="G146" s="304"/>
      <c r="H146" s="303" t="e">
        <f t="shared" si="128"/>
        <v>#DIV/0!</v>
      </c>
      <c r="I146" s="246">
        <v>2</v>
      </c>
      <c r="J146" s="57"/>
      <c r="K146" s="247">
        <f t="shared" si="113"/>
        <v>0</v>
      </c>
      <c r="L146" s="57"/>
      <c r="M146" s="57"/>
      <c r="N146" s="247" t="e">
        <f t="shared" si="122"/>
        <v>#DIV/0!</v>
      </c>
      <c r="O146" s="57"/>
      <c r="P146" s="57"/>
      <c r="Q146" s="247" t="e">
        <f t="shared" si="123"/>
        <v>#DIV/0!</v>
      </c>
      <c r="R146" s="57"/>
      <c r="S146" s="57"/>
      <c r="T146" s="247" t="e">
        <f t="shared" si="115"/>
        <v>#DIV/0!</v>
      </c>
      <c r="U146" s="57"/>
      <c r="V146" s="57"/>
      <c r="W146" s="247" t="e">
        <f t="shared" si="111"/>
        <v>#DIV/0!</v>
      </c>
      <c r="X146" s="57"/>
      <c r="Y146" s="57"/>
      <c r="Z146" s="247" t="e">
        <f t="shared" si="116"/>
        <v>#DIV/0!</v>
      </c>
      <c r="AA146" s="57"/>
      <c r="AB146" s="57"/>
      <c r="AC146" s="247" t="e">
        <f t="shared" si="117"/>
        <v>#DIV/0!</v>
      </c>
      <c r="AD146" s="57"/>
      <c r="AE146" s="57"/>
      <c r="AF146" s="57" t="e">
        <f t="shared" si="118"/>
        <v>#DIV/0!</v>
      </c>
      <c r="AG146" s="57"/>
      <c r="AH146" s="57"/>
      <c r="AI146" s="57" t="e">
        <f t="shared" si="119"/>
        <v>#DIV/0!</v>
      </c>
      <c r="AJ146" s="57"/>
      <c r="AK146" s="57"/>
      <c r="AL146" s="57" t="e">
        <f t="shared" si="120"/>
        <v>#DIV/0!</v>
      </c>
      <c r="AM146" s="57"/>
      <c r="AN146" s="57"/>
      <c r="AO146" s="57" t="e">
        <f t="shared" si="121"/>
        <v>#DIV/0!</v>
      </c>
      <c r="AP146" s="251">
        <f t="shared" si="106"/>
        <v>2</v>
      </c>
      <c r="AQ146" s="251">
        <f t="shared" si="107"/>
        <v>0</v>
      </c>
      <c r="AR146" s="252">
        <f t="shared" si="108"/>
        <v>0</v>
      </c>
    </row>
    <row r="147" spans="1:44" x14ac:dyDescent="0.25">
      <c r="A147" s="330" t="s">
        <v>1105</v>
      </c>
      <c r="B147" s="329">
        <v>0</v>
      </c>
      <c r="C147" s="329">
        <f t="shared" si="127"/>
        <v>0</v>
      </c>
      <c r="D147" s="329" t="e">
        <f t="shared" si="126"/>
        <v>#DIV/0!</v>
      </c>
      <c r="E147" s="331" t="e">
        <f>IF(D147&gt;0%,C147/D147,100%)</f>
        <v>#DIV/0!</v>
      </c>
      <c r="F147" s="106"/>
      <c r="G147" s="304"/>
      <c r="H147" s="303" t="e">
        <f t="shared" si="128"/>
        <v>#DIV/0!</v>
      </c>
      <c r="I147" s="246"/>
      <c r="J147" s="57"/>
      <c r="K147" s="247" t="e">
        <f t="shared" si="113"/>
        <v>#DIV/0!</v>
      </c>
      <c r="L147" s="57"/>
      <c r="M147" s="57"/>
      <c r="N147" s="247" t="e">
        <f t="shared" si="122"/>
        <v>#DIV/0!</v>
      </c>
      <c r="O147" s="57"/>
      <c r="P147" s="57"/>
      <c r="Q147" s="247" t="e">
        <f t="shared" si="123"/>
        <v>#DIV/0!</v>
      </c>
      <c r="R147" s="57"/>
      <c r="S147" s="57"/>
      <c r="T147" s="247" t="e">
        <f t="shared" si="115"/>
        <v>#DIV/0!</v>
      </c>
      <c r="U147" s="57"/>
      <c r="V147" s="57"/>
      <c r="W147" s="247" t="e">
        <f t="shared" si="111"/>
        <v>#DIV/0!</v>
      </c>
      <c r="X147" s="57"/>
      <c r="Y147" s="57"/>
      <c r="Z147" s="247" t="e">
        <f t="shared" si="116"/>
        <v>#DIV/0!</v>
      </c>
      <c r="AA147" s="57"/>
      <c r="AB147" s="57"/>
      <c r="AC147" s="247" t="e">
        <f t="shared" si="117"/>
        <v>#DIV/0!</v>
      </c>
      <c r="AD147" s="57"/>
      <c r="AE147" s="57"/>
      <c r="AF147" s="57" t="e">
        <f t="shared" si="118"/>
        <v>#DIV/0!</v>
      </c>
      <c r="AG147" s="57"/>
      <c r="AH147" s="57"/>
      <c r="AI147" s="57" t="e">
        <f t="shared" si="119"/>
        <v>#DIV/0!</v>
      </c>
      <c r="AJ147" s="57"/>
      <c r="AK147" s="57"/>
      <c r="AL147" s="57" t="e">
        <f t="shared" si="120"/>
        <v>#DIV/0!</v>
      </c>
      <c r="AM147" s="57"/>
      <c r="AN147" s="57"/>
      <c r="AO147" s="57" t="e">
        <f t="shared" si="121"/>
        <v>#DIV/0!</v>
      </c>
      <c r="AP147" s="251">
        <f t="shared" si="106"/>
        <v>0</v>
      </c>
      <c r="AQ147" s="251">
        <f t="shared" si="107"/>
        <v>0</v>
      </c>
      <c r="AR147" s="252" t="e">
        <f t="shared" si="108"/>
        <v>#DIV/0!</v>
      </c>
    </row>
    <row r="148" spans="1:44" x14ac:dyDescent="0.25">
      <c r="A148" s="295" t="s">
        <v>1059</v>
      </c>
      <c r="B148" s="328">
        <v>0.1</v>
      </c>
      <c r="C148" s="328">
        <f t="shared" si="127"/>
        <v>0.05</v>
      </c>
      <c r="D148" s="328" t="e">
        <f t="shared" si="126"/>
        <v>#DIV/0!</v>
      </c>
      <c r="E148" s="327" t="e">
        <f>IF(D148&gt;0%,C148/D148,100%)</f>
        <v>#DIV/0!</v>
      </c>
      <c r="F148" s="106"/>
      <c r="G148" s="302"/>
      <c r="H148" s="303" t="e">
        <f t="shared" si="128"/>
        <v>#DIV/0!</v>
      </c>
      <c r="I148" s="246"/>
      <c r="J148" s="57"/>
      <c r="K148" s="247" t="e">
        <f t="shared" si="113"/>
        <v>#DIV/0!</v>
      </c>
      <c r="L148" s="57"/>
      <c r="M148" s="57"/>
      <c r="N148" s="247" t="e">
        <f t="shared" si="122"/>
        <v>#DIV/0!</v>
      </c>
      <c r="O148" s="57"/>
      <c r="P148" s="57"/>
      <c r="Q148" s="247" t="e">
        <f t="shared" si="123"/>
        <v>#DIV/0!</v>
      </c>
      <c r="R148" s="57"/>
      <c r="S148" s="57"/>
      <c r="T148" s="247" t="e">
        <f t="shared" si="115"/>
        <v>#DIV/0!</v>
      </c>
      <c r="U148" s="57"/>
      <c r="V148" s="57"/>
      <c r="W148" s="247" t="e">
        <f t="shared" si="111"/>
        <v>#DIV/0!</v>
      </c>
      <c r="X148" s="57"/>
      <c r="Y148" s="57"/>
      <c r="Z148" s="247" t="e">
        <f t="shared" si="116"/>
        <v>#DIV/0!</v>
      </c>
      <c r="AA148" s="57"/>
      <c r="AB148" s="57"/>
      <c r="AC148" s="247" t="e">
        <f t="shared" si="117"/>
        <v>#DIV/0!</v>
      </c>
      <c r="AD148" s="57"/>
      <c r="AE148" s="57"/>
      <c r="AF148" s="57" t="e">
        <f t="shared" si="118"/>
        <v>#DIV/0!</v>
      </c>
      <c r="AG148" s="57"/>
      <c r="AH148" s="57"/>
      <c r="AI148" s="57" t="e">
        <f t="shared" si="119"/>
        <v>#DIV/0!</v>
      </c>
      <c r="AJ148" s="57"/>
      <c r="AK148" s="57"/>
      <c r="AL148" s="57" t="e">
        <f t="shared" si="120"/>
        <v>#DIV/0!</v>
      </c>
      <c r="AM148" s="57"/>
      <c r="AN148" s="57"/>
      <c r="AO148" s="57" t="e">
        <f t="shared" si="121"/>
        <v>#DIV/0!</v>
      </c>
      <c r="AP148" s="251">
        <f t="shared" si="106"/>
        <v>0</v>
      </c>
      <c r="AQ148" s="251">
        <f t="shared" si="107"/>
        <v>0</v>
      </c>
      <c r="AR148" s="252" t="e">
        <f t="shared" si="108"/>
        <v>#DIV/0!</v>
      </c>
    </row>
    <row r="149" spans="1:44" x14ac:dyDescent="0.25">
      <c r="A149" s="330" t="s">
        <v>1078</v>
      </c>
      <c r="B149" s="329">
        <v>0</v>
      </c>
      <c r="C149" s="329">
        <f t="shared" si="127"/>
        <v>0</v>
      </c>
      <c r="D149" s="329" t="e">
        <f t="shared" si="126"/>
        <v>#DIV/0!</v>
      </c>
      <c r="E149" s="331">
        <v>0.03</v>
      </c>
      <c r="F149" s="106"/>
      <c r="G149" s="106"/>
      <c r="H149" s="303" t="e">
        <f t="shared" si="128"/>
        <v>#DIV/0!</v>
      </c>
      <c r="I149" s="246"/>
      <c r="J149" s="57"/>
      <c r="K149" s="247" t="e">
        <f t="shared" si="113"/>
        <v>#DIV/0!</v>
      </c>
      <c r="L149" s="57"/>
      <c r="M149" s="57"/>
      <c r="N149" s="247" t="e">
        <f t="shared" si="122"/>
        <v>#DIV/0!</v>
      </c>
      <c r="O149" s="57"/>
      <c r="P149" s="57"/>
      <c r="Q149" s="247" t="e">
        <f t="shared" si="123"/>
        <v>#DIV/0!</v>
      </c>
      <c r="R149" s="57"/>
      <c r="S149" s="57"/>
      <c r="T149" s="247" t="e">
        <f t="shared" si="115"/>
        <v>#DIV/0!</v>
      </c>
      <c r="U149" s="57"/>
      <c r="V149" s="57"/>
      <c r="W149" s="247" t="e">
        <f t="shared" si="111"/>
        <v>#DIV/0!</v>
      </c>
      <c r="X149" s="57"/>
      <c r="Y149" s="57"/>
      <c r="Z149" s="247" t="e">
        <f t="shared" si="116"/>
        <v>#DIV/0!</v>
      </c>
      <c r="AA149" s="57"/>
      <c r="AB149" s="57"/>
      <c r="AC149" s="247" t="e">
        <f t="shared" si="117"/>
        <v>#DIV/0!</v>
      </c>
      <c r="AD149" s="57"/>
      <c r="AE149" s="57"/>
      <c r="AF149" s="57" t="e">
        <f t="shared" si="118"/>
        <v>#DIV/0!</v>
      </c>
      <c r="AG149" s="57"/>
      <c r="AH149" s="57"/>
      <c r="AI149" s="57" t="e">
        <f t="shared" si="119"/>
        <v>#DIV/0!</v>
      </c>
      <c r="AJ149" s="57"/>
      <c r="AK149" s="57"/>
      <c r="AL149" s="57" t="e">
        <f t="shared" si="120"/>
        <v>#DIV/0!</v>
      </c>
      <c r="AM149" s="57"/>
      <c r="AN149" s="57"/>
      <c r="AO149" s="57" t="e">
        <f t="shared" si="121"/>
        <v>#DIV/0!</v>
      </c>
      <c r="AP149" s="251">
        <f t="shared" si="106"/>
        <v>0</v>
      </c>
      <c r="AQ149" s="251">
        <f t="shared" si="107"/>
        <v>0</v>
      </c>
      <c r="AR149" s="252" t="e">
        <f t="shared" si="108"/>
        <v>#DIV/0!</v>
      </c>
    </row>
    <row r="150" spans="1:44" x14ac:dyDescent="0.25">
      <c r="A150" s="330" t="s">
        <v>1109</v>
      </c>
      <c r="B150" s="329">
        <v>0</v>
      </c>
      <c r="C150" s="329">
        <f t="shared" si="127"/>
        <v>0</v>
      </c>
      <c r="D150" s="329" t="e">
        <f t="shared" ref="D150:D178" si="129">AR150</f>
        <v>#DIV/0!</v>
      </c>
      <c r="E150" s="331">
        <v>0.03</v>
      </c>
      <c r="F150" s="106"/>
      <c r="G150" s="106"/>
      <c r="H150" s="303" t="e">
        <f t="shared" si="128"/>
        <v>#DIV/0!</v>
      </c>
      <c r="I150" s="246"/>
      <c r="J150" s="57"/>
      <c r="K150" s="247" t="e">
        <f t="shared" si="113"/>
        <v>#DIV/0!</v>
      </c>
      <c r="L150" s="57"/>
      <c r="M150" s="57"/>
      <c r="N150" s="247" t="e">
        <f t="shared" si="122"/>
        <v>#DIV/0!</v>
      </c>
      <c r="O150" s="57"/>
      <c r="P150" s="57"/>
      <c r="Q150" s="247" t="e">
        <f t="shared" si="123"/>
        <v>#DIV/0!</v>
      </c>
      <c r="R150" s="57"/>
      <c r="S150" s="57"/>
      <c r="T150" s="247" t="e">
        <f t="shared" si="115"/>
        <v>#DIV/0!</v>
      </c>
      <c r="U150" s="57"/>
      <c r="V150" s="57"/>
      <c r="W150" s="247" t="e">
        <f t="shared" si="111"/>
        <v>#DIV/0!</v>
      </c>
      <c r="X150" s="57"/>
      <c r="Y150" s="57"/>
      <c r="Z150" s="247" t="e">
        <f t="shared" si="116"/>
        <v>#DIV/0!</v>
      </c>
      <c r="AA150" s="57"/>
      <c r="AB150" s="57"/>
      <c r="AC150" s="247" t="e">
        <f t="shared" si="117"/>
        <v>#DIV/0!</v>
      </c>
      <c r="AD150" s="57"/>
      <c r="AE150" s="57"/>
      <c r="AF150" s="57" t="e">
        <f t="shared" si="118"/>
        <v>#DIV/0!</v>
      </c>
      <c r="AG150" s="57"/>
      <c r="AH150" s="57"/>
      <c r="AI150" s="57" t="e">
        <f t="shared" si="119"/>
        <v>#DIV/0!</v>
      </c>
      <c r="AJ150" s="57"/>
      <c r="AK150" s="57"/>
      <c r="AL150" s="57" t="e">
        <f t="shared" si="120"/>
        <v>#DIV/0!</v>
      </c>
      <c r="AM150" s="57"/>
      <c r="AN150" s="57"/>
      <c r="AO150" s="57" t="e">
        <f t="shared" si="121"/>
        <v>#DIV/0!</v>
      </c>
      <c r="AP150" s="251">
        <f t="shared" si="106"/>
        <v>0</v>
      </c>
      <c r="AQ150" s="251">
        <f t="shared" si="107"/>
        <v>0</v>
      </c>
      <c r="AR150" s="252" t="e">
        <f t="shared" si="108"/>
        <v>#DIV/0!</v>
      </c>
    </row>
    <row r="151" spans="1:44" x14ac:dyDescent="0.25">
      <c r="A151" s="295" t="s">
        <v>819</v>
      </c>
      <c r="B151" s="297">
        <v>0.12</v>
      </c>
      <c r="C151" s="297">
        <f t="shared" si="127"/>
        <v>0.06</v>
      </c>
      <c r="D151" s="297">
        <f t="shared" si="129"/>
        <v>0</v>
      </c>
      <c r="E151" s="375">
        <f t="shared" ref="E151:E167" si="130">IF(D151&gt;0%,C151/D151,100%)</f>
        <v>1</v>
      </c>
      <c r="F151" s="106"/>
      <c r="G151" s="304"/>
      <c r="H151" s="303" t="e">
        <f>G151/F151</f>
        <v>#DIV/0!</v>
      </c>
      <c r="I151" s="246"/>
      <c r="J151" s="57"/>
      <c r="K151" s="247" t="e">
        <f t="shared" si="113"/>
        <v>#DIV/0!</v>
      </c>
      <c r="L151" s="57"/>
      <c r="M151" s="57"/>
      <c r="N151" s="247" t="e">
        <f t="shared" si="122"/>
        <v>#DIV/0!</v>
      </c>
      <c r="O151" s="57">
        <v>1</v>
      </c>
      <c r="P151" s="57"/>
      <c r="Q151" s="247">
        <f t="shared" si="123"/>
        <v>0</v>
      </c>
      <c r="R151" s="57"/>
      <c r="S151" s="57"/>
      <c r="T151" s="247" t="e">
        <f t="shared" si="115"/>
        <v>#DIV/0!</v>
      </c>
      <c r="U151" s="57"/>
      <c r="V151" s="57"/>
      <c r="W151" s="247" t="e">
        <f t="shared" si="111"/>
        <v>#DIV/0!</v>
      </c>
      <c r="X151" s="57"/>
      <c r="Y151" s="57"/>
      <c r="Z151" s="247" t="e">
        <f t="shared" si="116"/>
        <v>#DIV/0!</v>
      </c>
      <c r="AA151" s="57"/>
      <c r="AB151" s="57"/>
      <c r="AC151" s="247" t="e">
        <f t="shared" si="117"/>
        <v>#DIV/0!</v>
      </c>
      <c r="AD151" s="57"/>
      <c r="AE151" s="57"/>
      <c r="AF151" s="57" t="e">
        <f t="shared" si="118"/>
        <v>#DIV/0!</v>
      </c>
      <c r="AG151" s="57"/>
      <c r="AH151" s="57"/>
      <c r="AI151" s="57" t="e">
        <f t="shared" si="119"/>
        <v>#DIV/0!</v>
      </c>
      <c r="AJ151" s="57"/>
      <c r="AK151" s="57"/>
      <c r="AL151" s="57" t="e">
        <f t="shared" si="120"/>
        <v>#DIV/0!</v>
      </c>
      <c r="AM151" s="57"/>
      <c r="AN151" s="57"/>
      <c r="AO151" s="57" t="e">
        <f t="shared" si="121"/>
        <v>#DIV/0!</v>
      </c>
      <c r="AP151" s="251">
        <f t="shared" si="106"/>
        <v>1</v>
      </c>
      <c r="AQ151" s="251">
        <f t="shared" si="107"/>
        <v>0</v>
      </c>
      <c r="AR151" s="252">
        <f t="shared" si="108"/>
        <v>0</v>
      </c>
    </row>
    <row r="152" spans="1:44" x14ac:dyDescent="0.25">
      <c r="A152" s="330" t="s">
        <v>899</v>
      </c>
      <c r="B152" s="329">
        <v>0.05</v>
      </c>
      <c r="C152" s="332">
        <f t="shared" si="127"/>
        <v>2.5000000000000001E-2</v>
      </c>
      <c r="D152" s="329">
        <f t="shared" si="129"/>
        <v>0</v>
      </c>
      <c r="E152" s="366">
        <f t="shared" si="130"/>
        <v>1</v>
      </c>
      <c r="F152" s="106"/>
      <c r="G152" s="304"/>
      <c r="H152" s="303" t="e">
        <f>G152/F152</f>
        <v>#DIV/0!</v>
      </c>
      <c r="I152" s="246">
        <v>1</v>
      </c>
      <c r="J152" s="57"/>
      <c r="K152" s="247">
        <f t="shared" si="113"/>
        <v>0</v>
      </c>
      <c r="L152" s="57"/>
      <c r="M152" s="57"/>
      <c r="N152" s="247" t="e">
        <f t="shared" si="122"/>
        <v>#DIV/0!</v>
      </c>
      <c r="O152" s="57"/>
      <c r="P152" s="57"/>
      <c r="Q152" s="247" t="e">
        <f t="shared" si="123"/>
        <v>#DIV/0!</v>
      </c>
      <c r="R152" s="57"/>
      <c r="S152" s="57"/>
      <c r="T152" s="247" t="e">
        <f t="shared" si="115"/>
        <v>#DIV/0!</v>
      </c>
      <c r="U152" s="57"/>
      <c r="V152" s="57"/>
      <c r="W152" s="247" t="e">
        <f t="shared" si="111"/>
        <v>#DIV/0!</v>
      </c>
      <c r="X152" s="57"/>
      <c r="Y152" s="57"/>
      <c r="Z152" s="247" t="e">
        <f t="shared" si="116"/>
        <v>#DIV/0!</v>
      </c>
      <c r="AA152" s="57"/>
      <c r="AB152" s="57"/>
      <c r="AC152" s="247" t="e">
        <f t="shared" si="117"/>
        <v>#DIV/0!</v>
      </c>
      <c r="AD152" s="57"/>
      <c r="AE152" s="57"/>
      <c r="AF152" s="57" t="e">
        <f t="shared" si="118"/>
        <v>#DIV/0!</v>
      </c>
      <c r="AG152" s="57"/>
      <c r="AH152" s="57"/>
      <c r="AI152" s="57" t="e">
        <f t="shared" si="119"/>
        <v>#DIV/0!</v>
      </c>
      <c r="AJ152" s="57"/>
      <c r="AK152" s="57"/>
      <c r="AL152" s="57" t="e">
        <f t="shared" si="120"/>
        <v>#DIV/0!</v>
      </c>
      <c r="AM152" s="57"/>
      <c r="AN152" s="57"/>
      <c r="AO152" s="57" t="e">
        <f t="shared" si="121"/>
        <v>#DIV/0!</v>
      </c>
      <c r="AP152" s="251">
        <f t="shared" si="106"/>
        <v>1</v>
      </c>
      <c r="AQ152" s="251">
        <f t="shared" si="107"/>
        <v>0</v>
      </c>
      <c r="AR152" s="252">
        <f t="shared" si="108"/>
        <v>0</v>
      </c>
    </row>
    <row r="153" spans="1:44" x14ac:dyDescent="0.25">
      <c r="A153" s="330" t="s">
        <v>1020</v>
      </c>
      <c r="B153" s="329">
        <v>0.1</v>
      </c>
      <c r="C153" s="332">
        <f t="shared" si="127"/>
        <v>0.05</v>
      </c>
      <c r="D153" s="329">
        <f t="shared" si="129"/>
        <v>0</v>
      </c>
      <c r="E153" s="366">
        <f t="shared" si="130"/>
        <v>1</v>
      </c>
      <c r="F153" s="106">
        <v>1</v>
      </c>
      <c r="G153" s="304"/>
      <c r="H153" s="303">
        <f>G153/F153</f>
        <v>0</v>
      </c>
      <c r="I153" s="246"/>
      <c r="J153" s="57"/>
      <c r="K153" s="247" t="e">
        <f t="shared" si="113"/>
        <v>#DIV/0!</v>
      </c>
      <c r="L153" s="57">
        <v>1</v>
      </c>
      <c r="M153" s="57"/>
      <c r="N153" s="247">
        <f t="shared" si="122"/>
        <v>0</v>
      </c>
      <c r="O153" s="57"/>
      <c r="P153" s="57"/>
      <c r="Q153" s="247" t="e">
        <f t="shared" si="123"/>
        <v>#DIV/0!</v>
      </c>
      <c r="R153" s="57"/>
      <c r="S153" s="57"/>
      <c r="T153" s="247" t="e">
        <f t="shared" si="115"/>
        <v>#DIV/0!</v>
      </c>
      <c r="U153" s="57"/>
      <c r="V153" s="57"/>
      <c r="W153" s="247" t="e">
        <f t="shared" si="111"/>
        <v>#DIV/0!</v>
      </c>
      <c r="X153" s="57"/>
      <c r="Y153" s="57"/>
      <c r="Z153" s="247" t="e">
        <f t="shared" si="116"/>
        <v>#DIV/0!</v>
      </c>
      <c r="AA153" s="57"/>
      <c r="AB153" s="57"/>
      <c r="AC153" s="247" t="e">
        <f t="shared" si="117"/>
        <v>#DIV/0!</v>
      </c>
      <c r="AD153" s="57"/>
      <c r="AE153" s="57"/>
      <c r="AF153" s="57" t="e">
        <f t="shared" si="118"/>
        <v>#DIV/0!</v>
      </c>
      <c r="AG153" s="57"/>
      <c r="AH153" s="57"/>
      <c r="AI153" s="57" t="e">
        <f t="shared" si="119"/>
        <v>#DIV/0!</v>
      </c>
      <c r="AJ153" s="57"/>
      <c r="AK153" s="57"/>
      <c r="AL153" s="57" t="e">
        <f t="shared" si="120"/>
        <v>#DIV/0!</v>
      </c>
      <c r="AM153" s="57"/>
      <c r="AN153" s="57"/>
      <c r="AO153" s="57" t="e">
        <f t="shared" si="121"/>
        <v>#DIV/0!</v>
      </c>
      <c r="AP153" s="251">
        <f t="shared" si="106"/>
        <v>2</v>
      </c>
      <c r="AQ153" s="251">
        <f t="shared" si="107"/>
        <v>0</v>
      </c>
      <c r="AR153" s="252">
        <f t="shared" si="108"/>
        <v>0</v>
      </c>
    </row>
    <row r="154" spans="1:44" x14ac:dyDescent="0.25">
      <c r="A154" s="330" t="s">
        <v>1118</v>
      </c>
      <c r="B154" s="329">
        <v>0</v>
      </c>
      <c r="C154" s="332">
        <f t="shared" si="127"/>
        <v>0</v>
      </c>
      <c r="D154" s="329" t="e">
        <f t="shared" si="129"/>
        <v>#DIV/0!</v>
      </c>
      <c r="E154" s="366" t="e">
        <f t="shared" si="130"/>
        <v>#DIV/0!</v>
      </c>
      <c r="F154" s="106"/>
      <c r="G154" s="304"/>
      <c r="H154" s="303" t="e">
        <f>G154/F154</f>
        <v>#DIV/0!</v>
      </c>
      <c r="I154" s="246"/>
      <c r="J154" s="57"/>
      <c r="K154" s="247" t="e">
        <f t="shared" si="113"/>
        <v>#DIV/0!</v>
      </c>
      <c r="L154" s="57"/>
      <c r="M154" s="57"/>
      <c r="N154" s="247" t="e">
        <f t="shared" si="122"/>
        <v>#DIV/0!</v>
      </c>
      <c r="O154" s="57"/>
      <c r="P154" s="57"/>
      <c r="Q154" s="247" t="e">
        <f t="shared" si="123"/>
        <v>#DIV/0!</v>
      </c>
      <c r="R154" s="57"/>
      <c r="S154" s="57"/>
      <c r="T154" s="247" t="e">
        <f t="shared" si="115"/>
        <v>#DIV/0!</v>
      </c>
      <c r="U154" s="57"/>
      <c r="V154" s="57"/>
      <c r="W154" s="247" t="e">
        <f t="shared" si="111"/>
        <v>#DIV/0!</v>
      </c>
      <c r="X154" s="57"/>
      <c r="Y154" s="57"/>
      <c r="Z154" s="247" t="e">
        <f t="shared" si="116"/>
        <v>#DIV/0!</v>
      </c>
      <c r="AA154" s="57"/>
      <c r="AB154" s="57"/>
      <c r="AC154" s="247" t="e">
        <f t="shared" si="117"/>
        <v>#DIV/0!</v>
      </c>
      <c r="AD154" s="57"/>
      <c r="AE154" s="57"/>
      <c r="AF154" s="57" t="e">
        <f t="shared" si="118"/>
        <v>#DIV/0!</v>
      </c>
      <c r="AG154" s="57"/>
      <c r="AH154" s="57"/>
      <c r="AI154" s="57" t="e">
        <f t="shared" si="119"/>
        <v>#DIV/0!</v>
      </c>
      <c r="AJ154" s="57"/>
      <c r="AK154" s="57"/>
      <c r="AL154" s="57" t="e">
        <f t="shared" si="120"/>
        <v>#DIV/0!</v>
      </c>
      <c r="AM154" s="57"/>
      <c r="AN154" s="57"/>
      <c r="AO154" s="57" t="e">
        <f t="shared" si="121"/>
        <v>#DIV/0!</v>
      </c>
      <c r="AP154" s="251">
        <f t="shared" si="106"/>
        <v>0</v>
      </c>
      <c r="AQ154" s="251">
        <f t="shared" si="107"/>
        <v>0</v>
      </c>
      <c r="AR154" s="252" t="e">
        <f t="shared" si="108"/>
        <v>#DIV/0!</v>
      </c>
    </row>
    <row r="155" spans="1:44" x14ac:dyDescent="0.25">
      <c r="A155" s="330" t="s">
        <v>1075</v>
      </c>
      <c r="B155" s="329">
        <v>0.03</v>
      </c>
      <c r="C155" s="332">
        <f t="shared" si="127"/>
        <v>1.4999999999999999E-2</v>
      </c>
      <c r="D155" s="329" t="e">
        <f t="shared" si="129"/>
        <v>#DIV/0!</v>
      </c>
      <c r="E155" s="366" t="e">
        <f t="shared" si="130"/>
        <v>#DIV/0!</v>
      </c>
      <c r="F155" s="106"/>
      <c r="G155" s="304"/>
      <c r="H155" s="303" t="e">
        <f>G155/F155</f>
        <v>#DIV/0!</v>
      </c>
      <c r="I155" s="246"/>
      <c r="J155" s="57"/>
      <c r="K155" s="247" t="e">
        <f t="shared" si="113"/>
        <v>#DIV/0!</v>
      </c>
      <c r="L155" s="57"/>
      <c r="M155" s="57"/>
      <c r="N155" s="247" t="e">
        <f t="shared" si="122"/>
        <v>#DIV/0!</v>
      </c>
      <c r="O155" s="57"/>
      <c r="P155" s="57"/>
      <c r="Q155" s="247" t="e">
        <f t="shared" si="123"/>
        <v>#DIV/0!</v>
      </c>
      <c r="R155" s="57"/>
      <c r="S155" s="57"/>
      <c r="T155" s="247" t="e">
        <f t="shared" si="115"/>
        <v>#DIV/0!</v>
      </c>
      <c r="U155" s="57"/>
      <c r="V155" s="57"/>
      <c r="W155" s="247" t="e">
        <f t="shared" si="111"/>
        <v>#DIV/0!</v>
      </c>
      <c r="X155" s="57"/>
      <c r="Y155" s="57"/>
      <c r="Z155" s="247" t="e">
        <f t="shared" si="116"/>
        <v>#DIV/0!</v>
      </c>
      <c r="AA155" s="57"/>
      <c r="AB155" s="57"/>
      <c r="AC155" s="247" t="e">
        <f t="shared" si="117"/>
        <v>#DIV/0!</v>
      </c>
      <c r="AD155" s="57"/>
      <c r="AE155" s="57"/>
      <c r="AF155" s="57" t="e">
        <f t="shared" si="118"/>
        <v>#DIV/0!</v>
      </c>
      <c r="AG155" s="57"/>
      <c r="AH155" s="57"/>
      <c r="AI155" s="57" t="e">
        <f t="shared" si="119"/>
        <v>#DIV/0!</v>
      </c>
      <c r="AJ155" s="57"/>
      <c r="AK155" s="57"/>
      <c r="AL155" s="57" t="e">
        <f t="shared" si="120"/>
        <v>#DIV/0!</v>
      </c>
      <c r="AM155" s="57"/>
      <c r="AN155" s="57"/>
      <c r="AO155" s="57" t="e">
        <f t="shared" si="121"/>
        <v>#DIV/0!</v>
      </c>
      <c r="AP155" s="251">
        <f t="shared" si="106"/>
        <v>0</v>
      </c>
      <c r="AQ155" s="251">
        <f t="shared" si="107"/>
        <v>0</v>
      </c>
      <c r="AR155" s="252" t="e">
        <f t="shared" si="108"/>
        <v>#DIV/0!</v>
      </c>
    </row>
    <row r="156" spans="1:44" x14ac:dyDescent="0.25">
      <c r="A156" s="356" t="s">
        <v>1104</v>
      </c>
      <c r="B156" s="357">
        <v>0.17</v>
      </c>
      <c r="C156" s="357">
        <f t="shared" si="127"/>
        <v>8.5000000000000006E-2</v>
      </c>
      <c r="D156" s="357" t="e">
        <f t="shared" si="129"/>
        <v>#DIV/0!</v>
      </c>
      <c r="E156" s="378" t="e">
        <f t="shared" si="130"/>
        <v>#DIV/0!</v>
      </c>
      <c r="F156" s="106"/>
      <c r="G156" s="304"/>
      <c r="H156" s="303" t="e">
        <f t="shared" ref="H156:H167" si="131">G156/F156</f>
        <v>#DIV/0!</v>
      </c>
      <c r="I156" s="246"/>
      <c r="J156" s="57"/>
      <c r="K156" s="247" t="e">
        <f t="shared" si="113"/>
        <v>#DIV/0!</v>
      </c>
      <c r="L156" s="57"/>
      <c r="M156" s="57"/>
      <c r="N156" s="247" t="e">
        <f t="shared" si="122"/>
        <v>#DIV/0!</v>
      </c>
      <c r="O156" s="57"/>
      <c r="P156" s="57"/>
      <c r="Q156" s="247" t="e">
        <f t="shared" si="123"/>
        <v>#DIV/0!</v>
      </c>
      <c r="R156" s="57"/>
      <c r="S156" s="57"/>
      <c r="T156" s="247" t="e">
        <f t="shared" si="115"/>
        <v>#DIV/0!</v>
      </c>
      <c r="U156" s="57"/>
      <c r="V156" s="57"/>
      <c r="W156" s="247" t="e">
        <f t="shared" si="111"/>
        <v>#DIV/0!</v>
      </c>
      <c r="X156" s="57"/>
      <c r="Y156" s="57"/>
      <c r="Z156" s="247" t="e">
        <f t="shared" si="116"/>
        <v>#DIV/0!</v>
      </c>
      <c r="AA156" s="57"/>
      <c r="AB156" s="57"/>
      <c r="AC156" s="247" t="e">
        <f t="shared" si="117"/>
        <v>#DIV/0!</v>
      </c>
      <c r="AD156" s="57"/>
      <c r="AE156" s="57"/>
      <c r="AF156" s="57" t="e">
        <f t="shared" si="118"/>
        <v>#DIV/0!</v>
      </c>
      <c r="AG156" s="57"/>
      <c r="AH156" s="57"/>
      <c r="AI156" s="57" t="e">
        <f t="shared" si="119"/>
        <v>#DIV/0!</v>
      </c>
      <c r="AJ156" s="57"/>
      <c r="AK156" s="57"/>
      <c r="AL156" s="57" t="e">
        <f t="shared" si="120"/>
        <v>#DIV/0!</v>
      </c>
      <c r="AM156" s="57"/>
      <c r="AN156" s="57"/>
      <c r="AO156" s="57" t="e">
        <f t="shared" si="121"/>
        <v>#DIV/0!</v>
      </c>
      <c r="AP156" s="251">
        <f t="shared" si="106"/>
        <v>0</v>
      </c>
      <c r="AQ156" s="251">
        <f t="shared" si="107"/>
        <v>0</v>
      </c>
      <c r="AR156" s="252" t="e">
        <f t="shared" si="108"/>
        <v>#DIV/0!</v>
      </c>
    </row>
    <row r="157" spans="1:44" x14ac:dyDescent="0.25">
      <c r="A157" s="330" t="s">
        <v>1125</v>
      </c>
      <c r="B157" s="332">
        <v>0</v>
      </c>
      <c r="C157" s="332">
        <f t="shared" si="127"/>
        <v>0</v>
      </c>
      <c r="D157" s="329" t="e">
        <f t="shared" si="129"/>
        <v>#DIV/0!</v>
      </c>
      <c r="E157" s="366" t="e">
        <f t="shared" si="130"/>
        <v>#DIV/0!</v>
      </c>
      <c r="F157" s="106"/>
      <c r="G157" s="304"/>
      <c r="H157" s="303" t="e">
        <f t="shared" si="131"/>
        <v>#DIV/0!</v>
      </c>
      <c r="I157" s="246"/>
      <c r="J157" s="57"/>
      <c r="K157" s="247" t="e">
        <f t="shared" si="113"/>
        <v>#DIV/0!</v>
      </c>
      <c r="L157" s="57"/>
      <c r="M157" s="57"/>
      <c r="N157" s="247" t="e">
        <f t="shared" si="122"/>
        <v>#DIV/0!</v>
      </c>
      <c r="O157" s="57"/>
      <c r="P157" s="57"/>
      <c r="Q157" s="247" t="e">
        <f t="shared" si="123"/>
        <v>#DIV/0!</v>
      </c>
      <c r="R157" s="57"/>
      <c r="S157" s="57"/>
      <c r="T157" s="247" t="e">
        <f t="shared" si="115"/>
        <v>#DIV/0!</v>
      </c>
      <c r="U157" s="57"/>
      <c r="V157" s="57"/>
      <c r="W157" s="247" t="e">
        <f t="shared" si="111"/>
        <v>#DIV/0!</v>
      </c>
      <c r="X157" s="57"/>
      <c r="Y157" s="57"/>
      <c r="Z157" s="247" t="e">
        <f t="shared" si="116"/>
        <v>#DIV/0!</v>
      </c>
      <c r="AA157" s="57"/>
      <c r="AB157" s="57"/>
      <c r="AC157" s="247" t="e">
        <f t="shared" si="117"/>
        <v>#DIV/0!</v>
      </c>
      <c r="AD157" s="57"/>
      <c r="AE157" s="57"/>
      <c r="AF157" s="57" t="e">
        <f t="shared" si="118"/>
        <v>#DIV/0!</v>
      </c>
      <c r="AG157" s="57"/>
      <c r="AH157" s="57"/>
      <c r="AI157" s="57" t="e">
        <f t="shared" si="119"/>
        <v>#DIV/0!</v>
      </c>
      <c r="AJ157" s="57"/>
      <c r="AK157" s="57"/>
      <c r="AL157" s="57" t="e">
        <f t="shared" si="120"/>
        <v>#DIV/0!</v>
      </c>
      <c r="AM157" s="57"/>
      <c r="AN157" s="57"/>
      <c r="AO157" s="57" t="e">
        <f t="shared" si="121"/>
        <v>#DIV/0!</v>
      </c>
      <c r="AP157" s="251">
        <f t="shared" si="106"/>
        <v>0</v>
      </c>
      <c r="AQ157" s="251">
        <f t="shared" si="107"/>
        <v>0</v>
      </c>
      <c r="AR157" s="252" t="e">
        <f t="shared" si="108"/>
        <v>#DIV/0!</v>
      </c>
    </row>
    <row r="158" spans="1:44" x14ac:dyDescent="0.25">
      <c r="A158" s="330" t="s">
        <v>1081</v>
      </c>
      <c r="B158" s="332">
        <v>0.08</v>
      </c>
      <c r="C158" s="332">
        <f t="shared" si="127"/>
        <v>0.04</v>
      </c>
      <c r="D158" s="329" t="e">
        <f t="shared" si="129"/>
        <v>#DIV/0!</v>
      </c>
      <c r="E158" s="366" t="e">
        <f t="shared" si="130"/>
        <v>#DIV/0!</v>
      </c>
      <c r="F158" s="106"/>
      <c r="G158" s="304"/>
      <c r="H158" s="303" t="e">
        <f t="shared" si="131"/>
        <v>#DIV/0!</v>
      </c>
      <c r="I158" s="246"/>
      <c r="J158" s="57"/>
      <c r="K158" s="247" t="e">
        <f t="shared" si="113"/>
        <v>#DIV/0!</v>
      </c>
      <c r="L158" s="57"/>
      <c r="M158" s="57"/>
      <c r="N158" s="247" t="e">
        <f t="shared" si="122"/>
        <v>#DIV/0!</v>
      </c>
      <c r="O158" s="57"/>
      <c r="P158" s="57"/>
      <c r="Q158" s="247" t="e">
        <f t="shared" si="123"/>
        <v>#DIV/0!</v>
      </c>
      <c r="R158" s="57"/>
      <c r="S158" s="57"/>
      <c r="T158" s="247" t="e">
        <f t="shared" si="115"/>
        <v>#DIV/0!</v>
      </c>
      <c r="U158" s="57"/>
      <c r="V158" s="57"/>
      <c r="W158" s="247" t="e">
        <f t="shared" si="111"/>
        <v>#DIV/0!</v>
      </c>
      <c r="X158" s="57"/>
      <c r="Y158" s="57"/>
      <c r="Z158" s="247" t="e">
        <f t="shared" si="116"/>
        <v>#DIV/0!</v>
      </c>
      <c r="AA158" s="57"/>
      <c r="AB158" s="57"/>
      <c r="AC158" s="247" t="e">
        <f t="shared" si="117"/>
        <v>#DIV/0!</v>
      </c>
      <c r="AD158" s="57"/>
      <c r="AE158" s="57"/>
      <c r="AF158" s="57" t="e">
        <f t="shared" si="118"/>
        <v>#DIV/0!</v>
      </c>
      <c r="AG158" s="57"/>
      <c r="AH158" s="57"/>
      <c r="AI158" s="57" t="e">
        <f t="shared" si="119"/>
        <v>#DIV/0!</v>
      </c>
      <c r="AJ158" s="57"/>
      <c r="AK158" s="57"/>
      <c r="AL158" s="57" t="e">
        <f t="shared" si="120"/>
        <v>#DIV/0!</v>
      </c>
      <c r="AM158" s="57"/>
      <c r="AN158" s="57"/>
      <c r="AO158" s="57" t="e">
        <f t="shared" si="121"/>
        <v>#DIV/0!</v>
      </c>
      <c r="AP158" s="251">
        <f t="shared" si="106"/>
        <v>0</v>
      </c>
      <c r="AQ158" s="251">
        <f t="shared" si="107"/>
        <v>0</v>
      </c>
      <c r="AR158" s="252" t="e">
        <f t="shared" si="108"/>
        <v>#DIV/0!</v>
      </c>
    </row>
    <row r="159" spans="1:44" x14ac:dyDescent="0.25">
      <c r="A159" s="330" t="s">
        <v>1053</v>
      </c>
      <c r="B159" s="332">
        <v>0.08</v>
      </c>
      <c r="C159" s="332">
        <f t="shared" si="127"/>
        <v>0.04</v>
      </c>
      <c r="D159" s="329">
        <f t="shared" si="129"/>
        <v>0</v>
      </c>
      <c r="E159" s="366">
        <f t="shared" si="130"/>
        <v>1</v>
      </c>
      <c r="F159" s="106"/>
      <c r="G159" s="304"/>
      <c r="H159" s="303" t="e">
        <f t="shared" si="131"/>
        <v>#DIV/0!</v>
      </c>
      <c r="I159" s="246">
        <v>1</v>
      </c>
      <c r="J159" s="57"/>
      <c r="K159" s="247">
        <f t="shared" si="113"/>
        <v>0</v>
      </c>
      <c r="L159" s="57">
        <v>1</v>
      </c>
      <c r="M159" s="57"/>
      <c r="N159" s="247">
        <f t="shared" si="122"/>
        <v>0</v>
      </c>
      <c r="O159" s="57"/>
      <c r="P159" s="57"/>
      <c r="Q159" s="247" t="e">
        <f t="shared" si="123"/>
        <v>#DIV/0!</v>
      </c>
      <c r="R159" s="57"/>
      <c r="S159" s="57"/>
      <c r="T159" s="247" t="e">
        <f t="shared" si="115"/>
        <v>#DIV/0!</v>
      </c>
      <c r="U159" s="57"/>
      <c r="V159" s="57"/>
      <c r="W159" s="247" t="e">
        <f t="shared" si="111"/>
        <v>#DIV/0!</v>
      </c>
      <c r="X159" s="57"/>
      <c r="Y159" s="57"/>
      <c r="Z159" s="247" t="e">
        <f t="shared" si="116"/>
        <v>#DIV/0!</v>
      </c>
      <c r="AA159" s="57"/>
      <c r="AB159" s="57"/>
      <c r="AC159" s="247" t="e">
        <f t="shared" si="117"/>
        <v>#DIV/0!</v>
      </c>
      <c r="AD159" s="57"/>
      <c r="AE159" s="57"/>
      <c r="AF159" s="57" t="e">
        <f t="shared" si="118"/>
        <v>#DIV/0!</v>
      </c>
      <c r="AG159" s="57"/>
      <c r="AH159" s="57"/>
      <c r="AI159" s="57" t="e">
        <f t="shared" si="119"/>
        <v>#DIV/0!</v>
      </c>
      <c r="AJ159" s="57"/>
      <c r="AK159" s="57"/>
      <c r="AL159" s="57" t="e">
        <f t="shared" si="120"/>
        <v>#DIV/0!</v>
      </c>
      <c r="AM159" s="57"/>
      <c r="AN159" s="57"/>
      <c r="AO159" s="57" t="e">
        <f t="shared" si="121"/>
        <v>#DIV/0!</v>
      </c>
      <c r="AP159" s="251">
        <f t="shared" si="106"/>
        <v>2</v>
      </c>
      <c r="AQ159" s="251">
        <f t="shared" si="107"/>
        <v>0</v>
      </c>
      <c r="AR159" s="252">
        <f t="shared" si="108"/>
        <v>0</v>
      </c>
    </row>
    <row r="160" spans="1:44" x14ac:dyDescent="0.25">
      <c r="A160" s="330" t="s">
        <v>1108</v>
      </c>
      <c r="B160" s="332">
        <v>0</v>
      </c>
      <c r="C160" s="332">
        <f t="shared" si="127"/>
        <v>0</v>
      </c>
      <c r="D160" s="329">
        <f t="shared" si="129"/>
        <v>0</v>
      </c>
      <c r="E160" s="366">
        <f t="shared" si="130"/>
        <v>1</v>
      </c>
      <c r="F160" s="106"/>
      <c r="G160" s="304"/>
      <c r="H160" s="303" t="e">
        <f t="shared" si="131"/>
        <v>#DIV/0!</v>
      </c>
      <c r="I160" s="246"/>
      <c r="J160" s="57"/>
      <c r="K160" s="247" t="e">
        <f t="shared" si="113"/>
        <v>#DIV/0!</v>
      </c>
      <c r="L160" s="57"/>
      <c r="M160" s="57"/>
      <c r="N160" s="247" t="e">
        <f t="shared" si="122"/>
        <v>#DIV/0!</v>
      </c>
      <c r="O160" s="57">
        <v>1</v>
      </c>
      <c r="P160" s="57"/>
      <c r="Q160" s="247">
        <f t="shared" si="123"/>
        <v>0</v>
      </c>
      <c r="R160" s="57"/>
      <c r="S160" s="57"/>
      <c r="T160" s="247" t="e">
        <f t="shared" si="115"/>
        <v>#DIV/0!</v>
      </c>
      <c r="U160" s="57"/>
      <c r="V160" s="57"/>
      <c r="W160" s="247" t="e">
        <f t="shared" si="111"/>
        <v>#DIV/0!</v>
      </c>
      <c r="X160" s="57"/>
      <c r="Y160" s="57"/>
      <c r="Z160" s="247" t="e">
        <f t="shared" si="116"/>
        <v>#DIV/0!</v>
      </c>
      <c r="AA160" s="57"/>
      <c r="AB160" s="57"/>
      <c r="AC160" s="247" t="e">
        <f t="shared" si="117"/>
        <v>#DIV/0!</v>
      </c>
      <c r="AD160" s="57"/>
      <c r="AE160" s="57"/>
      <c r="AF160" s="57" t="e">
        <f t="shared" si="118"/>
        <v>#DIV/0!</v>
      </c>
      <c r="AG160" s="57"/>
      <c r="AH160" s="57"/>
      <c r="AI160" s="57" t="e">
        <f t="shared" si="119"/>
        <v>#DIV/0!</v>
      </c>
      <c r="AJ160" s="57"/>
      <c r="AK160" s="57"/>
      <c r="AL160" s="57" t="e">
        <f t="shared" si="120"/>
        <v>#DIV/0!</v>
      </c>
      <c r="AM160" s="57"/>
      <c r="AN160" s="57"/>
      <c r="AO160" s="57" t="e">
        <f t="shared" si="121"/>
        <v>#DIV/0!</v>
      </c>
      <c r="AP160" s="251">
        <f t="shared" si="106"/>
        <v>1</v>
      </c>
      <c r="AQ160" s="251">
        <f t="shared" si="107"/>
        <v>0</v>
      </c>
      <c r="AR160" s="252">
        <f t="shared" si="108"/>
        <v>0</v>
      </c>
    </row>
    <row r="161" spans="1:44" x14ac:dyDescent="0.25">
      <c r="A161" s="368" t="s">
        <v>1144</v>
      </c>
      <c r="B161" s="332">
        <v>0.08</v>
      </c>
      <c r="C161" s="332">
        <f t="shared" si="127"/>
        <v>0.04</v>
      </c>
      <c r="D161" s="329" t="e">
        <f t="shared" si="129"/>
        <v>#DIV/0!</v>
      </c>
      <c r="E161" s="366" t="e">
        <f t="shared" si="130"/>
        <v>#DIV/0!</v>
      </c>
      <c r="F161" s="106"/>
      <c r="G161" s="304"/>
      <c r="H161" s="303" t="e">
        <f t="shared" si="131"/>
        <v>#DIV/0!</v>
      </c>
      <c r="I161" s="246"/>
      <c r="J161" s="57"/>
      <c r="K161" s="247" t="e">
        <f t="shared" si="113"/>
        <v>#DIV/0!</v>
      </c>
      <c r="L161" s="57"/>
      <c r="M161" s="57"/>
      <c r="N161" s="247" t="e">
        <f t="shared" si="122"/>
        <v>#DIV/0!</v>
      </c>
      <c r="O161" s="57"/>
      <c r="P161" s="57"/>
      <c r="Q161" s="247" t="e">
        <f t="shared" si="123"/>
        <v>#DIV/0!</v>
      </c>
      <c r="R161" s="57"/>
      <c r="S161" s="57"/>
      <c r="T161" s="247" t="e">
        <f t="shared" si="115"/>
        <v>#DIV/0!</v>
      </c>
      <c r="U161" s="57"/>
      <c r="V161" s="57"/>
      <c r="W161" s="247" t="e">
        <f t="shared" si="111"/>
        <v>#DIV/0!</v>
      </c>
      <c r="X161" s="57"/>
      <c r="Y161" s="57"/>
      <c r="Z161" s="247" t="e">
        <f t="shared" si="116"/>
        <v>#DIV/0!</v>
      </c>
      <c r="AA161" s="57"/>
      <c r="AB161" s="57"/>
      <c r="AC161" s="247" t="e">
        <f t="shared" si="117"/>
        <v>#DIV/0!</v>
      </c>
      <c r="AD161" s="57"/>
      <c r="AE161" s="57"/>
      <c r="AF161" s="57" t="e">
        <f t="shared" si="118"/>
        <v>#DIV/0!</v>
      </c>
      <c r="AG161" s="57"/>
      <c r="AH161" s="57"/>
      <c r="AI161" s="57" t="e">
        <f t="shared" si="119"/>
        <v>#DIV/0!</v>
      </c>
      <c r="AJ161" s="57"/>
      <c r="AK161" s="57"/>
      <c r="AL161" s="57" t="e">
        <f t="shared" si="120"/>
        <v>#DIV/0!</v>
      </c>
      <c r="AM161" s="57"/>
      <c r="AN161" s="57"/>
      <c r="AO161" s="57" t="e">
        <f t="shared" si="121"/>
        <v>#DIV/0!</v>
      </c>
      <c r="AP161" s="251">
        <f t="shared" si="106"/>
        <v>0</v>
      </c>
      <c r="AQ161" s="251">
        <f t="shared" si="107"/>
        <v>0</v>
      </c>
      <c r="AR161" s="252" t="e">
        <f t="shared" si="108"/>
        <v>#DIV/0!</v>
      </c>
    </row>
    <row r="162" spans="1:44" x14ac:dyDescent="0.25">
      <c r="A162" s="368" t="s">
        <v>1145</v>
      </c>
      <c r="B162" s="332">
        <v>0.05</v>
      </c>
      <c r="C162" s="332">
        <f t="shared" si="127"/>
        <v>2.5000000000000001E-2</v>
      </c>
      <c r="D162" s="329">
        <f t="shared" si="129"/>
        <v>0</v>
      </c>
      <c r="E162" s="366">
        <f t="shared" si="130"/>
        <v>1</v>
      </c>
      <c r="F162" s="106"/>
      <c r="G162" s="304"/>
      <c r="H162" s="303" t="e">
        <f t="shared" si="131"/>
        <v>#DIV/0!</v>
      </c>
      <c r="I162" s="246"/>
      <c r="J162" s="57"/>
      <c r="K162" s="247" t="e">
        <f t="shared" si="113"/>
        <v>#DIV/0!</v>
      </c>
      <c r="L162" s="57">
        <v>1</v>
      </c>
      <c r="M162" s="57"/>
      <c r="N162" s="247">
        <f t="shared" si="122"/>
        <v>0</v>
      </c>
      <c r="O162" s="57"/>
      <c r="P162" s="57"/>
      <c r="Q162" s="247" t="e">
        <f t="shared" si="123"/>
        <v>#DIV/0!</v>
      </c>
      <c r="R162" s="57"/>
      <c r="S162" s="57"/>
      <c r="T162" s="247" t="e">
        <f t="shared" si="115"/>
        <v>#DIV/0!</v>
      </c>
      <c r="U162" s="57"/>
      <c r="V162" s="57"/>
      <c r="W162" s="247" t="e">
        <f t="shared" si="111"/>
        <v>#DIV/0!</v>
      </c>
      <c r="X162" s="57"/>
      <c r="Y162" s="57"/>
      <c r="Z162" s="247" t="e">
        <f t="shared" si="116"/>
        <v>#DIV/0!</v>
      </c>
      <c r="AA162" s="57"/>
      <c r="AB162" s="57"/>
      <c r="AC162" s="247" t="e">
        <f t="shared" si="117"/>
        <v>#DIV/0!</v>
      </c>
      <c r="AD162" s="57"/>
      <c r="AE162" s="57"/>
      <c r="AF162" s="57" t="e">
        <f t="shared" si="118"/>
        <v>#DIV/0!</v>
      </c>
      <c r="AG162" s="57"/>
      <c r="AH162" s="57"/>
      <c r="AI162" s="57" t="e">
        <f t="shared" si="119"/>
        <v>#DIV/0!</v>
      </c>
      <c r="AJ162" s="57"/>
      <c r="AK162" s="57"/>
      <c r="AL162" s="57" t="e">
        <f t="shared" si="120"/>
        <v>#DIV/0!</v>
      </c>
      <c r="AM162" s="57"/>
      <c r="AN162" s="57"/>
      <c r="AO162" s="57" t="e">
        <f t="shared" si="121"/>
        <v>#DIV/0!</v>
      </c>
      <c r="AP162" s="251">
        <f t="shared" si="106"/>
        <v>1</v>
      </c>
      <c r="AQ162" s="251">
        <f t="shared" si="107"/>
        <v>0</v>
      </c>
      <c r="AR162" s="252">
        <f t="shared" si="108"/>
        <v>0</v>
      </c>
    </row>
    <row r="163" spans="1:44" x14ac:dyDescent="0.25">
      <c r="A163" s="367" t="s">
        <v>1142</v>
      </c>
      <c r="B163" s="357">
        <v>0.08</v>
      </c>
      <c r="C163" s="357">
        <f t="shared" si="127"/>
        <v>0.04</v>
      </c>
      <c r="D163" s="357" t="e">
        <f t="shared" si="129"/>
        <v>#DIV/0!</v>
      </c>
      <c r="E163" s="378" t="e">
        <f t="shared" si="130"/>
        <v>#DIV/0!</v>
      </c>
      <c r="F163" s="106"/>
      <c r="G163" s="304"/>
      <c r="H163" s="303" t="e">
        <f t="shared" si="131"/>
        <v>#DIV/0!</v>
      </c>
      <c r="I163" s="246"/>
      <c r="J163" s="57"/>
      <c r="K163" s="247" t="e">
        <f t="shared" si="113"/>
        <v>#DIV/0!</v>
      </c>
      <c r="L163" s="57"/>
      <c r="M163" s="57"/>
      <c r="N163" s="247" t="e">
        <f t="shared" si="122"/>
        <v>#DIV/0!</v>
      </c>
      <c r="O163" s="57"/>
      <c r="P163" s="57"/>
      <c r="Q163" s="247" t="e">
        <f t="shared" si="123"/>
        <v>#DIV/0!</v>
      </c>
      <c r="R163" s="57"/>
      <c r="S163" s="57"/>
      <c r="T163" s="247" t="e">
        <f t="shared" si="115"/>
        <v>#DIV/0!</v>
      </c>
      <c r="U163" s="57"/>
      <c r="V163" s="57"/>
      <c r="W163" s="247" t="e">
        <f t="shared" si="111"/>
        <v>#DIV/0!</v>
      </c>
      <c r="X163" s="57"/>
      <c r="Y163" s="57"/>
      <c r="Z163" s="247" t="e">
        <f t="shared" si="116"/>
        <v>#DIV/0!</v>
      </c>
      <c r="AA163" s="57"/>
      <c r="AB163" s="57"/>
      <c r="AC163" s="247" t="e">
        <f t="shared" si="117"/>
        <v>#DIV/0!</v>
      </c>
      <c r="AD163" s="57"/>
      <c r="AE163" s="57"/>
      <c r="AF163" s="57" t="e">
        <f t="shared" si="118"/>
        <v>#DIV/0!</v>
      </c>
      <c r="AG163" s="57"/>
      <c r="AH163" s="57"/>
      <c r="AI163" s="57" t="e">
        <f t="shared" si="119"/>
        <v>#DIV/0!</v>
      </c>
      <c r="AJ163" s="57"/>
      <c r="AK163" s="57"/>
      <c r="AL163" s="57" t="e">
        <f t="shared" si="120"/>
        <v>#DIV/0!</v>
      </c>
      <c r="AM163" s="57"/>
      <c r="AN163" s="57"/>
      <c r="AO163" s="57" t="e">
        <f t="shared" si="121"/>
        <v>#DIV/0!</v>
      </c>
      <c r="AP163" s="251">
        <f t="shared" si="106"/>
        <v>0</v>
      </c>
      <c r="AQ163" s="251">
        <f t="shared" si="107"/>
        <v>0</v>
      </c>
      <c r="AR163" s="252" t="e">
        <f t="shared" si="108"/>
        <v>#DIV/0!</v>
      </c>
    </row>
    <row r="164" spans="1:44" x14ac:dyDescent="0.25">
      <c r="A164" s="330" t="s">
        <v>1036</v>
      </c>
      <c r="B164" s="332">
        <v>0.08</v>
      </c>
      <c r="C164" s="332">
        <f t="shared" si="127"/>
        <v>0.04</v>
      </c>
      <c r="D164" s="329" t="e">
        <f t="shared" si="129"/>
        <v>#DIV/0!</v>
      </c>
      <c r="E164" s="366" t="e">
        <f t="shared" si="130"/>
        <v>#DIV/0!</v>
      </c>
      <c r="F164" s="106"/>
      <c r="G164" s="304"/>
      <c r="H164" s="303" t="e">
        <f t="shared" si="131"/>
        <v>#DIV/0!</v>
      </c>
      <c r="I164" s="246"/>
      <c r="J164" s="57"/>
      <c r="K164" s="247" t="e">
        <f t="shared" ref="K164:K178" si="132">J164/I164</f>
        <v>#DIV/0!</v>
      </c>
      <c r="L164" s="57"/>
      <c r="M164" s="57"/>
      <c r="N164" s="247" t="e">
        <f t="shared" si="122"/>
        <v>#DIV/0!</v>
      </c>
      <c r="O164" s="57"/>
      <c r="P164" s="57"/>
      <c r="Q164" s="247" t="e">
        <f t="shared" si="123"/>
        <v>#DIV/0!</v>
      </c>
      <c r="R164" s="57"/>
      <c r="S164" s="57"/>
      <c r="T164" s="247" t="e">
        <f t="shared" si="115"/>
        <v>#DIV/0!</v>
      </c>
      <c r="U164" s="57"/>
      <c r="V164" s="57"/>
      <c r="W164" s="247" t="e">
        <f t="shared" si="111"/>
        <v>#DIV/0!</v>
      </c>
      <c r="X164" s="57"/>
      <c r="Y164" s="57"/>
      <c r="Z164" s="247" t="e">
        <f t="shared" si="116"/>
        <v>#DIV/0!</v>
      </c>
      <c r="AA164" s="57"/>
      <c r="AB164" s="57"/>
      <c r="AC164" s="247" t="e">
        <f t="shared" si="117"/>
        <v>#DIV/0!</v>
      </c>
      <c r="AD164" s="57"/>
      <c r="AE164" s="57"/>
      <c r="AF164" s="57" t="e">
        <f t="shared" si="118"/>
        <v>#DIV/0!</v>
      </c>
      <c r="AG164" s="57"/>
      <c r="AH164" s="57"/>
      <c r="AI164" s="57" t="e">
        <f t="shared" si="119"/>
        <v>#DIV/0!</v>
      </c>
      <c r="AJ164" s="57"/>
      <c r="AK164" s="57"/>
      <c r="AL164" s="57" t="e">
        <f t="shared" si="120"/>
        <v>#DIV/0!</v>
      </c>
      <c r="AM164" s="57"/>
      <c r="AN164" s="57"/>
      <c r="AO164" s="57" t="e">
        <f t="shared" si="121"/>
        <v>#DIV/0!</v>
      </c>
      <c r="AP164" s="251">
        <f t="shared" si="106"/>
        <v>0</v>
      </c>
      <c r="AQ164" s="251">
        <f t="shared" si="107"/>
        <v>0</v>
      </c>
      <c r="AR164" s="252" t="e">
        <f t="shared" si="108"/>
        <v>#DIV/0!</v>
      </c>
    </row>
    <row r="165" spans="1:44" x14ac:dyDescent="0.25">
      <c r="A165" s="330" t="s">
        <v>1072</v>
      </c>
      <c r="B165" s="332">
        <v>0</v>
      </c>
      <c r="C165" s="332">
        <f t="shared" si="127"/>
        <v>0</v>
      </c>
      <c r="D165" s="329" t="e">
        <f t="shared" si="129"/>
        <v>#DIV/0!</v>
      </c>
      <c r="E165" s="366" t="e">
        <f t="shared" si="130"/>
        <v>#DIV/0!</v>
      </c>
      <c r="F165" s="106"/>
      <c r="G165" s="304"/>
      <c r="H165" s="303" t="e">
        <f t="shared" si="131"/>
        <v>#DIV/0!</v>
      </c>
      <c r="I165" s="246"/>
      <c r="J165" s="57"/>
      <c r="K165" s="247" t="e">
        <f t="shared" si="132"/>
        <v>#DIV/0!</v>
      </c>
      <c r="L165" s="57"/>
      <c r="M165" s="57"/>
      <c r="N165" s="247" t="e">
        <f t="shared" si="122"/>
        <v>#DIV/0!</v>
      </c>
      <c r="O165" s="57"/>
      <c r="P165" s="57"/>
      <c r="Q165" s="247" t="e">
        <f t="shared" si="123"/>
        <v>#DIV/0!</v>
      </c>
      <c r="R165" s="57"/>
      <c r="S165" s="57"/>
      <c r="T165" s="247" t="e">
        <f t="shared" si="115"/>
        <v>#DIV/0!</v>
      </c>
      <c r="U165" s="57"/>
      <c r="V165" s="57"/>
      <c r="W165" s="247" t="e">
        <f t="shared" si="111"/>
        <v>#DIV/0!</v>
      </c>
      <c r="X165" s="57"/>
      <c r="Y165" s="57"/>
      <c r="Z165" s="247" t="e">
        <f t="shared" si="116"/>
        <v>#DIV/0!</v>
      </c>
      <c r="AA165" s="57"/>
      <c r="AB165" s="57"/>
      <c r="AC165" s="247" t="e">
        <f t="shared" si="117"/>
        <v>#DIV/0!</v>
      </c>
      <c r="AD165" s="57"/>
      <c r="AE165" s="57"/>
      <c r="AF165" s="57" t="e">
        <f t="shared" si="118"/>
        <v>#DIV/0!</v>
      </c>
      <c r="AG165" s="57"/>
      <c r="AH165" s="57"/>
      <c r="AI165" s="57" t="e">
        <f t="shared" si="119"/>
        <v>#DIV/0!</v>
      </c>
      <c r="AJ165" s="57"/>
      <c r="AK165" s="57"/>
      <c r="AL165" s="57" t="e">
        <f t="shared" si="120"/>
        <v>#DIV/0!</v>
      </c>
      <c r="AM165" s="57"/>
      <c r="AN165" s="57"/>
      <c r="AO165" s="57" t="e">
        <f t="shared" si="121"/>
        <v>#DIV/0!</v>
      </c>
      <c r="AP165" s="251">
        <f t="shared" ref="AP165:AP178" si="133">F165+I165+L165+O165+R165+U165+X165+AA165+AD165+AG165+AJ165+AM165</f>
        <v>0</v>
      </c>
      <c r="AQ165" s="251">
        <f t="shared" ref="AQ165:AQ178" si="134">SUM(G165,J165,M165,P165,S165,V165,Y165,AB165,AE165,AH165,AK165,AN165)</f>
        <v>0</v>
      </c>
      <c r="AR165" s="252" t="e">
        <f t="shared" ref="AR165:AR178" si="135">AQ165/AP165</f>
        <v>#DIV/0!</v>
      </c>
    </row>
    <row r="166" spans="1:44" x14ac:dyDescent="0.25">
      <c r="A166" s="330" t="s">
        <v>1073</v>
      </c>
      <c r="B166" s="332">
        <v>0</v>
      </c>
      <c r="C166" s="332">
        <f t="shared" si="127"/>
        <v>0</v>
      </c>
      <c r="D166" s="329" t="e">
        <f t="shared" si="129"/>
        <v>#DIV/0!</v>
      </c>
      <c r="E166" s="366" t="e">
        <f t="shared" si="130"/>
        <v>#DIV/0!</v>
      </c>
      <c r="F166" s="106"/>
      <c r="G166" s="304"/>
      <c r="H166" s="303" t="e">
        <f t="shared" si="131"/>
        <v>#DIV/0!</v>
      </c>
      <c r="I166" s="246"/>
      <c r="J166" s="57"/>
      <c r="K166" s="247" t="e">
        <f t="shared" si="132"/>
        <v>#DIV/0!</v>
      </c>
      <c r="L166" s="57"/>
      <c r="M166" s="57"/>
      <c r="N166" s="247" t="e">
        <f t="shared" si="122"/>
        <v>#DIV/0!</v>
      </c>
      <c r="O166" s="57"/>
      <c r="P166" s="57"/>
      <c r="Q166" s="247" t="e">
        <f t="shared" si="123"/>
        <v>#DIV/0!</v>
      </c>
      <c r="R166" s="57"/>
      <c r="S166" s="57"/>
      <c r="T166" s="247" t="e">
        <f t="shared" si="115"/>
        <v>#DIV/0!</v>
      </c>
      <c r="U166" s="57"/>
      <c r="V166" s="57"/>
      <c r="W166" s="247" t="e">
        <f t="shared" si="111"/>
        <v>#DIV/0!</v>
      </c>
      <c r="X166" s="57"/>
      <c r="Y166" s="57"/>
      <c r="Z166" s="247" t="e">
        <f t="shared" si="116"/>
        <v>#DIV/0!</v>
      </c>
      <c r="AA166" s="57"/>
      <c r="AB166" s="57"/>
      <c r="AC166" s="247" t="e">
        <f t="shared" si="117"/>
        <v>#DIV/0!</v>
      </c>
      <c r="AD166" s="57"/>
      <c r="AE166" s="57"/>
      <c r="AF166" s="57" t="e">
        <f t="shared" si="118"/>
        <v>#DIV/0!</v>
      </c>
      <c r="AG166" s="57"/>
      <c r="AH166" s="57"/>
      <c r="AI166" s="57" t="e">
        <f t="shared" si="119"/>
        <v>#DIV/0!</v>
      </c>
      <c r="AJ166" s="57"/>
      <c r="AK166" s="57"/>
      <c r="AL166" s="57" t="e">
        <f t="shared" si="120"/>
        <v>#DIV/0!</v>
      </c>
      <c r="AM166" s="57"/>
      <c r="AN166" s="57"/>
      <c r="AO166" s="57" t="e">
        <f t="shared" si="121"/>
        <v>#DIV/0!</v>
      </c>
      <c r="AP166" s="251">
        <f t="shared" si="133"/>
        <v>0</v>
      </c>
      <c r="AQ166" s="251">
        <f t="shared" si="134"/>
        <v>0</v>
      </c>
      <c r="AR166" s="252" t="e">
        <f t="shared" si="135"/>
        <v>#DIV/0!</v>
      </c>
    </row>
    <row r="167" spans="1:44" x14ac:dyDescent="0.25">
      <c r="A167" s="330" t="s">
        <v>1074</v>
      </c>
      <c r="B167" s="332">
        <v>0</v>
      </c>
      <c r="C167" s="332">
        <f t="shared" si="127"/>
        <v>0</v>
      </c>
      <c r="D167" s="329">
        <f t="shared" si="129"/>
        <v>0</v>
      </c>
      <c r="E167" s="366">
        <f t="shared" si="130"/>
        <v>1</v>
      </c>
      <c r="F167" s="106">
        <v>1</v>
      </c>
      <c r="G167" s="304"/>
      <c r="H167" s="303">
        <f t="shared" si="131"/>
        <v>0</v>
      </c>
      <c r="I167" s="246"/>
      <c r="J167" s="57"/>
      <c r="K167" s="247" t="e">
        <f t="shared" si="132"/>
        <v>#DIV/0!</v>
      </c>
      <c r="L167" s="57"/>
      <c r="M167" s="57"/>
      <c r="N167" s="247" t="e">
        <f t="shared" si="122"/>
        <v>#DIV/0!</v>
      </c>
      <c r="O167" s="57"/>
      <c r="P167" s="57"/>
      <c r="Q167" s="247" t="e">
        <f t="shared" si="123"/>
        <v>#DIV/0!</v>
      </c>
      <c r="R167" s="57"/>
      <c r="S167" s="57"/>
      <c r="T167" s="247" t="e">
        <f t="shared" si="115"/>
        <v>#DIV/0!</v>
      </c>
      <c r="U167" s="57"/>
      <c r="V167" s="57"/>
      <c r="W167" s="247" t="e">
        <f t="shared" si="111"/>
        <v>#DIV/0!</v>
      </c>
      <c r="X167" s="57"/>
      <c r="Y167" s="57"/>
      <c r="Z167" s="247" t="e">
        <f t="shared" si="116"/>
        <v>#DIV/0!</v>
      </c>
      <c r="AA167" s="57"/>
      <c r="AB167" s="57"/>
      <c r="AC167" s="247" t="e">
        <f t="shared" si="117"/>
        <v>#DIV/0!</v>
      </c>
      <c r="AD167" s="57"/>
      <c r="AE167" s="57"/>
      <c r="AF167" s="57" t="e">
        <f t="shared" si="118"/>
        <v>#DIV/0!</v>
      </c>
      <c r="AG167" s="57"/>
      <c r="AH167" s="57"/>
      <c r="AI167" s="57" t="e">
        <f t="shared" si="119"/>
        <v>#DIV/0!</v>
      </c>
      <c r="AJ167" s="57"/>
      <c r="AK167" s="57"/>
      <c r="AL167" s="57" t="e">
        <f t="shared" si="120"/>
        <v>#DIV/0!</v>
      </c>
      <c r="AM167" s="57"/>
      <c r="AN167" s="57"/>
      <c r="AO167" s="57" t="e">
        <f t="shared" si="121"/>
        <v>#DIV/0!</v>
      </c>
      <c r="AP167" s="251">
        <f t="shared" si="133"/>
        <v>1</v>
      </c>
      <c r="AQ167" s="251">
        <f t="shared" si="134"/>
        <v>0</v>
      </c>
      <c r="AR167" s="252">
        <f t="shared" si="135"/>
        <v>0</v>
      </c>
    </row>
    <row r="168" spans="1:44" x14ac:dyDescent="0.25">
      <c r="A168" s="356" t="s">
        <v>818</v>
      </c>
      <c r="B168" s="357">
        <v>0.12</v>
      </c>
      <c r="C168" s="357">
        <f t="shared" si="127"/>
        <v>0.06</v>
      </c>
      <c r="D168" s="359" t="e">
        <f t="shared" si="129"/>
        <v>#DIV/0!</v>
      </c>
      <c r="E168" s="378" t="e">
        <f>IF(D168&gt;0%,C168/D168,100%)</f>
        <v>#DIV/0!</v>
      </c>
      <c r="F168" s="106"/>
      <c r="G168" s="304"/>
      <c r="H168" s="303" t="e">
        <f>G168/F168</f>
        <v>#DIV/0!</v>
      </c>
      <c r="I168" s="246"/>
      <c r="J168" s="57"/>
      <c r="K168" s="247" t="e">
        <f t="shared" si="132"/>
        <v>#DIV/0!</v>
      </c>
      <c r="L168" s="57"/>
      <c r="M168" s="57"/>
      <c r="N168" s="247" t="e">
        <f t="shared" si="122"/>
        <v>#DIV/0!</v>
      </c>
      <c r="O168" s="57"/>
      <c r="P168" s="57"/>
      <c r="Q168" s="247" t="e">
        <f t="shared" si="123"/>
        <v>#DIV/0!</v>
      </c>
      <c r="R168" s="57"/>
      <c r="S168" s="57"/>
      <c r="T168" s="247" t="e">
        <f t="shared" si="115"/>
        <v>#DIV/0!</v>
      </c>
      <c r="U168" s="57"/>
      <c r="V168" s="57"/>
      <c r="W168" s="247" t="e">
        <f t="shared" si="111"/>
        <v>#DIV/0!</v>
      </c>
      <c r="X168" s="57"/>
      <c r="Y168" s="57"/>
      <c r="Z168" s="247" t="e">
        <f t="shared" si="116"/>
        <v>#DIV/0!</v>
      </c>
      <c r="AA168" s="57"/>
      <c r="AB168" s="57"/>
      <c r="AC168" s="247" t="e">
        <f t="shared" si="117"/>
        <v>#DIV/0!</v>
      </c>
      <c r="AD168" s="57"/>
      <c r="AE168" s="57"/>
      <c r="AF168" s="57" t="e">
        <f t="shared" si="118"/>
        <v>#DIV/0!</v>
      </c>
      <c r="AG168" s="57"/>
      <c r="AH168" s="57"/>
      <c r="AI168" s="57" t="e">
        <f t="shared" si="119"/>
        <v>#DIV/0!</v>
      </c>
      <c r="AJ168" s="57"/>
      <c r="AK168" s="57"/>
      <c r="AL168" s="57" t="e">
        <f t="shared" si="120"/>
        <v>#DIV/0!</v>
      </c>
      <c r="AM168" s="57"/>
      <c r="AN168" s="57"/>
      <c r="AO168" s="57" t="e">
        <f t="shared" si="121"/>
        <v>#DIV/0!</v>
      </c>
      <c r="AP168" s="251">
        <f t="shared" si="133"/>
        <v>0</v>
      </c>
      <c r="AQ168" s="251">
        <f t="shared" si="134"/>
        <v>0</v>
      </c>
      <c r="AR168" s="252" t="e">
        <f t="shared" si="135"/>
        <v>#DIV/0!</v>
      </c>
    </row>
    <row r="169" spans="1:44" x14ac:dyDescent="0.25">
      <c r="A169" s="330" t="s">
        <v>1061</v>
      </c>
      <c r="B169" s="332">
        <v>0.09</v>
      </c>
      <c r="C169" s="332">
        <f t="shared" si="127"/>
        <v>4.4999999999999998E-2</v>
      </c>
      <c r="D169" s="329" t="e">
        <f t="shared" si="129"/>
        <v>#DIV/0!</v>
      </c>
      <c r="E169" s="366" t="e">
        <f>IF(D169&gt;0%,C169/D169,100%)</f>
        <v>#DIV/0!</v>
      </c>
      <c r="F169" s="106"/>
      <c r="G169" s="304"/>
      <c r="H169" s="303" t="e">
        <f>G169/F169</f>
        <v>#DIV/0!</v>
      </c>
      <c r="I169" s="246"/>
      <c r="J169" s="57">
        <v>1</v>
      </c>
      <c r="K169" s="247" t="e">
        <f t="shared" si="132"/>
        <v>#DIV/0!</v>
      </c>
      <c r="L169" s="57"/>
      <c r="M169" s="57"/>
      <c r="N169" s="247" t="e">
        <f t="shared" si="122"/>
        <v>#DIV/0!</v>
      </c>
      <c r="O169" s="57"/>
      <c r="P169" s="57"/>
      <c r="Q169" s="247" t="e">
        <f t="shared" si="123"/>
        <v>#DIV/0!</v>
      </c>
      <c r="R169" s="57"/>
      <c r="S169" s="57"/>
      <c r="T169" s="247" t="e">
        <f t="shared" si="115"/>
        <v>#DIV/0!</v>
      </c>
      <c r="U169" s="57"/>
      <c r="V169" s="57"/>
      <c r="W169" s="247" t="e">
        <f t="shared" si="111"/>
        <v>#DIV/0!</v>
      </c>
      <c r="X169" s="57"/>
      <c r="Y169" s="57"/>
      <c r="Z169" s="247" t="e">
        <f t="shared" si="116"/>
        <v>#DIV/0!</v>
      </c>
      <c r="AA169" s="57"/>
      <c r="AB169" s="57"/>
      <c r="AC169" s="247" t="e">
        <f t="shared" si="117"/>
        <v>#DIV/0!</v>
      </c>
      <c r="AD169" s="57"/>
      <c r="AE169" s="57"/>
      <c r="AF169" s="57" t="e">
        <f t="shared" si="118"/>
        <v>#DIV/0!</v>
      </c>
      <c r="AG169" s="57"/>
      <c r="AH169" s="57"/>
      <c r="AI169" s="57" t="e">
        <f t="shared" si="119"/>
        <v>#DIV/0!</v>
      </c>
      <c r="AJ169" s="57"/>
      <c r="AK169" s="57"/>
      <c r="AL169" s="57" t="e">
        <f t="shared" si="120"/>
        <v>#DIV/0!</v>
      </c>
      <c r="AM169" s="57"/>
      <c r="AN169" s="57"/>
      <c r="AO169" s="57" t="e">
        <f t="shared" si="121"/>
        <v>#DIV/0!</v>
      </c>
      <c r="AP169" s="251">
        <f t="shared" si="133"/>
        <v>0</v>
      </c>
      <c r="AQ169" s="251">
        <f t="shared" si="134"/>
        <v>1</v>
      </c>
      <c r="AR169" s="252" t="e">
        <f t="shared" si="135"/>
        <v>#DIV/0!</v>
      </c>
    </row>
    <row r="170" spans="1:44" x14ac:dyDescent="0.25">
      <c r="A170" s="330" t="s">
        <v>1057</v>
      </c>
      <c r="B170" s="332">
        <v>0.09</v>
      </c>
      <c r="C170" s="332">
        <f t="shared" si="127"/>
        <v>4.4999999999999998E-2</v>
      </c>
      <c r="D170" s="329" t="e">
        <f t="shared" si="129"/>
        <v>#DIV/0!</v>
      </c>
      <c r="E170" s="366" t="e">
        <f>IF(D170&gt;0%,C170/D170,100%)</f>
        <v>#DIV/0!</v>
      </c>
      <c r="F170" s="106"/>
      <c r="G170" s="304"/>
      <c r="H170" s="303" t="e">
        <f>G170/F170</f>
        <v>#DIV/0!</v>
      </c>
      <c r="I170" s="246"/>
      <c r="J170" s="57"/>
      <c r="K170" s="247" t="e">
        <f t="shared" si="132"/>
        <v>#DIV/0!</v>
      </c>
      <c r="L170" s="57"/>
      <c r="M170" s="57"/>
      <c r="N170" s="247" t="e">
        <f t="shared" si="122"/>
        <v>#DIV/0!</v>
      </c>
      <c r="O170" s="57"/>
      <c r="P170" s="57"/>
      <c r="Q170" s="247" t="e">
        <f t="shared" si="123"/>
        <v>#DIV/0!</v>
      </c>
      <c r="R170" s="57"/>
      <c r="S170" s="57"/>
      <c r="T170" s="247" t="e">
        <f t="shared" si="115"/>
        <v>#DIV/0!</v>
      </c>
      <c r="U170" s="57"/>
      <c r="V170" s="57"/>
      <c r="W170" s="247" t="e">
        <f t="shared" si="111"/>
        <v>#DIV/0!</v>
      </c>
      <c r="X170" s="57"/>
      <c r="Y170" s="57"/>
      <c r="Z170" s="247" t="e">
        <f t="shared" si="116"/>
        <v>#DIV/0!</v>
      </c>
      <c r="AA170" s="57"/>
      <c r="AB170" s="57"/>
      <c r="AC170" s="247" t="e">
        <f t="shared" si="117"/>
        <v>#DIV/0!</v>
      </c>
      <c r="AD170" s="57"/>
      <c r="AE170" s="57"/>
      <c r="AF170" s="57" t="e">
        <f t="shared" si="118"/>
        <v>#DIV/0!</v>
      </c>
      <c r="AG170" s="57"/>
      <c r="AH170" s="57"/>
      <c r="AI170" s="57" t="e">
        <f t="shared" si="119"/>
        <v>#DIV/0!</v>
      </c>
      <c r="AJ170" s="57"/>
      <c r="AK170" s="57"/>
      <c r="AL170" s="57" t="e">
        <f t="shared" si="120"/>
        <v>#DIV/0!</v>
      </c>
      <c r="AM170" s="57"/>
      <c r="AN170" s="57"/>
      <c r="AO170" s="57" t="e">
        <f t="shared" si="121"/>
        <v>#DIV/0!</v>
      </c>
      <c r="AP170" s="251">
        <f t="shared" si="133"/>
        <v>0</v>
      </c>
      <c r="AQ170" s="251">
        <f t="shared" si="134"/>
        <v>0</v>
      </c>
      <c r="AR170" s="252" t="e">
        <f t="shared" si="135"/>
        <v>#DIV/0!</v>
      </c>
    </row>
    <row r="171" spans="1:44" x14ac:dyDescent="0.25">
      <c r="A171" s="330" t="s">
        <v>1062</v>
      </c>
      <c r="B171" s="332">
        <v>0</v>
      </c>
      <c r="C171" s="332">
        <f t="shared" si="127"/>
        <v>0</v>
      </c>
      <c r="D171" s="329" t="e">
        <f t="shared" si="129"/>
        <v>#DIV/0!</v>
      </c>
      <c r="E171" s="366" t="e">
        <f>IF(D171&gt;0%,C171/D171,100%)</f>
        <v>#DIV/0!</v>
      </c>
      <c r="F171" s="106"/>
      <c r="G171" s="304"/>
      <c r="H171" s="303" t="e">
        <f>G171/F171</f>
        <v>#DIV/0!</v>
      </c>
      <c r="I171" s="379"/>
      <c r="J171" s="57"/>
      <c r="K171" s="247" t="e">
        <f t="shared" si="132"/>
        <v>#DIV/0!</v>
      </c>
      <c r="L171" s="57"/>
      <c r="M171" s="57"/>
      <c r="N171" s="247" t="e">
        <f t="shared" si="122"/>
        <v>#DIV/0!</v>
      </c>
      <c r="O171" s="57"/>
      <c r="P171" s="57"/>
      <c r="Q171" s="247" t="e">
        <f t="shared" si="123"/>
        <v>#DIV/0!</v>
      </c>
      <c r="R171" s="57"/>
      <c r="S171" s="57"/>
      <c r="T171" s="247" t="e">
        <f t="shared" si="115"/>
        <v>#DIV/0!</v>
      </c>
      <c r="U171" s="57"/>
      <c r="V171" s="57"/>
      <c r="W171" s="247" t="e">
        <f t="shared" si="111"/>
        <v>#DIV/0!</v>
      </c>
      <c r="X171" s="57"/>
      <c r="Y171" s="57"/>
      <c r="Z171" s="247" t="e">
        <f t="shared" si="116"/>
        <v>#DIV/0!</v>
      </c>
      <c r="AA171" s="57"/>
      <c r="AB171" s="57"/>
      <c r="AC171" s="247" t="e">
        <f t="shared" si="117"/>
        <v>#DIV/0!</v>
      </c>
      <c r="AD171" s="57"/>
      <c r="AE171" s="57"/>
      <c r="AF171" s="57" t="e">
        <f t="shared" si="118"/>
        <v>#DIV/0!</v>
      </c>
      <c r="AG171" s="57"/>
      <c r="AH171" s="57"/>
      <c r="AI171" s="57" t="e">
        <f t="shared" si="119"/>
        <v>#DIV/0!</v>
      </c>
      <c r="AJ171" s="57"/>
      <c r="AK171" s="57"/>
      <c r="AL171" s="57" t="e">
        <f t="shared" si="120"/>
        <v>#DIV/0!</v>
      </c>
      <c r="AM171" s="57"/>
      <c r="AN171" s="57"/>
      <c r="AO171" s="57" t="e">
        <f t="shared" si="121"/>
        <v>#DIV/0!</v>
      </c>
      <c r="AP171" s="251">
        <f t="shared" si="133"/>
        <v>0</v>
      </c>
      <c r="AQ171" s="251">
        <f t="shared" si="134"/>
        <v>0</v>
      </c>
      <c r="AR171" s="252" t="e">
        <f t="shared" si="135"/>
        <v>#DIV/0!</v>
      </c>
    </row>
    <row r="172" spans="1:44" x14ac:dyDescent="0.25">
      <c r="A172" s="263" t="s">
        <v>816</v>
      </c>
      <c r="B172" s="320">
        <v>0</v>
      </c>
      <c r="C172" s="320">
        <f t="shared" si="127"/>
        <v>0</v>
      </c>
      <c r="D172" s="320" t="e">
        <f t="shared" si="129"/>
        <v>#DIV/0!</v>
      </c>
      <c r="E172" s="380" t="e">
        <f t="shared" ref="E172:E178" si="136">IF(D172&gt;0%,C172/D172,100%)</f>
        <v>#DIV/0!</v>
      </c>
      <c r="F172" s="106"/>
      <c r="G172" s="304"/>
      <c r="H172" s="303" t="e">
        <f t="shared" ref="H172:H178" si="137">G172/F172</f>
        <v>#DIV/0!</v>
      </c>
      <c r="I172" s="246"/>
      <c r="J172" s="57"/>
      <c r="K172" s="247" t="e">
        <f t="shared" si="132"/>
        <v>#DIV/0!</v>
      </c>
      <c r="L172" s="57"/>
      <c r="M172" s="57"/>
      <c r="N172" s="247" t="e">
        <f t="shared" si="122"/>
        <v>#DIV/0!</v>
      </c>
      <c r="O172" s="57"/>
      <c r="P172" s="57"/>
      <c r="Q172" s="247" t="e">
        <f t="shared" si="123"/>
        <v>#DIV/0!</v>
      </c>
      <c r="R172" s="57"/>
      <c r="S172" s="57"/>
      <c r="T172" s="247" t="e">
        <f t="shared" si="115"/>
        <v>#DIV/0!</v>
      </c>
      <c r="U172" s="57"/>
      <c r="V172" s="57"/>
      <c r="W172" s="247" t="e">
        <f t="shared" si="111"/>
        <v>#DIV/0!</v>
      </c>
      <c r="X172" s="57"/>
      <c r="Y172" s="57"/>
      <c r="Z172" s="247" t="e">
        <f t="shared" si="116"/>
        <v>#DIV/0!</v>
      </c>
      <c r="AA172" s="57"/>
      <c r="AB172" s="57"/>
      <c r="AC172" s="247" t="e">
        <f t="shared" si="117"/>
        <v>#DIV/0!</v>
      </c>
      <c r="AD172" s="57"/>
      <c r="AE172" s="57"/>
      <c r="AF172" s="57" t="e">
        <f t="shared" si="118"/>
        <v>#DIV/0!</v>
      </c>
      <c r="AG172" s="57"/>
      <c r="AH172" s="57"/>
      <c r="AI172" s="57" t="e">
        <f t="shared" si="119"/>
        <v>#DIV/0!</v>
      </c>
      <c r="AJ172" s="57"/>
      <c r="AK172" s="57"/>
      <c r="AL172" s="57" t="e">
        <f t="shared" si="120"/>
        <v>#DIV/0!</v>
      </c>
      <c r="AM172" s="57"/>
      <c r="AN172" s="57"/>
      <c r="AO172" s="57" t="e">
        <f t="shared" si="121"/>
        <v>#DIV/0!</v>
      </c>
      <c r="AP172" s="251">
        <f t="shared" si="133"/>
        <v>0</v>
      </c>
      <c r="AQ172" s="251">
        <f t="shared" si="134"/>
        <v>0</v>
      </c>
      <c r="AR172" s="252" t="e">
        <f t="shared" si="135"/>
        <v>#DIV/0!</v>
      </c>
    </row>
    <row r="173" spans="1:44" x14ac:dyDescent="0.25">
      <c r="A173" s="330" t="s">
        <v>1077</v>
      </c>
      <c r="B173" s="329">
        <v>0.03</v>
      </c>
      <c r="C173" s="329">
        <f t="shared" si="127"/>
        <v>1.4999999999999999E-2</v>
      </c>
      <c r="D173" s="329">
        <f t="shared" si="129"/>
        <v>0</v>
      </c>
      <c r="E173" s="331">
        <f t="shared" si="136"/>
        <v>1</v>
      </c>
      <c r="F173" s="246"/>
      <c r="G173" s="246"/>
      <c r="H173" s="303" t="e">
        <f t="shared" si="137"/>
        <v>#DIV/0!</v>
      </c>
      <c r="I173" s="246"/>
      <c r="J173" s="57"/>
      <c r="K173" s="247" t="e">
        <f t="shared" si="132"/>
        <v>#DIV/0!</v>
      </c>
      <c r="L173" s="57"/>
      <c r="M173" s="57"/>
      <c r="N173" s="247" t="e">
        <f t="shared" si="122"/>
        <v>#DIV/0!</v>
      </c>
      <c r="O173" s="57">
        <v>1</v>
      </c>
      <c r="P173" s="57"/>
      <c r="Q173" s="247">
        <f t="shared" si="123"/>
        <v>0</v>
      </c>
      <c r="R173" s="57"/>
      <c r="S173" s="57"/>
      <c r="T173" s="247" t="e">
        <f t="shared" si="115"/>
        <v>#DIV/0!</v>
      </c>
      <c r="U173" s="57"/>
      <c r="V173" s="57"/>
      <c r="W173" s="247" t="e">
        <f t="shared" si="111"/>
        <v>#DIV/0!</v>
      </c>
      <c r="X173" s="57"/>
      <c r="Y173" s="57"/>
      <c r="Z173" s="247" t="e">
        <f t="shared" si="116"/>
        <v>#DIV/0!</v>
      </c>
      <c r="AA173" s="57"/>
      <c r="AB173" s="57"/>
      <c r="AC173" s="247" t="e">
        <f t="shared" si="117"/>
        <v>#DIV/0!</v>
      </c>
      <c r="AD173" s="57"/>
      <c r="AE173" s="57"/>
      <c r="AF173" s="57" t="e">
        <f t="shared" si="118"/>
        <v>#DIV/0!</v>
      </c>
      <c r="AG173" s="57"/>
      <c r="AH173" s="57"/>
      <c r="AI173" s="57" t="e">
        <f t="shared" si="119"/>
        <v>#DIV/0!</v>
      </c>
      <c r="AJ173" s="57"/>
      <c r="AK173" s="57"/>
      <c r="AL173" s="57" t="e">
        <f t="shared" si="120"/>
        <v>#DIV/0!</v>
      </c>
      <c r="AM173" s="57"/>
      <c r="AN173" s="57"/>
      <c r="AO173" s="57" t="e">
        <f t="shared" si="121"/>
        <v>#DIV/0!</v>
      </c>
      <c r="AP173" s="251">
        <f t="shared" si="133"/>
        <v>1</v>
      </c>
      <c r="AQ173" s="251">
        <f t="shared" si="134"/>
        <v>0</v>
      </c>
      <c r="AR173" s="252">
        <f t="shared" si="135"/>
        <v>0</v>
      </c>
    </row>
    <row r="174" spans="1:44" x14ac:dyDescent="0.25">
      <c r="A174" s="330" t="s">
        <v>1123</v>
      </c>
      <c r="B174" s="373" t="s">
        <v>1158</v>
      </c>
      <c r="C174" s="329" t="e">
        <f t="shared" si="127"/>
        <v>#VALUE!</v>
      </c>
      <c r="D174" s="329" t="e">
        <f t="shared" si="129"/>
        <v>#DIV/0!</v>
      </c>
      <c r="E174" s="331" t="e">
        <f t="shared" si="136"/>
        <v>#DIV/0!</v>
      </c>
      <c r="F174" s="106"/>
      <c r="G174" s="304"/>
      <c r="H174" s="303" t="e">
        <f t="shared" si="137"/>
        <v>#DIV/0!</v>
      </c>
      <c r="I174" s="246"/>
      <c r="J174" s="57"/>
      <c r="K174" s="247" t="e">
        <f t="shared" si="132"/>
        <v>#DIV/0!</v>
      </c>
      <c r="L174" s="57"/>
      <c r="M174" s="57"/>
      <c r="N174" s="247" t="e">
        <f t="shared" si="122"/>
        <v>#DIV/0!</v>
      </c>
      <c r="O174" s="57"/>
      <c r="P174" s="57"/>
      <c r="Q174" s="247" t="e">
        <f t="shared" si="123"/>
        <v>#DIV/0!</v>
      </c>
      <c r="R174" s="57"/>
      <c r="S174" s="57"/>
      <c r="T174" s="247" t="e">
        <f t="shared" si="115"/>
        <v>#DIV/0!</v>
      </c>
      <c r="U174" s="57"/>
      <c r="V174" s="57"/>
      <c r="W174" s="247" t="e">
        <f t="shared" si="111"/>
        <v>#DIV/0!</v>
      </c>
      <c r="X174" s="57"/>
      <c r="Y174" s="57"/>
      <c r="Z174" s="247" t="e">
        <f t="shared" si="116"/>
        <v>#DIV/0!</v>
      </c>
      <c r="AA174" s="57"/>
      <c r="AB174" s="57"/>
      <c r="AC174" s="247" t="e">
        <f t="shared" si="117"/>
        <v>#DIV/0!</v>
      </c>
      <c r="AD174" s="57"/>
      <c r="AE174" s="57"/>
      <c r="AF174" s="57" t="e">
        <f t="shared" si="118"/>
        <v>#DIV/0!</v>
      </c>
      <c r="AG174" s="57"/>
      <c r="AH174" s="57"/>
      <c r="AI174" s="57" t="e">
        <f t="shared" si="119"/>
        <v>#DIV/0!</v>
      </c>
      <c r="AJ174" s="57"/>
      <c r="AK174" s="57"/>
      <c r="AL174" s="57" t="e">
        <f t="shared" si="120"/>
        <v>#DIV/0!</v>
      </c>
      <c r="AM174" s="57"/>
      <c r="AN174" s="57"/>
      <c r="AO174" s="57" t="e">
        <f t="shared" si="121"/>
        <v>#DIV/0!</v>
      </c>
      <c r="AP174" s="251">
        <f t="shared" si="133"/>
        <v>0</v>
      </c>
      <c r="AQ174" s="251">
        <f t="shared" si="134"/>
        <v>0</v>
      </c>
      <c r="AR174" s="252" t="e">
        <f t="shared" si="135"/>
        <v>#DIV/0!</v>
      </c>
    </row>
    <row r="175" spans="1:44" x14ac:dyDescent="0.25">
      <c r="A175" s="330" t="s">
        <v>1122</v>
      </c>
      <c r="B175" s="329">
        <v>0</v>
      </c>
      <c r="C175" s="329">
        <f t="shared" si="127"/>
        <v>0</v>
      </c>
      <c r="D175" s="329" t="e">
        <f t="shared" si="129"/>
        <v>#DIV/0!</v>
      </c>
      <c r="E175" s="331" t="e">
        <f t="shared" si="136"/>
        <v>#DIV/0!</v>
      </c>
      <c r="F175" s="106"/>
      <c r="G175" s="304"/>
      <c r="H175" s="303" t="e">
        <f t="shared" si="137"/>
        <v>#DIV/0!</v>
      </c>
      <c r="I175" s="246"/>
      <c r="J175" s="57"/>
      <c r="K175" s="247" t="e">
        <f t="shared" si="132"/>
        <v>#DIV/0!</v>
      </c>
      <c r="L175" s="57"/>
      <c r="M175" s="57"/>
      <c r="N175" s="247" t="e">
        <f t="shared" si="122"/>
        <v>#DIV/0!</v>
      </c>
      <c r="O175" s="57"/>
      <c r="P175" s="57"/>
      <c r="Q175" s="247" t="e">
        <f t="shared" si="123"/>
        <v>#DIV/0!</v>
      </c>
      <c r="R175" s="57"/>
      <c r="S175" s="57"/>
      <c r="T175" s="247" t="e">
        <f t="shared" si="115"/>
        <v>#DIV/0!</v>
      </c>
      <c r="U175" s="57"/>
      <c r="V175" s="57"/>
      <c r="W175" s="247" t="e">
        <f t="shared" si="111"/>
        <v>#DIV/0!</v>
      </c>
      <c r="X175" s="57"/>
      <c r="Y175" s="57"/>
      <c r="Z175" s="247" t="e">
        <f t="shared" si="116"/>
        <v>#DIV/0!</v>
      </c>
      <c r="AA175" s="57"/>
      <c r="AB175" s="57"/>
      <c r="AC175" s="247" t="e">
        <f t="shared" si="117"/>
        <v>#DIV/0!</v>
      </c>
      <c r="AD175" s="57"/>
      <c r="AE175" s="57"/>
      <c r="AF175" s="57" t="e">
        <f t="shared" si="118"/>
        <v>#DIV/0!</v>
      </c>
      <c r="AG175" s="57"/>
      <c r="AH175" s="57"/>
      <c r="AI175" s="57" t="e">
        <f t="shared" si="119"/>
        <v>#DIV/0!</v>
      </c>
      <c r="AJ175" s="57"/>
      <c r="AK175" s="57"/>
      <c r="AL175" s="57" t="e">
        <f t="shared" si="120"/>
        <v>#DIV/0!</v>
      </c>
      <c r="AM175" s="57"/>
      <c r="AN175" s="57"/>
      <c r="AO175" s="57" t="e">
        <f t="shared" si="121"/>
        <v>#DIV/0!</v>
      </c>
      <c r="AP175" s="251">
        <f t="shared" si="133"/>
        <v>0</v>
      </c>
      <c r="AQ175" s="251">
        <f t="shared" si="134"/>
        <v>0</v>
      </c>
      <c r="AR175" s="252" t="e">
        <f t="shared" si="135"/>
        <v>#DIV/0!</v>
      </c>
    </row>
    <row r="176" spans="1:44" x14ac:dyDescent="0.25">
      <c r="A176" s="352" t="s">
        <v>815</v>
      </c>
      <c r="B176" s="353">
        <v>0.09</v>
      </c>
      <c r="C176" s="353">
        <f t="shared" si="127"/>
        <v>4.4999999999999998E-2</v>
      </c>
      <c r="D176" s="361" t="e">
        <f t="shared" si="129"/>
        <v>#DIV/0!</v>
      </c>
      <c r="E176" s="365" t="e">
        <f t="shared" si="136"/>
        <v>#DIV/0!</v>
      </c>
      <c r="F176" s="106"/>
      <c r="G176" s="304"/>
      <c r="H176" s="303" t="e">
        <f t="shared" si="137"/>
        <v>#DIV/0!</v>
      </c>
      <c r="I176" s="246"/>
      <c r="J176" s="57"/>
      <c r="K176" s="247" t="e">
        <f t="shared" si="132"/>
        <v>#DIV/0!</v>
      </c>
      <c r="L176" s="57"/>
      <c r="M176" s="57"/>
      <c r="N176" s="247" t="e">
        <f t="shared" si="122"/>
        <v>#DIV/0!</v>
      </c>
      <c r="O176" s="57"/>
      <c r="P176" s="57"/>
      <c r="Q176" s="247" t="e">
        <f t="shared" si="123"/>
        <v>#DIV/0!</v>
      </c>
      <c r="R176" s="57"/>
      <c r="S176" s="57"/>
      <c r="T176" s="247" t="e">
        <f t="shared" si="115"/>
        <v>#DIV/0!</v>
      </c>
      <c r="U176" s="57"/>
      <c r="V176" s="57"/>
      <c r="W176" s="247" t="e">
        <f>V176/U176</f>
        <v>#DIV/0!</v>
      </c>
      <c r="X176" s="57"/>
      <c r="Y176" s="57"/>
      <c r="Z176" s="247" t="e">
        <f t="shared" si="116"/>
        <v>#DIV/0!</v>
      </c>
      <c r="AA176" s="57"/>
      <c r="AB176" s="57"/>
      <c r="AC176" s="247" t="e">
        <f t="shared" si="117"/>
        <v>#DIV/0!</v>
      </c>
      <c r="AD176" s="57"/>
      <c r="AE176" s="57"/>
      <c r="AF176" s="57" t="e">
        <f t="shared" si="118"/>
        <v>#DIV/0!</v>
      </c>
      <c r="AG176" s="57"/>
      <c r="AH176" s="57"/>
      <c r="AI176" s="57" t="e">
        <f t="shared" si="119"/>
        <v>#DIV/0!</v>
      </c>
      <c r="AJ176" s="57"/>
      <c r="AK176" s="57"/>
      <c r="AL176" s="57" t="e">
        <f t="shared" si="120"/>
        <v>#DIV/0!</v>
      </c>
      <c r="AM176" s="57"/>
      <c r="AN176" s="57"/>
      <c r="AO176" s="57" t="e">
        <f t="shared" si="121"/>
        <v>#DIV/0!</v>
      </c>
      <c r="AP176" s="251">
        <f t="shared" si="133"/>
        <v>0</v>
      </c>
      <c r="AQ176" s="251">
        <f t="shared" si="134"/>
        <v>0</v>
      </c>
      <c r="AR176" s="252" t="e">
        <f t="shared" si="135"/>
        <v>#DIV/0!</v>
      </c>
    </row>
    <row r="177" spans="1:44" x14ac:dyDescent="0.25">
      <c r="A177" s="330" t="s">
        <v>1080</v>
      </c>
      <c r="B177" s="332">
        <v>0.15</v>
      </c>
      <c r="C177" s="332">
        <f t="shared" si="127"/>
        <v>7.4999999999999997E-2</v>
      </c>
      <c r="D177" s="329">
        <f t="shared" si="129"/>
        <v>0.33333333333333331</v>
      </c>
      <c r="E177" s="366">
        <f t="shared" si="136"/>
        <v>0.22500000000000001</v>
      </c>
      <c r="F177" s="106">
        <v>1</v>
      </c>
      <c r="G177" s="304"/>
      <c r="H177" s="303">
        <f t="shared" si="137"/>
        <v>0</v>
      </c>
      <c r="I177" s="246"/>
      <c r="J177" s="57">
        <v>1</v>
      </c>
      <c r="K177" s="247" t="e">
        <f t="shared" si="132"/>
        <v>#DIV/0!</v>
      </c>
      <c r="L177" s="57">
        <v>2</v>
      </c>
      <c r="M177" s="57"/>
      <c r="N177" s="247">
        <f t="shared" si="122"/>
        <v>0</v>
      </c>
      <c r="O177" s="57"/>
      <c r="P177" s="57"/>
      <c r="Q177" s="247" t="e">
        <f t="shared" si="123"/>
        <v>#DIV/0!</v>
      </c>
      <c r="R177" s="57"/>
      <c r="S177" s="57"/>
      <c r="T177" s="247" t="e">
        <f t="shared" si="115"/>
        <v>#DIV/0!</v>
      </c>
      <c r="U177" s="57"/>
      <c r="V177" s="57"/>
      <c r="W177" s="247" t="e">
        <f>V177/U177</f>
        <v>#DIV/0!</v>
      </c>
      <c r="X177" s="57"/>
      <c r="Y177" s="57"/>
      <c r="Z177" s="247" t="e">
        <f t="shared" si="116"/>
        <v>#DIV/0!</v>
      </c>
      <c r="AA177" s="57"/>
      <c r="AB177" s="57"/>
      <c r="AC177" s="247" t="e">
        <f t="shared" si="117"/>
        <v>#DIV/0!</v>
      </c>
      <c r="AD177" s="57"/>
      <c r="AE177" s="57"/>
      <c r="AF177" s="57" t="e">
        <f t="shared" si="118"/>
        <v>#DIV/0!</v>
      </c>
      <c r="AG177" s="57"/>
      <c r="AH177" s="57"/>
      <c r="AI177" s="57" t="e">
        <f t="shared" si="119"/>
        <v>#DIV/0!</v>
      </c>
      <c r="AJ177" s="57"/>
      <c r="AK177" s="57"/>
      <c r="AL177" s="57" t="e">
        <f t="shared" si="120"/>
        <v>#DIV/0!</v>
      </c>
      <c r="AM177" s="57"/>
      <c r="AN177" s="57"/>
      <c r="AO177" s="57" t="e">
        <f t="shared" si="121"/>
        <v>#DIV/0!</v>
      </c>
      <c r="AP177" s="251">
        <f t="shared" si="133"/>
        <v>3</v>
      </c>
      <c r="AQ177" s="251">
        <f t="shared" si="134"/>
        <v>1</v>
      </c>
      <c r="AR177" s="252">
        <f t="shared" si="135"/>
        <v>0.33333333333333331</v>
      </c>
    </row>
    <row r="178" spans="1:44" x14ac:dyDescent="0.25">
      <c r="A178" s="330" t="s">
        <v>1071</v>
      </c>
      <c r="B178" s="332">
        <v>0</v>
      </c>
      <c r="C178" s="332">
        <f t="shared" si="127"/>
        <v>0</v>
      </c>
      <c r="D178" s="329" t="e">
        <f t="shared" si="129"/>
        <v>#DIV/0!</v>
      </c>
      <c r="E178" s="381" t="e">
        <f t="shared" si="136"/>
        <v>#DIV/0!</v>
      </c>
      <c r="F178" s="106"/>
      <c r="G178" s="304"/>
      <c r="H178" s="303" t="e">
        <f t="shared" si="137"/>
        <v>#DIV/0!</v>
      </c>
      <c r="I178" s="246"/>
      <c r="J178" s="57"/>
      <c r="K178" s="247" t="e">
        <f t="shared" si="132"/>
        <v>#DIV/0!</v>
      </c>
      <c r="L178" s="57"/>
      <c r="M178" s="57"/>
      <c r="N178" s="247" t="e">
        <f t="shared" si="122"/>
        <v>#DIV/0!</v>
      </c>
      <c r="O178" s="57"/>
      <c r="P178" s="57"/>
      <c r="Q178" s="247" t="e">
        <f t="shared" si="123"/>
        <v>#DIV/0!</v>
      </c>
      <c r="R178" s="57"/>
      <c r="S178" s="57"/>
      <c r="T178" s="247" t="e">
        <f t="shared" si="115"/>
        <v>#DIV/0!</v>
      </c>
      <c r="U178" s="57"/>
      <c r="V178" s="57"/>
      <c r="W178" s="247" t="e">
        <f>V178/U178</f>
        <v>#DIV/0!</v>
      </c>
      <c r="X178" s="57"/>
      <c r="Y178" s="57"/>
      <c r="Z178" s="247" t="e">
        <f t="shared" si="116"/>
        <v>#DIV/0!</v>
      </c>
      <c r="AA178" s="57"/>
      <c r="AB178" s="57"/>
      <c r="AC178" s="247" t="e">
        <f t="shared" si="117"/>
        <v>#DIV/0!</v>
      </c>
      <c r="AD178" s="57"/>
      <c r="AE178" s="57"/>
      <c r="AF178" s="57" t="e">
        <f t="shared" si="118"/>
        <v>#DIV/0!</v>
      </c>
      <c r="AG178" s="57"/>
      <c r="AH178" s="57"/>
      <c r="AI178" s="57" t="e">
        <f t="shared" si="119"/>
        <v>#DIV/0!</v>
      </c>
      <c r="AJ178" s="57"/>
      <c r="AK178" s="57"/>
      <c r="AL178" s="57" t="e">
        <f t="shared" si="120"/>
        <v>#DIV/0!</v>
      </c>
      <c r="AM178" s="57"/>
      <c r="AN178" s="57"/>
      <c r="AO178" s="57" t="e">
        <f t="shared" si="121"/>
        <v>#DIV/0!</v>
      </c>
      <c r="AP178" s="251">
        <f t="shared" si="133"/>
        <v>0</v>
      </c>
      <c r="AQ178" s="251">
        <f t="shared" si="134"/>
        <v>0</v>
      </c>
      <c r="AR178" s="252" t="e">
        <f t="shared" si="135"/>
        <v>#DIV/0!</v>
      </c>
    </row>
    <row r="179" spans="1:44" ht="24.75" customHeight="1" x14ac:dyDescent="0.25">
      <c r="A179" s="615" t="s">
        <v>1215</v>
      </c>
      <c r="B179" s="57"/>
      <c r="C179" s="57"/>
      <c r="D179" s="329">
        <f>AR179</f>
        <v>0.10526315789473684</v>
      </c>
      <c r="E179" s="57"/>
      <c r="F179" s="382">
        <f>SUM(F100:F178)</f>
        <v>5</v>
      </c>
      <c r="G179" s="57">
        <f>SUM(G100:G178)</f>
        <v>0</v>
      </c>
      <c r="H179" s="57"/>
      <c r="I179" s="382">
        <f>SUM(I100:I178)</f>
        <v>11</v>
      </c>
      <c r="J179" s="257">
        <f>SUM(J100:J178)</f>
        <v>3</v>
      </c>
      <c r="K179" s="57"/>
      <c r="L179" s="57">
        <f>SUM(L100:L178)</f>
        <v>11</v>
      </c>
      <c r="M179" s="57">
        <f>SUM(M100:M178)</f>
        <v>0</v>
      </c>
      <c r="N179" s="57"/>
      <c r="O179" s="57">
        <f>SUM(O100:O178)</f>
        <v>11</v>
      </c>
      <c r="P179" s="57">
        <f>SUM(P100:P178)</f>
        <v>1</v>
      </c>
      <c r="Q179" s="57"/>
      <c r="R179" s="57">
        <f>SUM(R100:R178)</f>
        <v>0</v>
      </c>
      <c r="S179" s="57">
        <f>SUM(S100:S178)</f>
        <v>0</v>
      </c>
      <c r="T179" s="57"/>
      <c r="U179" s="57">
        <f>SUM(U100:U178)</f>
        <v>0</v>
      </c>
      <c r="V179" s="57">
        <f>SUM(V100:V178)</f>
        <v>0</v>
      </c>
      <c r="W179" s="57"/>
      <c r="X179" s="57">
        <f>SUM(X100:X178)</f>
        <v>0</v>
      </c>
      <c r="Y179" s="57">
        <f>SUM(Y100:Y178)</f>
        <v>0</v>
      </c>
      <c r="Z179" s="57"/>
      <c r="AA179" s="57">
        <f>SUM(AA100:AA178)</f>
        <v>0</v>
      </c>
      <c r="AB179" s="57">
        <f>SUM(AB100:AB178)</f>
        <v>0</v>
      </c>
      <c r="AC179" s="57"/>
      <c r="AD179" s="57">
        <f>SUM(AD100:AD178)</f>
        <v>0</v>
      </c>
      <c r="AE179" s="57">
        <f>SUM(AE100:AE178)</f>
        <v>0</v>
      </c>
      <c r="AF179" s="57"/>
      <c r="AG179" s="57">
        <f>SUM(AG100:AG178)</f>
        <v>0</v>
      </c>
      <c r="AH179" s="57">
        <f>SUM(AH100:AH178)</f>
        <v>0</v>
      </c>
      <c r="AI179" s="57"/>
      <c r="AJ179" s="57">
        <f>SUM(AJ100:AJ178)</f>
        <v>0</v>
      </c>
      <c r="AK179" s="57">
        <f>SUM(AK74:AK178)</f>
        <v>0</v>
      </c>
      <c r="AL179" s="57"/>
      <c r="AM179" s="57">
        <f>SUM(AM100:AM178)</f>
        <v>0</v>
      </c>
      <c r="AN179" s="57">
        <f>SUM(AN74:AN178)</f>
        <v>0</v>
      </c>
      <c r="AO179" s="57"/>
      <c r="AP179" s="574">
        <f>SUM(AP100:AP178)</f>
        <v>38</v>
      </c>
      <c r="AQ179" s="574">
        <f>SUM(AQ100:AQ178)</f>
        <v>4</v>
      </c>
      <c r="AR179" s="575">
        <f>AQ179/AP179</f>
        <v>0.10526315789473684</v>
      </c>
    </row>
  </sheetData>
  <sheetProtection selectLockedCells="1" selectUnlockedCells="1"/>
  <mergeCells count="51">
    <mergeCell ref="C98:C99"/>
    <mergeCell ref="D98:D99"/>
    <mergeCell ref="E98:E99"/>
    <mergeCell ref="C1:C2"/>
    <mergeCell ref="D1:D2"/>
    <mergeCell ref="E1:E2"/>
    <mergeCell ref="C15:C16"/>
    <mergeCell ref="D15:D16"/>
    <mergeCell ref="E15:E16"/>
    <mergeCell ref="B15:B16"/>
    <mergeCell ref="F15:H15"/>
    <mergeCell ref="I15:K15"/>
    <mergeCell ref="L15:N15"/>
    <mergeCell ref="O15:Q15"/>
    <mergeCell ref="B98:B99"/>
    <mergeCell ref="F98:H98"/>
    <mergeCell ref="I98:K98"/>
    <mergeCell ref="L98:N98"/>
    <mergeCell ref="O98:Q98"/>
    <mergeCell ref="R98:T98"/>
    <mergeCell ref="U98:W98"/>
    <mergeCell ref="X98:Z98"/>
    <mergeCell ref="AA98:AC98"/>
    <mergeCell ref="AD98:AF98"/>
    <mergeCell ref="AG98:AI98"/>
    <mergeCell ref="AJ98:AL98"/>
    <mergeCell ref="AM98:AO98"/>
    <mergeCell ref="AP98:AR98"/>
    <mergeCell ref="AM15:AO15"/>
    <mergeCell ref="AP15:AR15"/>
    <mergeCell ref="AD15:AF15"/>
    <mergeCell ref="B1:B2"/>
    <mergeCell ref="AP1:AR1"/>
    <mergeCell ref="AM1:AO1"/>
    <mergeCell ref="F1:H1"/>
    <mergeCell ref="I1:K1"/>
    <mergeCell ref="L1:N1"/>
    <mergeCell ref="O1:Q1"/>
    <mergeCell ref="R1:T1"/>
    <mergeCell ref="U1:W1"/>
    <mergeCell ref="X1:Z1"/>
    <mergeCell ref="R15:T15"/>
    <mergeCell ref="U15:W15"/>
    <mergeCell ref="X15:Z15"/>
    <mergeCell ref="AA15:AC15"/>
    <mergeCell ref="AG1:AI1"/>
    <mergeCell ref="AJ1:AL1"/>
    <mergeCell ref="AG15:AI15"/>
    <mergeCell ref="AJ15:AL15"/>
    <mergeCell ref="AA1:AC1"/>
    <mergeCell ref="AD1:AF1"/>
  </mergeCells>
  <pageMargins left="0.39370078740157483" right="0.39370078740157483" top="0.39370078740157483" bottom="0.39370078740157483" header="0.51181102362204722" footer="0.51181102362204722"/>
  <pageSetup paperSize="9" scale="27" firstPageNumber="0" fitToHeight="0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9">
    <tabColor indexed="50"/>
  </sheetPr>
  <dimension ref="A1:S39"/>
  <sheetViews>
    <sheetView zoomScale="80" zoomScaleNormal="80" workbookViewId="0">
      <pane xSplit="3" ySplit="2" topLeftCell="D3" activePane="bottomRight" state="frozen"/>
      <selection activeCell="U235" sqref="U235"/>
      <selection pane="topRight" activeCell="U235" sqref="U235"/>
      <selection pane="bottomLeft" activeCell="U235" sqref="U235"/>
      <selection pane="bottomRight" activeCell="G19" sqref="G19"/>
    </sheetView>
  </sheetViews>
  <sheetFormatPr defaultRowHeight="15" x14ac:dyDescent="0.25"/>
  <cols>
    <col min="1" max="1" width="15.42578125" style="61" customWidth="1"/>
    <col min="2" max="2" width="15.140625" style="61" customWidth="1"/>
    <col min="3" max="5" width="32.7109375" style="61" customWidth="1"/>
    <col min="6" max="6" width="17.28515625" style="61" customWidth="1"/>
    <col min="7" max="7" width="16.28515625" style="132" customWidth="1"/>
    <col min="8" max="8" width="30.7109375" style="132" customWidth="1"/>
    <col min="9" max="9" width="16.28515625" style="61" customWidth="1"/>
    <col min="10" max="10" width="15.140625" style="132" customWidth="1"/>
    <col min="11" max="12" width="12.7109375" style="133" customWidth="1"/>
    <col min="13" max="13" width="17" style="132" customWidth="1"/>
    <col min="14" max="14" width="21.85546875" style="61" customWidth="1"/>
    <col min="15" max="15" width="18.5703125" style="61" customWidth="1"/>
    <col min="16" max="16" width="16.28515625" style="132" customWidth="1"/>
    <col min="17" max="19" width="19.5703125" style="61" customWidth="1"/>
    <col min="20" max="16384" width="9.140625" style="61"/>
  </cols>
  <sheetData>
    <row r="1" spans="1:19" s="128" customFormat="1" ht="45.6" customHeight="1" x14ac:dyDescent="0.25">
      <c r="A1" s="143" t="s">
        <v>34</v>
      </c>
      <c r="B1" s="143" t="s">
        <v>34</v>
      </c>
      <c r="C1" s="69"/>
      <c r="D1" s="125"/>
      <c r="E1" s="70"/>
      <c r="F1" s="143" t="s">
        <v>34</v>
      </c>
      <c r="G1" s="143" t="s">
        <v>34</v>
      </c>
      <c r="H1" s="126"/>
      <c r="I1" s="143" t="s">
        <v>34</v>
      </c>
      <c r="J1" s="143" t="s">
        <v>34</v>
      </c>
      <c r="K1" s="127"/>
      <c r="L1" s="127"/>
      <c r="M1" s="126"/>
      <c r="N1" s="70"/>
      <c r="O1" s="70"/>
      <c r="P1" s="126"/>
      <c r="Q1" s="70"/>
      <c r="R1" s="70"/>
      <c r="S1" s="70"/>
    </row>
    <row r="2" spans="1:19" s="129" customFormat="1" ht="41.25" customHeight="1" x14ac:dyDescent="0.25">
      <c r="A2" s="68" t="s">
        <v>444</v>
      </c>
      <c r="B2" s="68" t="s">
        <v>667</v>
      </c>
      <c r="C2" s="68" t="s">
        <v>18</v>
      </c>
      <c r="D2" s="68" t="s">
        <v>26</v>
      </c>
      <c r="E2" s="68" t="s">
        <v>28</v>
      </c>
      <c r="F2" s="142" t="s">
        <v>696</v>
      </c>
      <c r="G2" s="68" t="s">
        <v>246</v>
      </c>
      <c r="H2" s="68" t="s">
        <v>454</v>
      </c>
      <c r="I2" s="68" t="s">
        <v>247</v>
      </c>
      <c r="J2" s="68" t="s">
        <v>455</v>
      </c>
      <c r="K2" s="68" t="s">
        <v>456</v>
      </c>
      <c r="L2" s="68" t="s">
        <v>457</v>
      </c>
      <c r="M2" s="68" t="s">
        <v>527</v>
      </c>
      <c r="N2" s="68" t="s">
        <v>458</v>
      </c>
      <c r="O2" s="68" t="s">
        <v>523</v>
      </c>
      <c r="P2" s="142" t="s">
        <v>715</v>
      </c>
      <c r="Q2" s="68" t="s">
        <v>459</v>
      </c>
      <c r="R2" s="68" t="s">
        <v>521</v>
      </c>
      <c r="S2" s="68" t="s">
        <v>446</v>
      </c>
    </row>
    <row r="3" spans="1:19" s="60" customFormat="1" ht="20.45" customHeight="1" x14ac:dyDescent="0.25">
      <c r="A3" s="157"/>
      <c r="C3" s="157"/>
      <c r="D3" s="157"/>
      <c r="E3" s="157"/>
      <c r="F3" s="114"/>
      <c r="G3" s="107"/>
      <c r="H3" s="158"/>
      <c r="I3" s="160"/>
      <c r="J3" s="130"/>
      <c r="K3" s="161"/>
      <c r="L3" s="161"/>
      <c r="M3" s="131"/>
      <c r="N3" s="131"/>
      <c r="O3" s="131"/>
      <c r="P3" s="131"/>
      <c r="R3" s="159" t="s">
        <v>443</v>
      </c>
    </row>
    <row r="4" spans="1:19" s="60" customFormat="1" ht="20.45" customHeight="1" x14ac:dyDescent="0.25">
      <c r="A4" s="157"/>
      <c r="C4" s="157"/>
      <c r="D4" s="157"/>
      <c r="E4" s="157"/>
      <c r="F4" s="114"/>
      <c r="G4" s="107"/>
      <c r="H4" s="158"/>
      <c r="I4" s="160"/>
      <c r="J4" s="130"/>
      <c r="K4" s="161"/>
      <c r="L4" s="161"/>
      <c r="M4" s="131"/>
      <c r="N4" s="131"/>
      <c r="O4" s="131"/>
      <c r="P4" s="131"/>
      <c r="R4" s="159" t="s">
        <v>443</v>
      </c>
    </row>
    <row r="5" spans="1:19" s="60" customFormat="1" ht="20.45" customHeight="1" x14ac:dyDescent="0.25">
      <c r="A5" s="157"/>
      <c r="C5" s="157"/>
      <c r="D5" s="157"/>
      <c r="E5" s="157"/>
      <c r="F5" s="114"/>
      <c r="G5" s="107"/>
      <c r="H5" s="158"/>
      <c r="I5" s="160"/>
      <c r="J5" s="130"/>
      <c r="K5" s="161"/>
      <c r="L5" s="161"/>
      <c r="M5" s="131"/>
      <c r="N5" s="131"/>
      <c r="O5" s="131"/>
      <c r="P5" s="131"/>
      <c r="R5" s="159" t="s">
        <v>443</v>
      </c>
    </row>
    <row r="6" spans="1:19" s="60" customFormat="1" ht="20.45" customHeight="1" x14ac:dyDescent="0.25">
      <c r="A6" s="157"/>
      <c r="C6" s="157"/>
      <c r="D6" s="157"/>
      <c r="E6" s="157"/>
      <c r="F6" s="114"/>
      <c r="G6" s="107"/>
      <c r="H6" s="158"/>
      <c r="I6" s="160"/>
      <c r="J6" s="130"/>
      <c r="K6" s="161"/>
      <c r="L6" s="161"/>
      <c r="M6" s="131"/>
      <c r="N6" s="131"/>
      <c r="O6" s="131"/>
      <c r="P6" s="131"/>
      <c r="R6" s="159" t="s">
        <v>443</v>
      </c>
    </row>
    <row r="7" spans="1:19" s="60" customFormat="1" ht="20.45" customHeight="1" x14ac:dyDescent="0.25">
      <c r="A7" s="157"/>
      <c r="C7" s="157"/>
      <c r="D7" s="157"/>
      <c r="E7" s="157"/>
      <c r="F7" s="114"/>
      <c r="G7" s="107"/>
      <c r="H7" s="158"/>
      <c r="I7" s="160"/>
      <c r="J7" s="130"/>
      <c r="K7" s="161"/>
      <c r="L7" s="161"/>
      <c r="M7" s="131"/>
      <c r="N7" s="131"/>
      <c r="O7" s="131"/>
      <c r="P7" s="131"/>
      <c r="R7" s="159" t="s">
        <v>443</v>
      </c>
    </row>
    <row r="8" spans="1:19" s="60" customFormat="1" ht="20.45" customHeight="1" x14ac:dyDescent="0.25">
      <c r="A8" s="157"/>
      <c r="C8" s="157"/>
      <c r="D8" s="157"/>
      <c r="E8" s="157"/>
      <c r="F8" s="114"/>
      <c r="G8" s="107"/>
      <c r="H8" s="158"/>
      <c r="I8" s="160"/>
      <c r="J8" s="130"/>
      <c r="K8" s="161"/>
      <c r="L8" s="161"/>
      <c r="M8" s="131"/>
      <c r="N8" s="131"/>
      <c r="O8" s="131"/>
      <c r="P8" s="131"/>
      <c r="R8" s="159" t="s">
        <v>443</v>
      </c>
    </row>
    <row r="9" spans="1:19" s="60" customFormat="1" ht="20.45" customHeight="1" x14ac:dyDescent="0.25">
      <c r="A9" s="157"/>
      <c r="C9" s="157"/>
      <c r="D9" s="157"/>
      <c r="E9" s="157"/>
      <c r="F9" s="114"/>
      <c r="G9" s="107"/>
      <c r="H9" s="158"/>
      <c r="I9" s="160"/>
      <c r="J9" s="130"/>
      <c r="K9" s="161"/>
      <c r="L9" s="161"/>
      <c r="M9" s="131"/>
      <c r="N9" s="131"/>
      <c r="O9" s="131"/>
      <c r="P9" s="131"/>
      <c r="R9" s="159" t="s">
        <v>443</v>
      </c>
    </row>
    <row r="10" spans="1:19" s="60" customFormat="1" ht="20.45" customHeight="1" x14ac:dyDescent="0.25">
      <c r="A10" s="157"/>
      <c r="C10" s="157"/>
      <c r="D10" s="157"/>
      <c r="E10" s="157"/>
      <c r="F10" s="114"/>
      <c r="G10" s="107"/>
      <c r="H10" s="158"/>
      <c r="I10" s="160"/>
      <c r="J10" s="130"/>
      <c r="K10" s="161"/>
      <c r="L10" s="161"/>
      <c r="M10" s="131"/>
      <c r="N10" s="131"/>
      <c r="O10" s="131"/>
      <c r="P10" s="131"/>
      <c r="R10" s="159" t="s">
        <v>443</v>
      </c>
    </row>
    <row r="11" spans="1:19" s="60" customFormat="1" ht="20.45" customHeight="1" x14ac:dyDescent="0.25">
      <c r="A11" s="157"/>
      <c r="C11" s="157"/>
      <c r="D11" s="157"/>
      <c r="E11" s="157"/>
      <c r="F11" s="114"/>
      <c r="G11" s="107"/>
      <c r="H11" s="158"/>
      <c r="I11" s="160"/>
      <c r="J11" s="130"/>
      <c r="K11" s="161"/>
      <c r="L11" s="161"/>
      <c r="M11" s="131"/>
      <c r="N11" s="131"/>
      <c r="O11" s="131"/>
      <c r="P11" s="131"/>
      <c r="R11" s="159" t="s">
        <v>443</v>
      </c>
    </row>
    <row r="12" spans="1:19" s="60" customFormat="1" ht="20.45" customHeight="1" x14ac:dyDescent="0.25">
      <c r="A12" s="157"/>
      <c r="C12" s="157"/>
      <c r="D12" s="157"/>
      <c r="E12" s="157"/>
      <c r="F12" s="114"/>
      <c r="G12" s="107"/>
      <c r="H12" s="158"/>
      <c r="I12" s="160"/>
      <c r="J12" s="130"/>
      <c r="K12" s="161"/>
      <c r="L12" s="161"/>
      <c r="M12" s="131"/>
      <c r="N12" s="131"/>
      <c r="O12" s="131"/>
      <c r="P12" s="131"/>
      <c r="R12" s="159" t="s">
        <v>443</v>
      </c>
    </row>
    <row r="13" spans="1:19" s="60" customFormat="1" ht="20.45" customHeight="1" x14ac:dyDescent="0.25">
      <c r="A13" s="157"/>
      <c r="C13" s="157"/>
      <c r="D13" s="157"/>
      <c r="E13" s="157"/>
      <c r="F13" s="114"/>
      <c r="G13" s="107"/>
      <c r="H13" s="158"/>
      <c r="I13" s="160"/>
      <c r="J13" s="130"/>
      <c r="K13" s="161"/>
      <c r="L13" s="161"/>
      <c r="M13" s="131"/>
      <c r="N13" s="131"/>
      <c r="O13" s="131"/>
      <c r="P13" s="131"/>
      <c r="R13" s="159" t="s">
        <v>443</v>
      </c>
    </row>
    <row r="14" spans="1:19" s="60" customFormat="1" ht="20.45" customHeight="1" x14ac:dyDescent="0.25">
      <c r="A14" s="157"/>
      <c r="C14" s="157"/>
      <c r="D14" s="157"/>
      <c r="E14" s="157"/>
      <c r="F14" s="114"/>
      <c r="G14" s="107"/>
      <c r="H14" s="158"/>
      <c r="I14" s="160"/>
      <c r="J14" s="130"/>
      <c r="K14" s="161"/>
      <c r="L14" s="161"/>
      <c r="M14" s="131"/>
      <c r="N14" s="131"/>
      <c r="O14" s="131"/>
      <c r="P14" s="131"/>
      <c r="R14" s="159" t="s">
        <v>443</v>
      </c>
    </row>
    <row r="15" spans="1:19" s="60" customFormat="1" ht="20.45" customHeight="1" x14ac:dyDescent="0.25">
      <c r="A15" s="157"/>
      <c r="C15" s="157"/>
      <c r="D15" s="157"/>
      <c r="E15" s="157"/>
      <c r="F15" s="114"/>
      <c r="G15" s="107"/>
      <c r="H15" s="158"/>
      <c r="I15" s="160"/>
      <c r="J15" s="130"/>
      <c r="K15" s="161"/>
      <c r="L15" s="161"/>
      <c r="M15" s="131"/>
      <c r="N15" s="131"/>
      <c r="O15" s="131"/>
      <c r="P15" s="131"/>
      <c r="R15" s="159" t="s">
        <v>443</v>
      </c>
    </row>
    <row r="16" spans="1:19" s="60" customFormat="1" ht="20.45" customHeight="1" x14ac:dyDescent="0.25">
      <c r="A16" s="157"/>
      <c r="C16" s="157"/>
      <c r="D16" s="157"/>
      <c r="E16" s="157"/>
      <c r="F16" s="114"/>
      <c r="G16" s="107"/>
      <c r="H16" s="158"/>
      <c r="I16" s="160"/>
      <c r="J16" s="119"/>
      <c r="K16" s="161"/>
      <c r="L16" s="161"/>
      <c r="M16" s="131"/>
      <c r="N16" s="131"/>
      <c r="O16" s="131"/>
      <c r="P16" s="131"/>
      <c r="R16" s="159" t="s">
        <v>443</v>
      </c>
    </row>
    <row r="17" spans="1:18" s="60" customFormat="1" ht="20.45" customHeight="1" x14ac:dyDescent="0.25">
      <c r="A17" s="157"/>
      <c r="C17" s="157"/>
      <c r="D17" s="157"/>
      <c r="E17" s="157"/>
      <c r="F17" s="114"/>
      <c r="G17" s="107"/>
      <c r="H17" s="158"/>
      <c r="I17" s="160"/>
      <c r="J17" s="119"/>
      <c r="K17" s="161"/>
      <c r="L17" s="161"/>
      <c r="M17" s="131"/>
      <c r="N17" s="131"/>
      <c r="O17" s="131"/>
      <c r="P17" s="131"/>
      <c r="R17" s="159" t="s">
        <v>443</v>
      </c>
    </row>
    <row r="18" spans="1:18" s="60" customFormat="1" ht="20.45" customHeight="1" x14ac:dyDescent="0.25">
      <c r="A18" s="157"/>
      <c r="C18" s="157"/>
      <c r="D18" s="157"/>
      <c r="E18" s="157"/>
      <c r="F18" s="114"/>
      <c r="G18" s="107"/>
      <c r="H18" s="158"/>
      <c r="I18" s="160"/>
      <c r="J18" s="119"/>
      <c r="K18" s="161"/>
      <c r="L18" s="161"/>
      <c r="M18" s="131"/>
      <c r="N18" s="131"/>
      <c r="O18" s="131"/>
      <c r="P18" s="131"/>
      <c r="R18" s="159" t="s">
        <v>443</v>
      </c>
    </row>
    <row r="19" spans="1:18" s="60" customFormat="1" ht="20.45" customHeight="1" x14ac:dyDescent="0.25">
      <c r="A19" s="157"/>
      <c r="C19" s="157"/>
      <c r="D19" s="157"/>
      <c r="E19" s="157"/>
      <c r="F19" s="114"/>
      <c r="G19" s="107"/>
      <c r="H19" s="158"/>
      <c r="I19" s="160"/>
      <c r="J19" s="119"/>
      <c r="K19" s="161"/>
      <c r="L19" s="161"/>
      <c r="M19" s="131"/>
      <c r="N19" s="131"/>
      <c r="O19" s="131"/>
      <c r="P19" s="131"/>
      <c r="R19" s="159" t="s">
        <v>443</v>
      </c>
    </row>
    <row r="20" spans="1:18" s="60" customFormat="1" ht="20.45" customHeight="1" x14ac:dyDescent="0.25">
      <c r="A20" s="157"/>
      <c r="C20" s="157"/>
      <c r="D20" s="157"/>
      <c r="E20" s="157"/>
      <c r="F20" s="114"/>
      <c r="G20" s="107"/>
      <c r="H20" s="158"/>
      <c r="I20" s="160"/>
      <c r="J20" s="119"/>
      <c r="K20" s="161"/>
      <c r="L20" s="161"/>
      <c r="M20" s="131"/>
      <c r="N20" s="131"/>
      <c r="O20" s="131"/>
      <c r="P20" s="131"/>
      <c r="R20" s="159" t="s">
        <v>443</v>
      </c>
    </row>
    <row r="21" spans="1:18" s="60" customFormat="1" ht="20.45" customHeight="1" x14ac:dyDescent="0.25">
      <c r="A21" s="157"/>
      <c r="C21" s="157"/>
      <c r="D21" s="157"/>
      <c r="E21" s="157"/>
      <c r="F21" s="114"/>
      <c r="G21" s="107"/>
      <c r="H21" s="158"/>
      <c r="I21" s="160"/>
      <c r="J21" s="119"/>
      <c r="K21" s="161"/>
      <c r="L21" s="161"/>
      <c r="M21" s="131"/>
      <c r="N21" s="131"/>
      <c r="O21" s="131"/>
      <c r="P21" s="131"/>
      <c r="R21" s="159" t="s">
        <v>443</v>
      </c>
    </row>
    <row r="22" spans="1:18" s="60" customFormat="1" ht="20.45" customHeight="1" x14ac:dyDescent="0.25">
      <c r="A22" s="157"/>
      <c r="C22" s="157"/>
      <c r="D22" s="157"/>
      <c r="E22" s="157"/>
      <c r="F22" s="114"/>
      <c r="G22" s="107"/>
      <c r="H22" s="158"/>
      <c r="I22" s="160"/>
      <c r="J22" s="119"/>
      <c r="K22" s="161"/>
      <c r="L22" s="161"/>
      <c r="M22" s="131"/>
      <c r="N22" s="131"/>
      <c r="O22" s="131"/>
      <c r="P22" s="131"/>
      <c r="R22" s="159" t="s">
        <v>443</v>
      </c>
    </row>
    <row r="23" spans="1:18" s="60" customFormat="1" ht="20.45" customHeight="1" x14ac:dyDescent="0.25">
      <c r="A23" s="157"/>
      <c r="C23" s="157"/>
      <c r="D23" s="157"/>
      <c r="E23" s="157"/>
      <c r="F23" s="114"/>
      <c r="G23" s="107"/>
      <c r="H23" s="158"/>
      <c r="I23" s="160"/>
      <c r="J23" s="119"/>
      <c r="K23" s="161"/>
      <c r="L23" s="161"/>
      <c r="M23" s="131"/>
      <c r="N23" s="131"/>
      <c r="O23" s="131"/>
      <c r="P23" s="131"/>
      <c r="R23" s="159" t="s">
        <v>443</v>
      </c>
    </row>
    <row r="24" spans="1:18" s="60" customFormat="1" ht="20.45" customHeight="1" x14ac:dyDescent="0.25">
      <c r="A24" s="157"/>
      <c r="C24" s="157"/>
      <c r="D24" s="157"/>
      <c r="E24" s="157"/>
      <c r="F24" s="114"/>
      <c r="G24" s="107"/>
      <c r="H24" s="158"/>
      <c r="I24" s="160"/>
      <c r="J24" s="119"/>
      <c r="K24" s="161"/>
      <c r="L24" s="161"/>
      <c r="M24" s="131"/>
      <c r="N24" s="131"/>
      <c r="O24" s="131"/>
      <c r="P24" s="131"/>
      <c r="R24" s="159" t="s">
        <v>443</v>
      </c>
    </row>
    <row r="25" spans="1:18" s="60" customFormat="1" ht="20.45" customHeight="1" x14ac:dyDescent="0.25">
      <c r="A25" s="157"/>
      <c r="C25" s="157"/>
      <c r="D25" s="157"/>
      <c r="E25" s="157"/>
      <c r="F25" s="114"/>
      <c r="G25" s="107"/>
      <c r="H25" s="158"/>
      <c r="I25" s="160"/>
      <c r="J25" s="119"/>
      <c r="K25" s="161"/>
      <c r="L25" s="161"/>
      <c r="M25" s="131"/>
      <c r="N25" s="131"/>
      <c r="O25" s="131"/>
      <c r="P25" s="131"/>
      <c r="R25" s="159" t="s">
        <v>443</v>
      </c>
    </row>
    <row r="26" spans="1:18" s="60" customFormat="1" ht="20.45" customHeight="1" x14ac:dyDescent="0.25">
      <c r="A26" s="157"/>
      <c r="C26" s="157"/>
      <c r="D26" s="157"/>
      <c r="E26" s="157"/>
      <c r="F26" s="114"/>
      <c r="G26" s="107"/>
      <c r="H26" s="158"/>
      <c r="I26" s="160"/>
      <c r="J26" s="119"/>
      <c r="K26" s="161"/>
      <c r="L26" s="161"/>
      <c r="M26" s="131"/>
      <c r="N26" s="131"/>
      <c r="O26" s="131"/>
      <c r="P26" s="131"/>
      <c r="R26" s="159" t="s">
        <v>443</v>
      </c>
    </row>
    <row r="27" spans="1:18" s="60" customFormat="1" ht="20.45" customHeight="1" x14ac:dyDescent="0.25">
      <c r="A27" s="157"/>
      <c r="C27" s="157"/>
      <c r="D27" s="157"/>
      <c r="E27" s="157"/>
      <c r="F27" s="114"/>
      <c r="G27" s="107"/>
      <c r="H27" s="158"/>
      <c r="I27" s="160"/>
      <c r="J27" s="119"/>
      <c r="K27" s="161"/>
      <c r="L27" s="161"/>
      <c r="M27" s="131"/>
      <c r="N27" s="131"/>
      <c r="O27" s="131"/>
      <c r="P27" s="131"/>
      <c r="R27" s="159" t="s">
        <v>443</v>
      </c>
    </row>
    <row r="28" spans="1:18" s="60" customFormat="1" ht="20.45" customHeight="1" x14ac:dyDescent="0.25">
      <c r="A28" s="157"/>
      <c r="C28" s="157"/>
      <c r="D28" s="157"/>
      <c r="E28" s="157"/>
      <c r="F28" s="114"/>
      <c r="G28" s="107"/>
      <c r="H28" s="158"/>
      <c r="I28" s="160"/>
      <c r="J28" s="119"/>
      <c r="K28" s="161"/>
      <c r="L28" s="161"/>
      <c r="M28" s="131"/>
      <c r="N28" s="131"/>
      <c r="O28" s="131"/>
      <c r="P28" s="131"/>
      <c r="R28" s="159" t="s">
        <v>443</v>
      </c>
    </row>
    <row r="29" spans="1:18" s="60" customFormat="1" ht="20.45" customHeight="1" x14ac:dyDescent="0.25">
      <c r="A29" s="157"/>
      <c r="C29" s="157"/>
      <c r="D29" s="157"/>
      <c r="E29" s="157"/>
      <c r="F29" s="114"/>
      <c r="G29" s="107"/>
      <c r="H29" s="158"/>
      <c r="I29" s="160"/>
      <c r="J29" s="119"/>
      <c r="K29" s="161"/>
      <c r="L29" s="161"/>
      <c r="M29" s="131"/>
      <c r="N29" s="131"/>
      <c r="O29" s="131"/>
      <c r="P29" s="131"/>
      <c r="R29" s="159" t="s">
        <v>443</v>
      </c>
    </row>
    <row r="30" spans="1:18" s="60" customFormat="1" ht="20.45" customHeight="1" x14ac:dyDescent="0.25">
      <c r="A30" s="157"/>
      <c r="C30" s="157"/>
      <c r="D30" s="157"/>
      <c r="E30" s="157"/>
      <c r="F30" s="114"/>
      <c r="G30" s="107"/>
      <c r="H30" s="158"/>
      <c r="I30" s="160"/>
      <c r="J30" s="119"/>
      <c r="K30" s="161"/>
      <c r="L30" s="161"/>
      <c r="M30" s="131"/>
      <c r="N30" s="131"/>
      <c r="O30" s="131"/>
      <c r="P30" s="131"/>
      <c r="R30" s="159" t="s">
        <v>443</v>
      </c>
    </row>
    <row r="31" spans="1:18" s="60" customFormat="1" ht="20.45" customHeight="1" x14ac:dyDescent="0.25">
      <c r="A31" s="157"/>
      <c r="C31" s="157"/>
      <c r="D31" s="157"/>
      <c r="E31" s="157"/>
      <c r="F31" s="114"/>
      <c r="G31" s="107"/>
      <c r="H31" s="158"/>
      <c r="I31" s="160"/>
      <c r="J31" s="119"/>
      <c r="K31" s="161"/>
      <c r="L31" s="161"/>
      <c r="M31" s="131"/>
      <c r="N31" s="131"/>
      <c r="O31" s="131"/>
      <c r="P31" s="131"/>
      <c r="R31" s="159" t="s">
        <v>443</v>
      </c>
    </row>
    <row r="32" spans="1:18" s="60" customFormat="1" ht="20.45" customHeight="1" x14ac:dyDescent="0.25">
      <c r="A32" s="157"/>
      <c r="C32" s="157"/>
      <c r="D32" s="157"/>
      <c r="E32" s="157"/>
      <c r="F32" s="114"/>
      <c r="G32" s="107"/>
      <c r="H32" s="158"/>
      <c r="I32" s="160"/>
      <c r="J32" s="119"/>
      <c r="K32" s="161"/>
      <c r="L32" s="161"/>
      <c r="M32" s="131"/>
      <c r="N32" s="131"/>
      <c r="O32" s="131"/>
      <c r="P32" s="131"/>
      <c r="R32" s="159" t="s">
        <v>443</v>
      </c>
    </row>
    <row r="33" spans="1:19" s="60" customFormat="1" ht="20.45" customHeight="1" x14ac:dyDescent="0.25">
      <c r="A33" s="157"/>
      <c r="C33" s="157"/>
      <c r="D33" s="157"/>
      <c r="E33" s="157"/>
      <c r="F33" s="114"/>
      <c r="G33" s="107"/>
      <c r="H33" s="158"/>
      <c r="I33" s="160"/>
      <c r="J33" s="119"/>
      <c r="K33" s="161"/>
      <c r="L33" s="161"/>
      <c r="M33" s="131"/>
      <c r="N33" s="131"/>
      <c r="O33" s="131"/>
      <c r="P33" s="131"/>
      <c r="R33" s="159" t="s">
        <v>443</v>
      </c>
    </row>
    <row r="34" spans="1:19" s="60" customFormat="1" ht="20.45" customHeight="1" x14ac:dyDescent="0.25">
      <c r="A34" s="157"/>
      <c r="C34" s="157"/>
      <c r="D34" s="157"/>
      <c r="E34" s="157"/>
      <c r="F34" s="114"/>
      <c r="G34" s="107"/>
      <c r="H34" s="158"/>
      <c r="I34" s="160"/>
      <c r="J34" s="119"/>
      <c r="K34" s="161"/>
      <c r="L34" s="161"/>
      <c r="M34" s="131"/>
      <c r="N34" s="131"/>
      <c r="O34" s="131"/>
      <c r="P34" s="131"/>
      <c r="R34" s="159" t="s">
        <v>443</v>
      </c>
    </row>
    <row r="35" spans="1:19" s="60" customFormat="1" ht="20.45" customHeight="1" x14ac:dyDescent="0.25">
      <c r="A35" s="157"/>
      <c r="C35" s="157"/>
      <c r="D35" s="157"/>
      <c r="E35" s="157"/>
      <c r="F35" s="114"/>
      <c r="G35" s="107"/>
      <c r="H35" s="158"/>
      <c r="I35" s="160"/>
      <c r="J35" s="119"/>
      <c r="K35" s="161"/>
      <c r="L35" s="161"/>
      <c r="M35" s="131"/>
      <c r="N35" s="131"/>
      <c r="O35" s="131"/>
      <c r="P35" s="131"/>
      <c r="R35" s="159" t="s">
        <v>443</v>
      </c>
    </row>
    <row r="36" spans="1:19" ht="20.45" customHeight="1" x14ac:dyDescent="0.25">
      <c r="A36" s="157"/>
      <c r="B36" s="60"/>
      <c r="C36" s="157"/>
      <c r="D36" s="157"/>
      <c r="E36" s="157"/>
      <c r="F36" s="114"/>
      <c r="G36" s="107"/>
      <c r="H36" s="158"/>
      <c r="I36" s="160"/>
      <c r="J36" s="119"/>
      <c r="K36" s="161"/>
      <c r="L36" s="161"/>
      <c r="M36" s="131"/>
      <c r="N36" s="131"/>
      <c r="O36" s="131"/>
      <c r="P36" s="131"/>
      <c r="Q36" s="60"/>
      <c r="R36" s="159" t="s">
        <v>443</v>
      </c>
      <c r="S36" s="60"/>
    </row>
    <row r="37" spans="1:19" ht="20.45" customHeight="1" x14ac:dyDescent="0.25">
      <c r="A37" s="157"/>
      <c r="B37" s="60"/>
      <c r="C37" s="157"/>
      <c r="D37" s="157"/>
      <c r="E37" s="157"/>
      <c r="F37" s="114"/>
      <c r="G37" s="107"/>
      <c r="H37" s="158"/>
      <c r="I37" s="160"/>
      <c r="J37" s="119"/>
      <c r="K37" s="161"/>
      <c r="L37" s="161"/>
      <c r="M37" s="131"/>
      <c r="N37" s="131"/>
      <c r="O37" s="131"/>
      <c r="P37" s="131"/>
      <c r="Q37" s="60"/>
      <c r="R37" s="159" t="s">
        <v>443</v>
      </c>
      <c r="S37" s="60"/>
    </row>
    <row r="38" spans="1:19" ht="20.45" customHeight="1" x14ac:dyDescent="0.25">
      <c r="A38" s="157"/>
      <c r="B38" s="60"/>
      <c r="C38" s="157"/>
      <c r="D38" s="157"/>
      <c r="E38" s="157"/>
      <c r="F38" s="114"/>
      <c r="G38" s="107"/>
      <c r="H38" s="158"/>
      <c r="I38" s="160"/>
      <c r="J38" s="119"/>
      <c r="K38" s="161"/>
      <c r="L38" s="161"/>
      <c r="M38" s="131"/>
      <c r="N38" s="131"/>
      <c r="O38" s="131"/>
      <c r="P38" s="131"/>
      <c r="Q38" s="60"/>
      <c r="R38" s="159" t="s">
        <v>443</v>
      </c>
      <c r="S38" s="60"/>
    </row>
    <row r="39" spans="1:19" ht="20.45" customHeight="1" x14ac:dyDescent="0.25">
      <c r="A39" s="157"/>
      <c r="B39" s="60"/>
      <c r="C39" s="157"/>
      <c r="D39" s="157"/>
      <c r="E39" s="157"/>
      <c r="F39" s="114"/>
      <c r="G39" s="107"/>
      <c r="H39" s="158"/>
      <c r="I39" s="160"/>
      <c r="J39" s="119"/>
      <c r="K39" s="161"/>
      <c r="L39" s="161"/>
      <c r="M39" s="131"/>
      <c r="N39" s="131"/>
      <c r="O39" s="131"/>
      <c r="P39" s="131"/>
      <c r="Q39" s="60"/>
      <c r="R39" s="159" t="s">
        <v>443</v>
      </c>
      <c r="S39" s="60"/>
    </row>
  </sheetData>
  <sheetProtection selectLockedCells="1" selectUnlockedCells="1"/>
  <autoFilter ref="A2:S610"/>
  <dataValidations count="7">
    <dataValidation type="list" allowBlank="1" showErrorMessage="1" sqref="A607:A609">
      <formula1>Город</formula1>
      <formula2>0</formula2>
    </dataValidation>
    <dataValidation type="list" allowBlank="1" showErrorMessage="1" sqref="B607:B609">
      <formula1>Компания</formula1>
      <formula2>0</formula2>
    </dataValidation>
    <dataValidation allowBlank="1" showErrorMessage="1" sqref="C607:C609"/>
    <dataValidation type="list" allowBlank="1" showInputMessage="1" showErrorMessage="1" sqref="B3:B293">
      <formula1>Компания</formula1>
    </dataValidation>
    <dataValidation type="list" allowBlank="1" showInputMessage="1" showErrorMessage="1" sqref="G3:G293">
      <formula1>Вид_обучения</formula1>
    </dataValidation>
    <dataValidation type="list" allowBlank="1" showInputMessage="1" showErrorMessage="1" sqref="I3:I293">
      <formula1>Направление_обучения</formula1>
    </dataValidation>
    <dataValidation type="list" allowBlank="1" showInputMessage="1" showErrorMessage="1" sqref="J3:J293">
      <formula1>Месяц</formula1>
    </dataValidation>
  </dataValidations>
  <pageMargins left="0.7" right="0.7" top="0.75" bottom="0.75" header="0.51180555555555551" footer="0.51180555555555551"/>
  <pageSetup paperSize="9" firstPageNumber="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1">
    <tabColor theme="5" tint="0.39997558519241921"/>
  </sheetPr>
  <dimension ref="A1:L343"/>
  <sheetViews>
    <sheetView zoomScale="75" zoomScaleNormal="75" workbookViewId="0">
      <pane xSplit="3" ySplit="2" topLeftCell="D3" activePane="bottomRight" state="frozen"/>
      <selection activeCell="U235" sqref="U235"/>
      <selection pane="topRight" activeCell="U235" sqref="U235"/>
      <selection pane="bottomLeft" activeCell="U235" sqref="U235"/>
      <selection pane="bottomRight" activeCell="F15" sqref="F15"/>
    </sheetView>
  </sheetViews>
  <sheetFormatPr defaultColWidth="8.85546875" defaultRowHeight="27.6" customHeight="1" x14ac:dyDescent="0.25"/>
  <cols>
    <col min="1" max="1" width="16.7109375" style="35" customWidth="1"/>
    <col min="2" max="2" width="17.7109375" style="137" customWidth="1"/>
    <col min="3" max="3" width="50.5703125" style="35" customWidth="1"/>
    <col min="4" max="4" width="28.42578125" style="135" hidden="1" customWidth="1"/>
    <col min="5" max="5" width="31.5703125" style="135" hidden="1" customWidth="1"/>
    <col min="6" max="6" width="26.28515625" style="35" customWidth="1"/>
    <col min="7" max="8" width="19.28515625" style="137" customWidth="1"/>
    <col min="9" max="10" width="20.85546875" style="137" customWidth="1"/>
    <col min="11" max="11" width="21.85546875" style="137" customWidth="1"/>
    <col min="12" max="12" width="19.5703125" style="35" customWidth="1"/>
    <col min="13" max="16384" width="8.85546875" style="35"/>
  </cols>
  <sheetData>
    <row r="1" spans="1:12" s="139" customFormat="1" ht="36.6" customHeight="1" x14ac:dyDescent="0.2">
      <c r="A1" s="143" t="s">
        <v>34</v>
      </c>
      <c r="B1" s="143" t="s">
        <v>34</v>
      </c>
      <c r="C1" s="138"/>
      <c r="D1" s="138"/>
      <c r="E1" s="138"/>
      <c r="F1" s="143" t="s">
        <v>34</v>
      </c>
      <c r="G1" s="143" t="s">
        <v>34</v>
      </c>
      <c r="H1" s="143" t="s">
        <v>34</v>
      </c>
      <c r="I1" s="134"/>
      <c r="J1" s="134"/>
      <c r="K1" s="140" t="s">
        <v>31</v>
      </c>
    </row>
    <row r="2" spans="1:12" s="136" customFormat="1" ht="46.9" customHeight="1" x14ac:dyDescent="0.25">
      <c r="A2" s="68" t="s">
        <v>444</v>
      </c>
      <c r="B2" s="68" t="s">
        <v>445</v>
      </c>
      <c r="C2" s="68" t="s">
        <v>18</v>
      </c>
      <c r="D2" s="68" t="s">
        <v>26</v>
      </c>
      <c r="E2" s="68" t="s">
        <v>28</v>
      </c>
      <c r="F2" s="68" t="s">
        <v>448</v>
      </c>
      <c r="G2" s="68" t="s">
        <v>449</v>
      </c>
      <c r="H2" s="68" t="s">
        <v>450</v>
      </c>
      <c r="I2" s="68" t="s">
        <v>451</v>
      </c>
      <c r="J2" s="68" t="s">
        <v>452</v>
      </c>
      <c r="K2" s="68" t="s">
        <v>453</v>
      </c>
      <c r="L2" s="68" t="s">
        <v>446</v>
      </c>
    </row>
    <row r="3" spans="1:12" s="145" customFormat="1" ht="27.6" customHeight="1" x14ac:dyDescent="0.25">
      <c r="A3" s="113"/>
      <c r="B3" s="115"/>
      <c r="C3" s="146"/>
      <c r="D3" s="117"/>
      <c r="E3" s="117"/>
      <c r="F3" s="112"/>
      <c r="G3" s="111"/>
      <c r="H3" s="111"/>
      <c r="I3" s="146"/>
      <c r="J3" s="146"/>
      <c r="K3" s="113">
        <f>J3-I3+1</f>
        <v>1</v>
      </c>
      <c r="L3" s="113"/>
    </row>
    <row r="4" spans="1:12" s="145" customFormat="1" ht="27.6" customHeight="1" x14ac:dyDescent="0.25">
      <c r="A4" s="113"/>
      <c r="B4" s="115"/>
      <c r="C4" s="146"/>
      <c r="D4" s="147"/>
      <c r="E4" s="147"/>
      <c r="F4" s="112"/>
      <c r="G4" s="111"/>
      <c r="H4" s="111"/>
      <c r="I4" s="146"/>
      <c r="J4" s="146"/>
      <c r="K4" s="113">
        <f t="shared" ref="K4:K61" si="0">J4-I4+1</f>
        <v>1</v>
      </c>
      <c r="L4" s="113"/>
    </row>
    <row r="5" spans="1:12" s="145" customFormat="1" ht="27.6" customHeight="1" x14ac:dyDescent="0.25">
      <c r="A5" s="113"/>
      <c r="B5" s="115"/>
      <c r="C5" s="146"/>
      <c r="D5" s="147"/>
      <c r="E5" s="147"/>
      <c r="F5" s="112"/>
      <c r="G5" s="111"/>
      <c r="H5" s="111"/>
      <c r="I5" s="146"/>
      <c r="J5" s="146"/>
      <c r="K5" s="113">
        <f t="shared" si="0"/>
        <v>1</v>
      </c>
      <c r="L5" s="113"/>
    </row>
    <row r="6" spans="1:12" s="145" customFormat="1" ht="27.6" customHeight="1" x14ac:dyDescent="0.25">
      <c r="A6" s="113"/>
      <c r="B6" s="115"/>
      <c r="C6" s="146"/>
      <c r="D6" s="147"/>
      <c r="E6" s="147"/>
      <c r="F6" s="112"/>
      <c r="G6" s="111"/>
      <c r="H6" s="111"/>
      <c r="I6" s="146"/>
      <c r="J6" s="146"/>
      <c r="K6" s="113">
        <f t="shared" si="0"/>
        <v>1</v>
      </c>
      <c r="L6" s="113"/>
    </row>
    <row r="7" spans="1:12" s="145" customFormat="1" ht="27.6" customHeight="1" x14ac:dyDescent="0.25">
      <c r="A7" s="113"/>
      <c r="B7" s="115"/>
      <c r="C7" s="146"/>
      <c r="D7" s="147"/>
      <c r="E7" s="147"/>
      <c r="F7" s="112"/>
      <c r="G7" s="111"/>
      <c r="H7" s="111"/>
      <c r="I7" s="146"/>
      <c r="J7" s="146"/>
      <c r="K7" s="113">
        <f t="shared" si="0"/>
        <v>1</v>
      </c>
      <c r="L7" s="113"/>
    </row>
    <row r="8" spans="1:12" s="145" customFormat="1" ht="27.6" customHeight="1" x14ac:dyDescent="0.25">
      <c r="A8" s="113"/>
      <c r="B8" s="115"/>
      <c r="C8" s="146"/>
      <c r="D8" s="147"/>
      <c r="E8" s="147"/>
      <c r="F8" s="112"/>
      <c r="G8" s="111"/>
      <c r="H8" s="111"/>
      <c r="I8" s="146"/>
      <c r="J8" s="146"/>
      <c r="K8" s="113">
        <f t="shared" si="0"/>
        <v>1</v>
      </c>
      <c r="L8" s="113"/>
    </row>
    <row r="9" spans="1:12" s="145" customFormat="1" ht="27.6" customHeight="1" x14ac:dyDescent="0.25">
      <c r="A9" s="113"/>
      <c r="B9" s="115"/>
      <c r="C9" s="146"/>
      <c r="D9" s="147"/>
      <c r="E9" s="147"/>
      <c r="F9" s="112"/>
      <c r="G9" s="111"/>
      <c r="H9" s="111"/>
      <c r="I9" s="146"/>
      <c r="J9" s="146"/>
      <c r="K9" s="113">
        <f t="shared" si="0"/>
        <v>1</v>
      </c>
      <c r="L9" s="113"/>
    </row>
    <row r="10" spans="1:12" s="145" customFormat="1" ht="27.6" customHeight="1" x14ac:dyDescent="0.25">
      <c r="A10" s="113"/>
      <c r="B10" s="115"/>
      <c r="C10" s="146"/>
      <c r="D10" s="147"/>
      <c r="E10" s="147"/>
      <c r="F10" s="112"/>
      <c r="G10" s="111"/>
      <c r="H10" s="111"/>
      <c r="I10" s="146"/>
      <c r="J10" s="146"/>
      <c r="K10" s="113">
        <f t="shared" si="0"/>
        <v>1</v>
      </c>
      <c r="L10" s="113"/>
    </row>
    <row r="11" spans="1:12" s="145" customFormat="1" ht="27.6" customHeight="1" x14ac:dyDescent="0.25">
      <c r="A11" s="113"/>
      <c r="B11" s="115"/>
      <c r="C11" s="146"/>
      <c r="D11" s="147"/>
      <c r="E11" s="147"/>
      <c r="F11" s="112"/>
      <c r="G11" s="111"/>
      <c r="H11" s="111"/>
      <c r="I11" s="146"/>
      <c r="J11" s="146"/>
      <c r="K11" s="113">
        <f t="shared" si="0"/>
        <v>1</v>
      </c>
      <c r="L11" s="113"/>
    </row>
    <row r="12" spans="1:12" s="145" customFormat="1" ht="27.6" customHeight="1" x14ac:dyDescent="0.25">
      <c r="A12" s="113"/>
      <c r="B12" s="115"/>
      <c r="C12" s="146"/>
      <c r="D12" s="147"/>
      <c r="E12" s="147"/>
      <c r="F12" s="112"/>
      <c r="G12" s="111"/>
      <c r="H12" s="111"/>
      <c r="I12" s="146"/>
      <c r="J12" s="146"/>
      <c r="K12" s="113">
        <f t="shared" si="0"/>
        <v>1</v>
      </c>
      <c r="L12" s="113"/>
    </row>
    <row r="13" spans="1:12" s="145" customFormat="1" ht="27.6" customHeight="1" x14ac:dyDescent="0.25">
      <c r="A13" s="113"/>
      <c r="B13" s="115"/>
      <c r="C13" s="146"/>
      <c r="D13" s="147"/>
      <c r="E13" s="147"/>
      <c r="F13" s="112"/>
      <c r="G13" s="111"/>
      <c r="H13" s="111"/>
      <c r="I13" s="146"/>
      <c r="J13" s="146"/>
      <c r="K13" s="113">
        <f t="shared" si="0"/>
        <v>1</v>
      </c>
      <c r="L13" s="113"/>
    </row>
    <row r="14" spans="1:12" s="145" customFormat="1" ht="27.6" customHeight="1" x14ac:dyDescent="0.25">
      <c r="A14" s="113"/>
      <c r="B14" s="115"/>
      <c r="C14" s="146"/>
      <c r="D14" s="147"/>
      <c r="E14" s="147"/>
      <c r="F14" s="112"/>
      <c r="G14" s="111"/>
      <c r="H14" s="111"/>
      <c r="I14" s="146"/>
      <c r="J14" s="146"/>
      <c r="K14" s="113">
        <f t="shared" si="0"/>
        <v>1</v>
      </c>
      <c r="L14" s="113"/>
    </row>
    <row r="15" spans="1:12" s="145" customFormat="1" ht="27.6" customHeight="1" x14ac:dyDescent="0.25">
      <c r="A15" s="113"/>
      <c r="B15" s="115"/>
      <c r="C15" s="146"/>
      <c r="D15" s="147"/>
      <c r="E15" s="147"/>
      <c r="F15" s="112"/>
      <c r="G15" s="111"/>
      <c r="H15" s="111"/>
      <c r="I15" s="146"/>
      <c r="J15" s="146"/>
      <c r="K15" s="113">
        <f t="shared" si="0"/>
        <v>1</v>
      </c>
      <c r="L15" s="113"/>
    </row>
    <row r="16" spans="1:12" s="145" customFormat="1" ht="27.6" customHeight="1" x14ac:dyDescent="0.25">
      <c r="A16" s="113"/>
      <c r="B16" s="115"/>
      <c r="C16" s="146"/>
      <c r="D16" s="147"/>
      <c r="E16" s="147"/>
      <c r="F16" s="112"/>
      <c r="G16" s="111"/>
      <c r="H16" s="111"/>
      <c r="I16" s="146"/>
      <c r="J16" s="146"/>
      <c r="K16" s="113">
        <f t="shared" si="0"/>
        <v>1</v>
      </c>
      <c r="L16" s="113"/>
    </row>
    <row r="17" spans="1:12" s="145" customFormat="1" ht="27.6" customHeight="1" x14ac:dyDescent="0.25">
      <c r="A17" s="113"/>
      <c r="B17" s="115"/>
      <c r="C17" s="146"/>
      <c r="D17" s="117"/>
      <c r="E17" s="117"/>
      <c r="F17" s="112"/>
      <c r="G17" s="111"/>
      <c r="H17" s="111"/>
      <c r="I17" s="146"/>
      <c r="J17" s="146"/>
      <c r="K17" s="113">
        <f t="shared" si="0"/>
        <v>1</v>
      </c>
      <c r="L17" s="113"/>
    </row>
    <row r="18" spans="1:12" s="145" customFormat="1" ht="27.6" customHeight="1" x14ac:dyDescent="0.25">
      <c r="A18" s="113"/>
      <c r="B18" s="115"/>
      <c r="C18" s="146"/>
      <c r="D18" s="147"/>
      <c r="E18" s="147"/>
      <c r="F18" s="112"/>
      <c r="G18" s="111"/>
      <c r="H18" s="111"/>
      <c r="I18" s="146"/>
      <c r="J18" s="146"/>
      <c r="K18" s="113">
        <f t="shared" si="0"/>
        <v>1</v>
      </c>
      <c r="L18" s="113"/>
    </row>
    <row r="19" spans="1:12" s="145" customFormat="1" ht="27.6" customHeight="1" x14ac:dyDescent="0.25">
      <c r="A19" s="113"/>
      <c r="B19" s="115"/>
      <c r="C19" s="146"/>
      <c r="D19" s="147"/>
      <c r="E19" s="147"/>
      <c r="F19" s="112"/>
      <c r="G19" s="111"/>
      <c r="H19" s="111"/>
      <c r="I19" s="146"/>
      <c r="J19" s="146"/>
      <c r="K19" s="113">
        <f t="shared" si="0"/>
        <v>1</v>
      </c>
      <c r="L19" s="113"/>
    </row>
    <row r="20" spans="1:12" s="145" customFormat="1" ht="27.6" customHeight="1" x14ac:dyDescent="0.25">
      <c r="A20" s="113"/>
      <c r="B20" s="115"/>
      <c r="C20" s="146"/>
      <c r="D20" s="147"/>
      <c r="E20" s="147"/>
      <c r="F20" s="112"/>
      <c r="G20" s="111"/>
      <c r="H20" s="111"/>
      <c r="I20" s="146"/>
      <c r="J20" s="146"/>
      <c r="K20" s="113">
        <f t="shared" si="0"/>
        <v>1</v>
      </c>
      <c r="L20" s="113"/>
    </row>
    <row r="21" spans="1:12" s="145" customFormat="1" ht="27.6" customHeight="1" x14ac:dyDescent="0.25">
      <c r="A21" s="113"/>
      <c r="B21" s="115"/>
      <c r="C21" s="146"/>
      <c r="D21" s="147"/>
      <c r="E21" s="147"/>
      <c r="F21" s="112"/>
      <c r="G21" s="111"/>
      <c r="H21" s="111"/>
      <c r="I21" s="146"/>
      <c r="J21" s="146"/>
      <c r="K21" s="113">
        <f t="shared" si="0"/>
        <v>1</v>
      </c>
      <c r="L21" s="113"/>
    </row>
    <row r="22" spans="1:12" s="145" customFormat="1" ht="27.6" customHeight="1" x14ac:dyDescent="0.25">
      <c r="A22" s="113"/>
      <c r="B22" s="115"/>
      <c r="C22" s="146"/>
      <c r="D22" s="147"/>
      <c r="E22" s="147"/>
      <c r="F22" s="112"/>
      <c r="G22" s="111"/>
      <c r="H22" s="111"/>
      <c r="I22" s="146"/>
      <c r="J22" s="146"/>
      <c r="K22" s="113">
        <f t="shared" si="0"/>
        <v>1</v>
      </c>
      <c r="L22" s="113"/>
    </row>
    <row r="23" spans="1:12" s="145" customFormat="1" ht="27.6" customHeight="1" x14ac:dyDescent="0.25">
      <c r="A23" s="113"/>
      <c r="B23" s="115"/>
      <c r="C23" s="146"/>
      <c r="D23" s="147"/>
      <c r="E23" s="147"/>
      <c r="F23" s="112"/>
      <c r="G23" s="111"/>
      <c r="H23" s="111"/>
      <c r="I23" s="146"/>
      <c r="J23" s="146"/>
      <c r="K23" s="113">
        <f t="shared" si="0"/>
        <v>1</v>
      </c>
      <c r="L23" s="113"/>
    </row>
    <row r="24" spans="1:12" s="145" customFormat="1" ht="27.6" customHeight="1" x14ac:dyDescent="0.25">
      <c r="A24" s="113"/>
      <c r="B24" s="115"/>
      <c r="C24" s="146"/>
      <c r="D24" s="117"/>
      <c r="E24" s="117"/>
      <c r="F24" s="112"/>
      <c r="G24" s="111"/>
      <c r="H24" s="111"/>
      <c r="I24" s="146"/>
      <c r="J24" s="146"/>
      <c r="K24" s="113">
        <f t="shared" si="0"/>
        <v>1</v>
      </c>
      <c r="L24" s="113"/>
    </row>
    <row r="25" spans="1:12" s="145" customFormat="1" ht="27.6" customHeight="1" x14ac:dyDescent="0.25">
      <c r="A25" s="113"/>
      <c r="B25" s="115"/>
      <c r="C25" s="146"/>
      <c r="D25" s="147"/>
      <c r="E25" s="147"/>
      <c r="F25" s="112"/>
      <c r="G25" s="111"/>
      <c r="H25" s="111"/>
      <c r="I25" s="146"/>
      <c r="J25" s="146"/>
      <c r="K25" s="113">
        <f t="shared" si="0"/>
        <v>1</v>
      </c>
      <c r="L25" s="113"/>
    </row>
    <row r="26" spans="1:12" s="145" customFormat="1" ht="27.6" customHeight="1" x14ac:dyDescent="0.25">
      <c r="A26" s="113"/>
      <c r="B26" s="115"/>
      <c r="C26" s="146"/>
      <c r="D26" s="147"/>
      <c r="E26" s="147"/>
      <c r="F26" s="112"/>
      <c r="G26" s="111"/>
      <c r="H26" s="111"/>
      <c r="I26" s="146"/>
      <c r="J26" s="146"/>
      <c r="K26" s="113">
        <f t="shared" si="0"/>
        <v>1</v>
      </c>
      <c r="L26" s="113"/>
    </row>
    <row r="27" spans="1:12" s="145" customFormat="1" ht="27.6" customHeight="1" x14ac:dyDescent="0.25">
      <c r="A27" s="113"/>
      <c r="B27" s="115"/>
      <c r="C27" s="146"/>
      <c r="D27" s="147"/>
      <c r="E27" s="147"/>
      <c r="F27" s="112"/>
      <c r="G27" s="111"/>
      <c r="H27" s="111"/>
      <c r="I27" s="146"/>
      <c r="J27" s="146"/>
      <c r="K27" s="113">
        <f t="shared" si="0"/>
        <v>1</v>
      </c>
      <c r="L27" s="113"/>
    </row>
    <row r="28" spans="1:12" s="145" customFormat="1" ht="27.6" customHeight="1" x14ac:dyDescent="0.25">
      <c r="A28" s="113"/>
      <c r="B28" s="115"/>
      <c r="C28" s="146"/>
      <c r="D28" s="147"/>
      <c r="E28" s="147"/>
      <c r="F28" s="112"/>
      <c r="G28" s="111"/>
      <c r="H28" s="111"/>
      <c r="I28" s="162"/>
      <c r="J28" s="162"/>
      <c r="K28" s="113">
        <v>11</v>
      </c>
      <c r="L28" s="113"/>
    </row>
    <row r="29" spans="1:12" s="145" customFormat="1" ht="27.6" customHeight="1" x14ac:dyDescent="0.25">
      <c r="A29" s="113"/>
      <c r="B29" s="115"/>
      <c r="C29" s="146"/>
      <c r="D29" s="147"/>
      <c r="E29" s="147"/>
      <c r="F29" s="112"/>
      <c r="G29" s="111"/>
      <c r="H29" s="111"/>
      <c r="I29" s="162"/>
      <c r="J29" s="162"/>
      <c r="K29" s="113">
        <v>4</v>
      </c>
      <c r="L29" s="113"/>
    </row>
    <row r="30" spans="1:12" s="145" customFormat="1" ht="27.6" customHeight="1" x14ac:dyDescent="0.25">
      <c r="A30" s="113"/>
      <c r="B30" s="115"/>
      <c r="C30" s="146"/>
      <c r="D30" s="147"/>
      <c r="E30" s="147"/>
      <c r="F30" s="112"/>
      <c r="G30" s="111"/>
      <c r="H30" s="111"/>
      <c r="I30" s="162"/>
      <c r="J30" s="162"/>
      <c r="K30" s="113">
        <v>19</v>
      </c>
      <c r="L30" s="113"/>
    </row>
    <row r="31" spans="1:12" s="145" customFormat="1" ht="27.6" customHeight="1" x14ac:dyDescent="0.25">
      <c r="A31" s="113"/>
      <c r="B31" s="115"/>
      <c r="C31" s="146"/>
      <c r="D31" s="147"/>
      <c r="E31" s="147"/>
      <c r="F31" s="112"/>
      <c r="G31" s="111"/>
      <c r="H31" s="111"/>
      <c r="I31" s="162"/>
      <c r="J31" s="162"/>
      <c r="K31" s="113">
        <v>4</v>
      </c>
      <c r="L31" s="113"/>
    </row>
    <row r="32" spans="1:12" s="145" customFormat="1" ht="27.6" customHeight="1" x14ac:dyDescent="0.25">
      <c r="A32" s="113"/>
      <c r="B32" s="115"/>
      <c r="C32" s="146"/>
      <c r="D32" s="147"/>
      <c r="E32" s="147"/>
      <c r="F32" s="112"/>
      <c r="G32" s="111"/>
      <c r="H32" s="111"/>
      <c r="I32" s="162"/>
      <c r="J32" s="162"/>
      <c r="K32" s="113">
        <v>12</v>
      </c>
      <c r="L32" s="113"/>
    </row>
    <row r="33" spans="1:12" s="145" customFormat="1" ht="27.6" customHeight="1" x14ac:dyDescent="0.25">
      <c r="A33" s="113"/>
      <c r="B33" s="115"/>
      <c r="C33" s="146"/>
      <c r="D33" s="147"/>
      <c r="E33" s="147"/>
      <c r="F33" s="112"/>
      <c r="G33" s="111"/>
      <c r="H33" s="111"/>
      <c r="I33" s="162"/>
      <c r="J33" s="162"/>
      <c r="K33" s="113">
        <v>30</v>
      </c>
      <c r="L33" s="113"/>
    </row>
    <row r="34" spans="1:12" s="145" customFormat="1" ht="27.6" customHeight="1" x14ac:dyDescent="0.25">
      <c r="A34" s="113"/>
      <c r="B34" s="115"/>
      <c r="C34" s="146"/>
      <c r="D34" s="147"/>
      <c r="E34" s="154"/>
      <c r="F34" s="112"/>
      <c r="G34" s="111"/>
      <c r="H34" s="111"/>
      <c r="I34" s="162"/>
      <c r="J34" s="162"/>
      <c r="K34" s="113">
        <v>8</v>
      </c>
      <c r="L34" s="113"/>
    </row>
    <row r="35" spans="1:12" s="145" customFormat="1" ht="27.6" customHeight="1" x14ac:dyDescent="0.25">
      <c r="A35" s="113"/>
      <c r="B35" s="115"/>
      <c r="C35" s="146"/>
      <c r="D35" s="147"/>
      <c r="E35" s="147"/>
      <c r="F35" s="112"/>
      <c r="G35" s="111"/>
      <c r="H35" s="111"/>
      <c r="I35" s="162"/>
      <c r="J35" s="162"/>
      <c r="K35" s="113">
        <v>12</v>
      </c>
      <c r="L35" s="113"/>
    </row>
    <row r="36" spans="1:12" s="145" customFormat="1" ht="27.6" customHeight="1" x14ac:dyDescent="0.25">
      <c r="A36" s="113"/>
      <c r="B36" s="115"/>
      <c r="C36" s="146"/>
      <c r="D36" s="147"/>
      <c r="E36" s="147"/>
      <c r="F36" s="112"/>
      <c r="G36" s="111"/>
      <c r="H36" s="111"/>
      <c r="I36" s="162"/>
      <c r="J36" s="162"/>
      <c r="K36" s="113">
        <v>9</v>
      </c>
      <c r="L36" s="113"/>
    </row>
    <row r="37" spans="1:12" s="145" customFormat="1" ht="27.6" customHeight="1" x14ac:dyDescent="0.25">
      <c r="A37" s="113"/>
      <c r="B37" s="115"/>
      <c r="C37" s="146"/>
      <c r="D37" s="147"/>
      <c r="E37" s="147"/>
      <c r="F37" s="112"/>
      <c r="G37" s="111"/>
      <c r="H37" s="111"/>
      <c r="I37" s="162"/>
      <c r="J37" s="162"/>
      <c r="K37" s="113">
        <v>6</v>
      </c>
      <c r="L37" s="113"/>
    </row>
    <row r="38" spans="1:12" s="145" customFormat="1" ht="27.6" customHeight="1" x14ac:dyDescent="0.25">
      <c r="A38" s="113"/>
      <c r="B38" s="115"/>
      <c r="C38" s="146"/>
      <c r="D38" s="147"/>
      <c r="E38" s="147"/>
      <c r="F38" s="112"/>
      <c r="G38" s="111"/>
      <c r="H38" s="111"/>
      <c r="I38" s="162"/>
      <c r="J38" s="162"/>
      <c r="K38" s="113">
        <v>30</v>
      </c>
      <c r="L38" s="113"/>
    </row>
    <row r="39" spans="1:12" s="145" customFormat="1" ht="27.6" customHeight="1" x14ac:dyDescent="0.25">
      <c r="A39" s="113"/>
      <c r="B39" s="115"/>
      <c r="C39" s="146"/>
      <c r="D39" s="147"/>
      <c r="E39" s="147"/>
      <c r="F39" s="112"/>
      <c r="G39" s="111"/>
      <c r="H39" s="111"/>
      <c r="I39" s="162"/>
      <c r="J39" s="162"/>
      <c r="K39" s="113">
        <v>15</v>
      </c>
      <c r="L39" s="113"/>
    </row>
    <row r="40" spans="1:12" s="145" customFormat="1" ht="27.6" customHeight="1" x14ac:dyDescent="0.25">
      <c r="A40" s="113"/>
      <c r="B40" s="115"/>
      <c r="C40" s="146"/>
      <c r="D40" s="147"/>
      <c r="E40" s="147"/>
      <c r="F40" s="112"/>
      <c r="G40" s="111"/>
      <c r="H40" s="111"/>
      <c r="I40" s="162"/>
      <c r="J40" s="162"/>
      <c r="K40" s="113">
        <v>9</v>
      </c>
      <c r="L40" s="113"/>
    </row>
    <row r="41" spans="1:12" s="145" customFormat="1" ht="27.6" customHeight="1" x14ac:dyDescent="0.25">
      <c r="A41" s="113"/>
      <c r="B41" s="115"/>
      <c r="C41" s="146"/>
      <c r="D41" s="147"/>
      <c r="E41" s="147"/>
      <c r="F41" s="112"/>
      <c r="G41" s="111"/>
      <c r="H41" s="111"/>
      <c r="I41" s="162"/>
      <c r="J41" s="162"/>
      <c r="K41" s="113">
        <v>3</v>
      </c>
      <c r="L41" s="113"/>
    </row>
    <row r="42" spans="1:12" s="145" customFormat="1" ht="27.6" customHeight="1" x14ac:dyDescent="0.25">
      <c r="A42" s="113"/>
      <c r="B42" s="115"/>
      <c r="C42" s="146"/>
      <c r="D42" s="147"/>
      <c r="E42" s="147"/>
      <c r="F42" s="112"/>
      <c r="G42" s="111"/>
      <c r="H42" s="111"/>
      <c r="I42" s="162"/>
      <c r="J42" s="162"/>
      <c r="K42" s="113">
        <v>3</v>
      </c>
      <c r="L42" s="113"/>
    </row>
    <row r="43" spans="1:12" s="145" customFormat="1" ht="27.6" customHeight="1" x14ac:dyDescent="0.25">
      <c r="A43" s="113"/>
      <c r="B43" s="115"/>
      <c r="C43" s="146"/>
      <c r="D43" s="147"/>
      <c r="E43" s="147"/>
      <c r="F43" s="112"/>
      <c r="G43" s="111"/>
      <c r="H43" s="111"/>
      <c r="I43" s="162"/>
      <c r="J43" s="162"/>
      <c r="K43" s="113">
        <v>8</v>
      </c>
      <c r="L43" s="113"/>
    </row>
    <row r="44" spans="1:12" s="145" customFormat="1" ht="27.6" customHeight="1" x14ac:dyDescent="0.25">
      <c r="A44" s="113"/>
      <c r="B44" s="115"/>
      <c r="C44" s="146"/>
      <c r="D44" s="147"/>
      <c r="E44" s="147"/>
      <c r="F44" s="112"/>
      <c r="G44" s="111"/>
      <c r="H44" s="111"/>
      <c r="I44" s="162"/>
      <c r="J44" s="162"/>
      <c r="K44" s="113">
        <v>14</v>
      </c>
      <c r="L44" s="113"/>
    </row>
    <row r="45" spans="1:12" s="145" customFormat="1" ht="27.6" customHeight="1" x14ac:dyDescent="0.25">
      <c r="A45" s="113"/>
      <c r="B45" s="115"/>
      <c r="C45" s="146"/>
      <c r="D45" s="147"/>
      <c r="E45" s="147"/>
      <c r="F45" s="112"/>
      <c r="G45" s="111"/>
      <c r="H45" s="111"/>
      <c r="I45" s="162"/>
      <c r="J45" s="162"/>
      <c r="K45" s="113">
        <f t="shared" si="0"/>
        <v>1</v>
      </c>
      <c r="L45" s="113"/>
    </row>
    <row r="46" spans="1:12" s="145" customFormat="1" ht="27.6" customHeight="1" x14ac:dyDescent="0.25">
      <c r="A46" s="113"/>
      <c r="B46" s="115"/>
      <c r="C46" s="146"/>
      <c r="D46" s="147"/>
      <c r="E46" s="147"/>
      <c r="F46" s="112"/>
      <c r="G46" s="111"/>
      <c r="H46" s="111"/>
      <c r="I46" s="162"/>
      <c r="J46" s="162"/>
      <c r="K46" s="113">
        <f t="shared" si="0"/>
        <v>1</v>
      </c>
      <c r="L46" s="113"/>
    </row>
    <row r="47" spans="1:12" s="145" customFormat="1" ht="27.6" customHeight="1" x14ac:dyDescent="0.25">
      <c r="A47" s="113"/>
      <c r="B47" s="115"/>
      <c r="C47" s="146"/>
      <c r="D47" s="147"/>
      <c r="E47" s="147"/>
      <c r="F47" s="112"/>
      <c r="G47" s="111"/>
      <c r="H47" s="111"/>
      <c r="I47" s="162"/>
      <c r="J47" s="162"/>
      <c r="K47" s="113">
        <f t="shared" si="0"/>
        <v>1</v>
      </c>
      <c r="L47" s="113"/>
    </row>
    <row r="48" spans="1:12" s="145" customFormat="1" ht="27.6" customHeight="1" x14ac:dyDescent="0.25">
      <c r="A48" s="113"/>
      <c r="B48" s="115"/>
      <c r="C48" s="146"/>
      <c r="D48" s="147"/>
      <c r="E48" s="147"/>
      <c r="F48" s="112"/>
      <c r="G48" s="111"/>
      <c r="H48" s="111"/>
      <c r="I48" s="162"/>
      <c r="J48" s="162"/>
      <c r="K48" s="113">
        <f t="shared" si="0"/>
        <v>1</v>
      </c>
      <c r="L48" s="113"/>
    </row>
    <row r="49" spans="1:12" s="145" customFormat="1" ht="27.6" customHeight="1" x14ac:dyDescent="0.25">
      <c r="A49" s="113"/>
      <c r="B49" s="115"/>
      <c r="C49" s="146"/>
      <c r="D49" s="147"/>
      <c r="E49" s="147"/>
      <c r="F49" s="112"/>
      <c r="G49" s="111"/>
      <c r="H49" s="111"/>
      <c r="I49" s="162"/>
      <c r="J49" s="162"/>
      <c r="K49" s="113">
        <f t="shared" si="0"/>
        <v>1</v>
      </c>
      <c r="L49" s="113"/>
    </row>
    <row r="50" spans="1:12" s="145" customFormat="1" ht="27.6" customHeight="1" x14ac:dyDescent="0.25">
      <c r="A50" s="113"/>
      <c r="B50" s="115"/>
      <c r="C50" s="146"/>
      <c r="D50" s="147"/>
      <c r="E50" s="147"/>
      <c r="F50" s="112"/>
      <c r="G50" s="111"/>
      <c r="H50" s="111"/>
      <c r="I50" s="162"/>
      <c r="J50" s="162"/>
      <c r="K50" s="113">
        <f t="shared" si="0"/>
        <v>1</v>
      </c>
      <c r="L50" s="113"/>
    </row>
    <row r="51" spans="1:12" s="145" customFormat="1" ht="27.6" customHeight="1" x14ac:dyDescent="0.25">
      <c r="A51" s="113"/>
      <c r="B51" s="115"/>
      <c r="C51" s="146"/>
      <c r="D51" s="147"/>
      <c r="E51" s="147"/>
      <c r="F51" s="112"/>
      <c r="G51" s="111"/>
      <c r="H51" s="111"/>
      <c r="I51" s="162"/>
      <c r="J51" s="162"/>
      <c r="K51" s="113">
        <f t="shared" si="0"/>
        <v>1</v>
      </c>
      <c r="L51" s="113"/>
    </row>
    <row r="52" spans="1:12" s="145" customFormat="1" ht="27.6" customHeight="1" x14ac:dyDescent="0.25">
      <c r="A52" s="113"/>
      <c r="B52" s="115"/>
      <c r="C52" s="146"/>
      <c r="D52" s="147"/>
      <c r="E52" s="147"/>
      <c r="F52" s="112"/>
      <c r="G52" s="111"/>
      <c r="H52" s="111"/>
      <c r="I52" s="162"/>
      <c r="J52" s="162"/>
      <c r="K52" s="113">
        <f t="shared" si="0"/>
        <v>1</v>
      </c>
      <c r="L52" s="113"/>
    </row>
    <row r="53" spans="1:12" s="145" customFormat="1" ht="27.6" customHeight="1" x14ac:dyDescent="0.25">
      <c r="A53" s="113"/>
      <c r="B53" s="115"/>
      <c r="C53" s="146"/>
      <c r="D53" s="147"/>
      <c r="E53" s="147"/>
      <c r="F53" s="112"/>
      <c r="G53" s="111"/>
      <c r="H53" s="111"/>
      <c r="I53" s="162"/>
      <c r="J53" s="162"/>
      <c r="K53" s="113">
        <f t="shared" si="0"/>
        <v>1</v>
      </c>
      <c r="L53" s="113"/>
    </row>
    <row r="54" spans="1:12" s="145" customFormat="1" ht="27.6" customHeight="1" x14ac:dyDescent="0.25">
      <c r="A54" s="113"/>
      <c r="B54" s="115"/>
      <c r="C54" s="146"/>
      <c r="D54" s="147"/>
      <c r="E54" s="147"/>
      <c r="F54" s="112"/>
      <c r="G54" s="111"/>
      <c r="H54" s="111"/>
      <c r="I54" s="162"/>
      <c r="J54" s="162"/>
      <c r="K54" s="113">
        <f t="shared" si="0"/>
        <v>1</v>
      </c>
      <c r="L54" s="113"/>
    </row>
    <row r="55" spans="1:12" s="145" customFormat="1" ht="27.6" customHeight="1" x14ac:dyDescent="0.25">
      <c r="A55" s="113"/>
      <c r="B55" s="115"/>
      <c r="C55" s="146"/>
      <c r="D55" s="147"/>
      <c r="E55" s="147"/>
      <c r="F55" s="112"/>
      <c r="G55" s="111"/>
      <c r="H55" s="111"/>
      <c r="I55" s="162"/>
      <c r="J55" s="162"/>
      <c r="K55" s="113">
        <f t="shared" si="0"/>
        <v>1</v>
      </c>
      <c r="L55" s="113"/>
    </row>
    <row r="56" spans="1:12" s="145" customFormat="1" ht="27.6" customHeight="1" x14ac:dyDescent="0.25">
      <c r="A56" s="113"/>
      <c r="B56" s="115"/>
      <c r="C56" s="146"/>
      <c r="D56" s="147"/>
      <c r="E56" s="147"/>
      <c r="F56" s="112"/>
      <c r="G56" s="111"/>
      <c r="H56" s="111"/>
      <c r="I56" s="162"/>
      <c r="J56" s="162"/>
      <c r="K56" s="113">
        <f t="shared" si="0"/>
        <v>1</v>
      </c>
      <c r="L56" s="113"/>
    </row>
    <row r="57" spans="1:12" s="145" customFormat="1" ht="27.6" customHeight="1" x14ac:dyDescent="0.25">
      <c r="A57" s="113"/>
      <c r="B57" s="115"/>
      <c r="C57" s="146"/>
      <c r="D57" s="147"/>
      <c r="E57" s="147"/>
      <c r="F57" s="112"/>
      <c r="G57" s="111"/>
      <c r="H57" s="111"/>
      <c r="I57" s="162"/>
      <c r="J57" s="162"/>
      <c r="K57" s="113">
        <f t="shared" si="0"/>
        <v>1</v>
      </c>
      <c r="L57" s="113"/>
    </row>
    <row r="58" spans="1:12" s="145" customFormat="1" ht="27.6" customHeight="1" x14ac:dyDescent="0.25">
      <c r="A58" s="113"/>
      <c r="B58" s="115"/>
      <c r="C58" s="146"/>
      <c r="D58" s="147"/>
      <c r="E58" s="147"/>
      <c r="F58" s="112"/>
      <c r="G58" s="111"/>
      <c r="H58" s="111"/>
      <c r="I58" s="162"/>
      <c r="J58" s="162"/>
      <c r="K58" s="113">
        <f t="shared" si="0"/>
        <v>1</v>
      </c>
      <c r="L58" s="113"/>
    </row>
    <row r="59" spans="1:12" s="145" customFormat="1" ht="27.6" customHeight="1" x14ac:dyDescent="0.25">
      <c r="A59" s="113"/>
      <c r="B59" s="115"/>
      <c r="C59" s="146"/>
      <c r="D59" s="147"/>
      <c r="E59" s="147"/>
      <c r="F59" s="112"/>
      <c r="G59" s="111"/>
      <c r="H59" s="111"/>
      <c r="I59" s="162"/>
      <c r="J59" s="162"/>
      <c r="K59" s="113">
        <f t="shared" si="0"/>
        <v>1</v>
      </c>
      <c r="L59" s="113"/>
    </row>
    <row r="60" spans="1:12" s="145" customFormat="1" ht="27.6" customHeight="1" x14ac:dyDescent="0.25">
      <c r="A60" s="113"/>
      <c r="B60" s="115"/>
      <c r="C60" s="146"/>
      <c r="D60" s="147"/>
      <c r="E60" s="147"/>
      <c r="F60" s="112"/>
      <c r="G60" s="111"/>
      <c r="H60" s="111"/>
      <c r="I60" s="162"/>
      <c r="J60" s="162"/>
      <c r="K60" s="113">
        <f t="shared" si="0"/>
        <v>1</v>
      </c>
      <c r="L60" s="113"/>
    </row>
    <row r="61" spans="1:12" s="145" customFormat="1" ht="27.6" customHeight="1" x14ac:dyDescent="0.25">
      <c r="A61" s="113"/>
      <c r="B61" s="115"/>
      <c r="C61" s="146"/>
      <c r="D61" s="147"/>
      <c r="E61" s="147"/>
      <c r="F61" s="112"/>
      <c r="G61" s="111"/>
      <c r="H61" s="111"/>
      <c r="I61" s="162"/>
      <c r="J61" s="162"/>
      <c r="K61" s="113">
        <f t="shared" si="0"/>
        <v>1</v>
      </c>
      <c r="L61" s="113"/>
    </row>
    <row r="62" spans="1:12" s="145" customFormat="1" ht="27.6" customHeight="1" x14ac:dyDescent="0.25">
      <c r="A62" s="113"/>
      <c r="B62" s="115"/>
      <c r="C62" s="146"/>
      <c r="D62" s="147"/>
      <c r="E62" s="147"/>
      <c r="F62" s="112"/>
      <c r="G62" s="111"/>
      <c r="H62" s="111"/>
      <c r="I62" s="162"/>
      <c r="J62" s="162"/>
      <c r="K62" s="113">
        <f t="shared" ref="K62:K125" si="1">J62-I62+1</f>
        <v>1</v>
      </c>
      <c r="L62" s="113"/>
    </row>
    <row r="63" spans="1:12" s="145" customFormat="1" ht="27.6" customHeight="1" x14ac:dyDescent="0.25">
      <c r="A63" s="113"/>
      <c r="B63" s="115"/>
      <c r="C63" s="146"/>
      <c r="D63" s="147"/>
      <c r="E63" s="147"/>
      <c r="F63" s="112"/>
      <c r="G63" s="111"/>
      <c r="H63" s="111"/>
      <c r="I63" s="162"/>
      <c r="J63" s="162"/>
      <c r="K63" s="113">
        <f t="shared" si="1"/>
        <v>1</v>
      </c>
      <c r="L63" s="113"/>
    </row>
    <row r="64" spans="1:12" s="145" customFormat="1" ht="27.6" customHeight="1" x14ac:dyDescent="0.25">
      <c r="A64" s="113"/>
      <c r="B64" s="115"/>
      <c r="C64" s="146"/>
      <c r="D64" s="147"/>
      <c r="E64" s="147"/>
      <c r="F64" s="112"/>
      <c r="G64" s="111"/>
      <c r="H64" s="111"/>
      <c r="I64" s="162"/>
      <c r="J64" s="162"/>
      <c r="K64" s="113">
        <f t="shared" si="1"/>
        <v>1</v>
      </c>
      <c r="L64" s="113"/>
    </row>
    <row r="65" spans="1:12" s="145" customFormat="1" ht="27.6" customHeight="1" x14ac:dyDescent="0.25">
      <c r="A65" s="113"/>
      <c r="B65" s="115"/>
      <c r="C65" s="146"/>
      <c r="D65" s="147"/>
      <c r="E65" s="147"/>
      <c r="F65" s="112"/>
      <c r="G65" s="111"/>
      <c r="H65" s="111"/>
      <c r="I65" s="162"/>
      <c r="J65" s="162"/>
      <c r="K65" s="113">
        <f t="shared" si="1"/>
        <v>1</v>
      </c>
      <c r="L65" s="113"/>
    </row>
    <row r="66" spans="1:12" s="145" customFormat="1" ht="27.6" customHeight="1" x14ac:dyDescent="0.25">
      <c r="A66" s="113"/>
      <c r="B66" s="115"/>
      <c r="C66" s="146"/>
      <c r="D66" s="147"/>
      <c r="E66" s="147"/>
      <c r="F66" s="112"/>
      <c r="G66" s="111"/>
      <c r="H66" s="111"/>
      <c r="I66" s="162"/>
      <c r="J66" s="162"/>
      <c r="K66" s="113">
        <f t="shared" si="1"/>
        <v>1</v>
      </c>
      <c r="L66" s="113"/>
    </row>
    <row r="67" spans="1:12" s="145" customFormat="1" ht="27.6" customHeight="1" x14ac:dyDescent="0.25">
      <c r="A67" s="113"/>
      <c r="B67" s="115"/>
      <c r="C67" s="146"/>
      <c r="D67" s="147"/>
      <c r="E67" s="147"/>
      <c r="F67" s="112"/>
      <c r="G67" s="111"/>
      <c r="H67" s="111"/>
      <c r="I67" s="162"/>
      <c r="J67" s="162"/>
      <c r="K67" s="113">
        <f t="shared" si="1"/>
        <v>1</v>
      </c>
      <c r="L67" s="113"/>
    </row>
    <row r="68" spans="1:12" s="145" customFormat="1" ht="27.6" customHeight="1" x14ac:dyDescent="0.25">
      <c r="A68" s="113"/>
      <c r="B68" s="115"/>
      <c r="C68" s="146"/>
      <c r="D68" s="147"/>
      <c r="E68" s="147"/>
      <c r="F68" s="112"/>
      <c r="G68" s="111"/>
      <c r="H68" s="111"/>
      <c r="I68" s="162"/>
      <c r="J68" s="162"/>
      <c r="K68" s="113">
        <f t="shared" si="1"/>
        <v>1</v>
      </c>
      <c r="L68" s="113"/>
    </row>
    <row r="69" spans="1:12" s="145" customFormat="1" ht="27.6" customHeight="1" x14ac:dyDescent="0.25">
      <c r="A69" s="113"/>
      <c r="B69" s="115"/>
      <c r="C69" s="146"/>
      <c r="D69" s="147"/>
      <c r="E69" s="147"/>
      <c r="F69" s="112"/>
      <c r="G69" s="111"/>
      <c r="H69" s="111"/>
      <c r="I69" s="162"/>
      <c r="J69" s="162"/>
      <c r="K69" s="113">
        <f t="shared" si="1"/>
        <v>1</v>
      </c>
      <c r="L69" s="113"/>
    </row>
    <row r="70" spans="1:12" s="145" customFormat="1" ht="27.6" customHeight="1" x14ac:dyDescent="0.25">
      <c r="A70" s="113"/>
      <c r="B70" s="115"/>
      <c r="C70" s="146"/>
      <c r="D70" s="147"/>
      <c r="E70" s="147"/>
      <c r="F70" s="112"/>
      <c r="G70" s="111"/>
      <c r="H70" s="111"/>
      <c r="I70" s="162"/>
      <c r="J70" s="162"/>
      <c r="K70" s="113">
        <f t="shared" si="1"/>
        <v>1</v>
      </c>
      <c r="L70" s="113"/>
    </row>
    <row r="71" spans="1:12" s="145" customFormat="1" ht="27.6" customHeight="1" x14ac:dyDescent="0.25">
      <c r="A71" s="113"/>
      <c r="B71" s="115"/>
      <c r="C71" s="146"/>
      <c r="D71" s="147"/>
      <c r="E71" s="147"/>
      <c r="F71" s="112"/>
      <c r="G71" s="111"/>
      <c r="H71" s="111"/>
      <c r="I71" s="162"/>
      <c r="J71" s="162"/>
      <c r="K71" s="113">
        <f t="shared" si="1"/>
        <v>1</v>
      </c>
      <c r="L71" s="113"/>
    </row>
    <row r="72" spans="1:12" s="145" customFormat="1" ht="27.6" customHeight="1" x14ac:dyDescent="0.25">
      <c r="A72" s="113"/>
      <c r="B72" s="115"/>
      <c r="C72" s="146"/>
      <c r="D72" s="147"/>
      <c r="E72" s="147"/>
      <c r="F72" s="112"/>
      <c r="G72" s="111"/>
      <c r="H72" s="111"/>
      <c r="I72" s="162"/>
      <c r="J72" s="162"/>
      <c r="K72" s="113">
        <f t="shared" si="1"/>
        <v>1</v>
      </c>
      <c r="L72" s="113"/>
    </row>
    <row r="73" spans="1:12" s="145" customFormat="1" ht="27.6" customHeight="1" x14ac:dyDescent="0.25">
      <c r="A73" s="113"/>
      <c r="B73" s="115"/>
      <c r="C73" s="146"/>
      <c r="D73" s="147"/>
      <c r="E73" s="147"/>
      <c r="F73" s="112"/>
      <c r="G73" s="111"/>
      <c r="H73" s="111"/>
      <c r="I73" s="162"/>
      <c r="J73" s="162"/>
      <c r="K73" s="113">
        <f t="shared" si="1"/>
        <v>1</v>
      </c>
      <c r="L73" s="113"/>
    </row>
    <row r="74" spans="1:12" s="145" customFormat="1" ht="27.6" customHeight="1" x14ac:dyDescent="0.25">
      <c r="A74" s="113"/>
      <c r="B74" s="115"/>
      <c r="C74" s="146"/>
      <c r="D74" s="147"/>
      <c r="E74" s="147"/>
      <c r="F74" s="112"/>
      <c r="G74" s="111"/>
      <c r="H74" s="111"/>
      <c r="I74" s="162"/>
      <c r="J74" s="162"/>
      <c r="K74" s="113">
        <f t="shared" si="1"/>
        <v>1</v>
      </c>
      <c r="L74" s="113"/>
    </row>
    <row r="75" spans="1:12" s="145" customFormat="1" ht="27.6" customHeight="1" x14ac:dyDescent="0.25">
      <c r="A75" s="113"/>
      <c r="B75" s="115"/>
      <c r="C75" s="146"/>
      <c r="D75" s="147"/>
      <c r="E75" s="147"/>
      <c r="F75" s="112"/>
      <c r="G75" s="111"/>
      <c r="H75" s="111"/>
      <c r="I75" s="162"/>
      <c r="J75" s="162"/>
      <c r="K75" s="113">
        <f t="shared" si="1"/>
        <v>1</v>
      </c>
      <c r="L75" s="113"/>
    </row>
    <row r="76" spans="1:12" s="145" customFormat="1" ht="27.6" customHeight="1" x14ac:dyDescent="0.25">
      <c r="A76" s="113"/>
      <c r="B76" s="115"/>
      <c r="C76" s="146"/>
      <c r="D76" s="147"/>
      <c r="E76" s="147"/>
      <c r="F76" s="112"/>
      <c r="G76" s="111"/>
      <c r="H76" s="111"/>
      <c r="I76" s="162"/>
      <c r="J76" s="162"/>
      <c r="K76" s="113">
        <f t="shared" si="1"/>
        <v>1</v>
      </c>
      <c r="L76" s="113"/>
    </row>
    <row r="77" spans="1:12" s="145" customFormat="1" ht="27.6" customHeight="1" x14ac:dyDescent="0.25">
      <c r="A77" s="113"/>
      <c r="B77" s="115"/>
      <c r="C77" s="146"/>
      <c r="D77" s="147"/>
      <c r="E77" s="147"/>
      <c r="F77" s="112"/>
      <c r="G77" s="111"/>
      <c r="H77" s="111"/>
      <c r="I77" s="162"/>
      <c r="J77" s="162"/>
      <c r="K77" s="113">
        <f t="shared" si="1"/>
        <v>1</v>
      </c>
      <c r="L77" s="113"/>
    </row>
    <row r="78" spans="1:12" s="145" customFormat="1" ht="27.6" customHeight="1" x14ac:dyDescent="0.25">
      <c r="A78" s="113"/>
      <c r="B78" s="115"/>
      <c r="C78" s="146"/>
      <c r="D78" s="147"/>
      <c r="E78" s="147"/>
      <c r="F78" s="112"/>
      <c r="G78" s="111"/>
      <c r="H78" s="111"/>
      <c r="I78" s="162"/>
      <c r="J78" s="162"/>
      <c r="K78" s="113">
        <f t="shared" si="1"/>
        <v>1</v>
      </c>
      <c r="L78" s="113"/>
    </row>
    <row r="79" spans="1:12" s="145" customFormat="1" ht="27.6" customHeight="1" x14ac:dyDescent="0.25">
      <c r="A79" s="113"/>
      <c r="B79" s="115"/>
      <c r="C79" s="146"/>
      <c r="D79" s="147"/>
      <c r="E79" s="147"/>
      <c r="F79" s="112"/>
      <c r="G79" s="111"/>
      <c r="H79" s="111"/>
      <c r="I79" s="162"/>
      <c r="J79" s="162"/>
      <c r="K79" s="113">
        <f t="shared" si="1"/>
        <v>1</v>
      </c>
      <c r="L79" s="113"/>
    </row>
    <row r="80" spans="1:12" s="145" customFormat="1" ht="27.6" customHeight="1" x14ac:dyDescent="0.25">
      <c r="A80" s="113"/>
      <c r="B80" s="115"/>
      <c r="C80" s="146"/>
      <c r="D80" s="147"/>
      <c r="E80" s="147"/>
      <c r="F80" s="112"/>
      <c r="G80" s="111"/>
      <c r="H80" s="111"/>
      <c r="I80" s="162"/>
      <c r="J80" s="162"/>
      <c r="K80" s="113">
        <f t="shared" si="1"/>
        <v>1</v>
      </c>
      <c r="L80" s="113"/>
    </row>
    <row r="81" spans="1:12" s="145" customFormat="1" ht="27.6" customHeight="1" x14ac:dyDescent="0.25">
      <c r="A81" s="113"/>
      <c r="B81" s="115"/>
      <c r="C81" s="146"/>
      <c r="D81" s="147"/>
      <c r="E81" s="147"/>
      <c r="F81" s="112"/>
      <c r="G81" s="111"/>
      <c r="H81" s="111"/>
      <c r="I81" s="162"/>
      <c r="J81" s="162"/>
      <c r="K81" s="113">
        <f t="shared" si="1"/>
        <v>1</v>
      </c>
      <c r="L81" s="113"/>
    </row>
    <row r="82" spans="1:12" s="145" customFormat="1" ht="27.6" customHeight="1" x14ac:dyDescent="0.25">
      <c r="A82" s="113"/>
      <c r="B82" s="115"/>
      <c r="C82" s="146"/>
      <c r="D82" s="147"/>
      <c r="E82" s="147"/>
      <c r="F82" s="112"/>
      <c r="G82" s="111"/>
      <c r="H82" s="111"/>
      <c r="I82" s="162"/>
      <c r="J82" s="162"/>
      <c r="K82" s="113">
        <f t="shared" si="1"/>
        <v>1</v>
      </c>
      <c r="L82" s="113"/>
    </row>
    <row r="83" spans="1:12" s="145" customFormat="1" ht="27.6" customHeight="1" x14ac:dyDescent="0.25">
      <c r="A83" s="113"/>
      <c r="B83" s="115"/>
      <c r="C83" s="146"/>
      <c r="D83" s="147"/>
      <c r="E83" s="147"/>
      <c r="F83" s="112"/>
      <c r="G83" s="111"/>
      <c r="H83" s="111"/>
      <c r="I83" s="162"/>
      <c r="J83" s="162"/>
      <c r="K83" s="113">
        <f t="shared" si="1"/>
        <v>1</v>
      </c>
      <c r="L83" s="113"/>
    </row>
    <row r="84" spans="1:12" s="145" customFormat="1" ht="27.6" customHeight="1" x14ac:dyDescent="0.25">
      <c r="A84" s="113"/>
      <c r="B84" s="115"/>
      <c r="C84" s="146"/>
      <c r="D84" s="147"/>
      <c r="E84" s="147"/>
      <c r="F84" s="112"/>
      <c r="G84" s="111"/>
      <c r="H84" s="111"/>
      <c r="I84" s="162"/>
      <c r="J84" s="162"/>
      <c r="K84" s="113">
        <f t="shared" si="1"/>
        <v>1</v>
      </c>
      <c r="L84" s="113"/>
    </row>
    <row r="85" spans="1:12" s="145" customFormat="1" ht="27.6" customHeight="1" x14ac:dyDescent="0.25">
      <c r="A85" s="113"/>
      <c r="B85" s="115"/>
      <c r="C85" s="146"/>
      <c r="D85" s="147"/>
      <c r="E85" s="147"/>
      <c r="F85" s="112"/>
      <c r="G85" s="111"/>
      <c r="H85" s="111"/>
      <c r="I85" s="162"/>
      <c r="J85" s="162"/>
      <c r="K85" s="113">
        <f t="shared" si="1"/>
        <v>1</v>
      </c>
      <c r="L85" s="113"/>
    </row>
    <row r="86" spans="1:12" s="145" customFormat="1" ht="27.6" customHeight="1" x14ac:dyDescent="0.25">
      <c r="A86" s="113"/>
      <c r="B86" s="115"/>
      <c r="C86" s="146"/>
      <c r="D86" s="147"/>
      <c r="E86" s="147"/>
      <c r="F86" s="112"/>
      <c r="G86" s="111"/>
      <c r="H86" s="111"/>
      <c r="I86" s="162"/>
      <c r="J86" s="162"/>
      <c r="K86" s="113">
        <f t="shared" si="1"/>
        <v>1</v>
      </c>
      <c r="L86" s="113"/>
    </row>
    <row r="87" spans="1:12" s="145" customFormat="1" ht="27.6" customHeight="1" x14ac:dyDescent="0.25">
      <c r="A87" s="113"/>
      <c r="B87" s="115"/>
      <c r="C87" s="146"/>
      <c r="D87" s="147"/>
      <c r="E87" s="147"/>
      <c r="F87" s="112"/>
      <c r="G87" s="111"/>
      <c r="H87" s="111"/>
      <c r="I87" s="162"/>
      <c r="J87" s="162"/>
      <c r="K87" s="113">
        <f t="shared" si="1"/>
        <v>1</v>
      </c>
      <c r="L87" s="113"/>
    </row>
    <row r="88" spans="1:12" s="145" customFormat="1" ht="27.6" customHeight="1" x14ac:dyDescent="0.25">
      <c r="A88" s="113"/>
      <c r="B88" s="115"/>
      <c r="C88" s="146"/>
      <c r="D88" s="147"/>
      <c r="E88" s="147"/>
      <c r="F88" s="112"/>
      <c r="G88" s="111"/>
      <c r="H88" s="111"/>
      <c r="I88" s="162"/>
      <c r="J88" s="162"/>
      <c r="K88" s="113">
        <f t="shared" si="1"/>
        <v>1</v>
      </c>
      <c r="L88" s="113"/>
    </row>
    <row r="89" spans="1:12" s="145" customFormat="1" ht="27.6" customHeight="1" x14ac:dyDescent="0.25">
      <c r="A89" s="113"/>
      <c r="B89" s="115"/>
      <c r="C89" s="146"/>
      <c r="D89" s="147"/>
      <c r="E89" s="147"/>
      <c r="F89" s="112"/>
      <c r="G89" s="111"/>
      <c r="H89" s="111"/>
      <c r="I89" s="162"/>
      <c r="J89" s="162"/>
      <c r="K89" s="113">
        <f t="shared" si="1"/>
        <v>1</v>
      </c>
      <c r="L89" s="113"/>
    </row>
    <row r="90" spans="1:12" s="145" customFormat="1" ht="27.6" customHeight="1" x14ac:dyDescent="0.25">
      <c r="A90" s="113"/>
      <c r="B90" s="115"/>
      <c r="C90" s="146"/>
      <c r="D90" s="147"/>
      <c r="E90" s="147"/>
      <c r="F90" s="112"/>
      <c r="G90" s="111"/>
      <c r="H90" s="111"/>
      <c r="I90" s="162"/>
      <c r="J90" s="162"/>
      <c r="K90" s="113">
        <f t="shared" si="1"/>
        <v>1</v>
      </c>
      <c r="L90" s="113"/>
    </row>
    <row r="91" spans="1:12" s="145" customFormat="1" ht="27.6" customHeight="1" x14ac:dyDescent="0.25">
      <c r="A91" s="113"/>
      <c r="B91" s="115"/>
      <c r="C91" s="146"/>
      <c r="D91" s="147"/>
      <c r="E91" s="147"/>
      <c r="F91" s="112"/>
      <c r="G91" s="111"/>
      <c r="H91" s="111"/>
      <c r="I91" s="162"/>
      <c r="J91" s="162"/>
      <c r="K91" s="113">
        <f t="shared" si="1"/>
        <v>1</v>
      </c>
      <c r="L91" s="113"/>
    </row>
    <row r="92" spans="1:12" s="145" customFormat="1" ht="27.6" customHeight="1" x14ac:dyDescent="0.25">
      <c r="A92" s="113"/>
      <c r="B92" s="115"/>
      <c r="C92" s="146"/>
      <c r="D92" s="147"/>
      <c r="E92" s="147"/>
      <c r="F92" s="112"/>
      <c r="G92" s="111"/>
      <c r="H92" s="111"/>
      <c r="I92" s="162"/>
      <c r="J92" s="162"/>
      <c r="K92" s="113">
        <f t="shared" si="1"/>
        <v>1</v>
      </c>
      <c r="L92" s="113"/>
    </row>
    <row r="93" spans="1:12" s="145" customFormat="1" ht="27.6" customHeight="1" x14ac:dyDescent="0.25">
      <c r="A93" s="113"/>
      <c r="B93" s="115"/>
      <c r="C93" s="146"/>
      <c r="D93" s="147"/>
      <c r="E93" s="147"/>
      <c r="F93" s="112"/>
      <c r="G93" s="111"/>
      <c r="H93" s="111"/>
      <c r="I93" s="162"/>
      <c r="J93" s="162"/>
      <c r="K93" s="113">
        <f t="shared" si="1"/>
        <v>1</v>
      </c>
      <c r="L93" s="113"/>
    </row>
    <row r="94" spans="1:12" s="145" customFormat="1" ht="27.6" customHeight="1" x14ac:dyDescent="0.25">
      <c r="A94" s="113"/>
      <c r="B94" s="115"/>
      <c r="C94" s="146"/>
      <c r="D94" s="147"/>
      <c r="E94" s="147"/>
      <c r="F94" s="112"/>
      <c r="G94" s="111"/>
      <c r="H94" s="111"/>
      <c r="I94" s="162"/>
      <c r="J94" s="162"/>
      <c r="K94" s="113">
        <f t="shared" si="1"/>
        <v>1</v>
      </c>
      <c r="L94" s="113"/>
    </row>
    <row r="95" spans="1:12" s="145" customFormat="1" ht="27.6" customHeight="1" x14ac:dyDescent="0.25">
      <c r="A95" s="113"/>
      <c r="B95" s="115"/>
      <c r="C95" s="146"/>
      <c r="D95" s="147"/>
      <c r="E95" s="147"/>
      <c r="F95" s="112"/>
      <c r="G95" s="111"/>
      <c r="H95" s="111"/>
      <c r="I95" s="162"/>
      <c r="J95" s="162"/>
      <c r="K95" s="113">
        <f t="shared" si="1"/>
        <v>1</v>
      </c>
      <c r="L95" s="113"/>
    </row>
    <row r="96" spans="1:12" s="145" customFormat="1" ht="27.6" customHeight="1" x14ac:dyDescent="0.25">
      <c r="A96" s="113"/>
      <c r="B96" s="115"/>
      <c r="C96" s="146"/>
      <c r="D96" s="147"/>
      <c r="E96" s="147"/>
      <c r="F96" s="112"/>
      <c r="G96" s="111"/>
      <c r="H96" s="111"/>
      <c r="I96" s="162"/>
      <c r="J96" s="162"/>
      <c r="K96" s="113">
        <f t="shared" si="1"/>
        <v>1</v>
      </c>
      <c r="L96" s="113"/>
    </row>
    <row r="97" spans="1:12" s="145" customFormat="1" ht="27.6" customHeight="1" x14ac:dyDescent="0.25">
      <c r="A97" s="113"/>
      <c r="B97" s="115"/>
      <c r="C97" s="146"/>
      <c r="D97" s="147"/>
      <c r="E97" s="147"/>
      <c r="F97" s="112"/>
      <c r="G97" s="111"/>
      <c r="H97" s="111"/>
      <c r="I97" s="162"/>
      <c r="J97" s="162"/>
      <c r="K97" s="113">
        <f t="shared" si="1"/>
        <v>1</v>
      </c>
      <c r="L97" s="113"/>
    </row>
    <row r="98" spans="1:12" s="145" customFormat="1" ht="27.6" customHeight="1" x14ac:dyDescent="0.25">
      <c r="A98" s="113"/>
      <c r="B98" s="115"/>
      <c r="C98" s="146"/>
      <c r="D98" s="147"/>
      <c r="E98" s="147"/>
      <c r="F98" s="112"/>
      <c r="G98" s="111"/>
      <c r="H98" s="111"/>
      <c r="I98" s="162"/>
      <c r="J98" s="162"/>
      <c r="K98" s="113">
        <f t="shared" si="1"/>
        <v>1</v>
      </c>
      <c r="L98" s="113"/>
    </row>
    <row r="99" spans="1:12" s="145" customFormat="1" ht="27.6" customHeight="1" x14ac:dyDescent="0.25">
      <c r="A99" s="113"/>
      <c r="B99" s="115"/>
      <c r="C99" s="146"/>
      <c r="D99" s="147"/>
      <c r="E99" s="147"/>
      <c r="F99" s="112"/>
      <c r="G99" s="111"/>
      <c r="H99" s="111"/>
      <c r="I99" s="162"/>
      <c r="J99" s="162"/>
      <c r="K99" s="113">
        <f t="shared" si="1"/>
        <v>1</v>
      </c>
      <c r="L99" s="113"/>
    </row>
    <row r="100" spans="1:12" s="145" customFormat="1" ht="27.6" customHeight="1" x14ac:dyDescent="0.25">
      <c r="A100" s="113"/>
      <c r="B100" s="115"/>
      <c r="C100" s="146"/>
      <c r="D100" s="147"/>
      <c r="E100" s="147"/>
      <c r="F100" s="112"/>
      <c r="G100" s="111"/>
      <c r="H100" s="111"/>
      <c r="I100" s="162"/>
      <c r="J100" s="162"/>
      <c r="K100" s="113">
        <f t="shared" si="1"/>
        <v>1</v>
      </c>
      <c r="L100" s="113"/>
    </row>
    <row r="101" spans="1:12" s="145" customFormat="1" ht="27.6" customHeight="1" x14ac:dyDescent="0.25">
      <c r="A101" s="113"/>
      <c r="B101" s="115"/>
      <c r="C101" s="146"/>
      <c r="D101" s="147"/>
      <c r="E101" s="147"/>
      <c r="F101" s="112"/>
      <c r="G101" s="111"/>
      <c r="H101" s="111"/>
      <c r="I101" s="162"/>
      <c r="J101" s="162"/>
      <c r="K101" s="113">
        <f t="shared" si="1"/>
        <v>1</v>
      </c>
      <c r="L101" s="113"/>
    </row>
    <row r="102" spans="1:12" s="145" customFormat="1" ht="27.6" customHeight="1" x14ac:dyDescent="0.25">
      <c r="A102" s="113"/>
      <c r="B102" s="115"/>
      <c r="C102" s="146"/>
      <c r="D102" s="147"/>
      <c r="E102" s="147"/>
      <c r="F102" s="112"/>
      <c r="G102" s="111"/>
      <c r="H102" s="111"/>
      <c r="I102" s="162"/>
      <c r="J102" s="162"/>
      <c r="K102" s="113">
        <f t="shared" si="1"/>
        <v>1</v>
      </c>
      <c r="L102" s="113"/>
    </row>
    <row r="103" spans="1:12" s="145" customFormat="1" ht="27.6" customHeight="1" x14ac:dyDescent="0.25">
      <c r="A103" s="113"/>
      <c r="B103" s="115"/>
      <c r="C103" s="146"/>
      <c r="D103" s="147"/>
      <c r="E103" s="147"/>
      <c r="F103" s="112"/>
      <c r="G103" s="111"/>
      <c r="H103" s="111"/>
      <c r="I103" s="162"/>
      <c r="J103" s="162"/>
      <c r="K103" s="113">
        <f t="shared" si="1"/>
        <v>1</v>
      </c>
      <c r="L103" s="113"/>
    </row>
    <row r="104" spans="1:12" s="145" customFormat="1" ht="27.6" customHeight="1" x14ac:dyDescent="0.25">
      <c r="A104" s="113"/>
      <c r="B104" s="115"/>
      <c r="C104" s="146"/>
      <c r="D104" s="147"/>
      <c r="E104" s="147"/>
      <c r="F104" s="112"/>
      <c r="G104" s="111"/>
      <c r="H104" s="111"/>
      <c r="I104" s="162"/>
      <c r="J104" s="162"/>
      <c r="K104" s="113">
        <f t="shared" si="1"/>
        <v>1</v>
      </c>
      <c r="L104" s="113"/>
    </row>
    <row r="105" spans="1:12" s="145" customFormat="1" ht="27.6" customHeight="1" x14ac:dyDescent="0.25">
      <c r="A105" s="113"/>
      <c r="B105" s="115"/>
      <c r="C105" s="146"/>
      <c r="D105" s="147"/>
      <c r="E105" s="147"/>
      <c r="F105" s="112"/>
      <c r="G105" s="111"/>
      <c r="H105" s="111"/>
      <c r="I105" s="162"/>
      <c r="J105" s="162"/>
      <c r="K105" s="113">
        <f t="shared" si="1"/>
        <v>1</v>
      </c>
      <c r="L105" s="113"/>
    </row>
    <row r="106" spans="1:12" s="145" customFormat="1" ht="27.6" customHeight="1" x14ac:dyDescent="0.25">
      <c r="A106" s="113"/>
      <c r="B106" s="115"/>
      <c r="C106" s="146"/>
      <c r="D106" s="147"/>
      <c r="E106" s="147"/>
      <c r="F106" s="112"/>
      <c r="G106" s="111"/>
      <c r="H106" s="111"/>
      <c r="I106" s="162"/>
      <c r="J106" s="162"/>
      <c r="K106" s="113">
        <f t="shared" si="1"/>
        <v>1</v>
      </c>
      <c r="L106" s="113"/>
    </row>
    <row r="107" spans="1:12" s="145" customFormat="1" ht="27.6" customHeight="1" x14ac:dyDescent="0.25">
      <c r="A107" s="113"/>
      <c r="B107" s="115"/>
      <c r="C107" s="146"/>
      <c r="D107" s="147"/>
      <c r="E107" s="147"/>
      <c r="F107" s="112"/>
      <c r="G107" s="111"/>
      <c r="H107" s="111"/>
      <c r="I107" s="162"/>
      <c r="J107" s="162"/>
      <c r="K107" s="113">
        <f t="shared" si="1"/>
        <v>1</v>
      </c>
      <c r="L107" s="113"/>
    </row>
    <row r="108" spans="1:12" s="145" customFormat="1" ht="27.6" customHeight="1" x14ac:dyDescent="0.25">
      <c r="A108" s="113"/>
      <c r="B108" s="115"/>
      <c r="C108" s="146"/>
      <c r="D108" s="147"/>
      <c r="E108" s="147"/>
      <c r="F108" s="112"/>
      <c r="G108" s="111"/>
      <c r="H108" s="111"/>
      <c r="I108" s="162"/>
      <c r="J108" s="162"/>
      <c r="K108" s="113">
        <f t="shared" si="1"/>
        <v>1</v>
      </c>
      <c r="L108" s="113"/>
    </row>
    <row r="109" spans="1:12" s="145" customFormat="1" ht="27.6" customHeight="1" x14ac:dyDescent="0.25">
      <c r="A109" s="113"/>
      <c r="B109" s="115"/>
      <c r="C109" s="146"/>
      <c r="D109" s="147"/>
      <c r="E109" s="147"/>
      <c r="F109" s="112"/>
      <c r="G109" s="111"/>
      <c r="H109" s="111"/>
      <c r="I109" s="162"/>
      <c r="J109" s="162"/>
      <c r="K109" s="113">
        <f t="shared" si="1"/>
        <v>1</v>
      </c>
      <c r="L109" s="113"/>
    </row>
    <row r="110" spans="1:12" s="145" customFormat="1" ht="27.6" customHeight="1" x14ac:dyDescent="0.25">
      <c r="A110" s="113"/>
      <c r="B110" s="115"/>
      <c r="C110" s="146"/>
      <c r="D110" s="147"/>
      <c r="E110" s="147"/>
      <c r="F110" s="112"/>
      <c r="G110" s="111"/>
      <c r="H110" s="111"/>
      <c r="I110" s="162"/>
      <c r="J110" s="162"/>
      <c r="K110" s="113">
        <f t="shared" si="1"/>
        <v>1</v>
      </c>
      <c r="L110" s="113"/>
    </row>
    <row r="111" spans="1:12" s="145" customFormat="1" ht="27.6" customHeight="1" x14ac:dyDescent="0.25">
      <c r="A111" s="113"/>
      <c r="B111" s="115"/>
      <c r="C111" s="146"/>
      <c r="D111" s="147"/>
      <c r="E111" s="147"/>
      <c r="F111" s="112"/>
      <c r="G111" s="111"/>
      <c r="H111" s="111"/>
      <c r="I111" s="162"/>
      <c r="J111" s="162"/>
      <c r="K111" s="113">
        <f t="shared" si="1"/>
        <v>1</v>
      </c>
      <c r="L111" s="113"/>
    </row>
    <row r="112" spans="1:12" s="145" customFormat="1" ht="27.6" customHeight="1" x14ac:dyDescent="0.25">
      <c r="A112" s="113"/>
      <c r="B112" s="115"/>
      <c r="C112" s="146"/>
      <c r="D112" s="147"/>
      <c r="E112" s="147"/>
      <c r="F112" s="112"/>
      <c r="G112" s="111"/>
      <c r="H112" s="111"/>
      <c r="I112" s="162"/>
      <c r="J112" s="162"/>
      <c r="K112" s="113">
        <f t="shared" si="1"/>
        <v>1</v>
      </c>
      <c r="L112" s="113"/>
    </row>
    <row r="113" spans="1:12" s="145" customFormat="1" ht="27.6" customHeight="1" x14ac:dyDescent="0.25">
      <c r="A113" s="113"/>
      <c r="B113" s="115"/>
      <c r="C113" s="146"/>
      <c r="D113" s="147"/>
      <c r="E113" s="147"/>
      <c r="F113" s="112"/>
      <c r="G113" s="111"/>
      <c r="H113" s="111"/>
      <c r="I113" s="162"/>
      <c r="J113" s="162"/>
      <c r="K113" s="113">
        <f t="shared" si="1"/>
        <v>1</v>
      </c>
      <c r="L113" s="113"/>
    </row>
    <row r="114" spans="1:12" s="145" customFormat="1" ht="27.6" customHeight="1" x14ac:dyDescent="0.25">
      <c r="A114" s="113"/>
      <c r="B114" s="115"/>
      <c r="C114" s="146"/>
      <c r="D114" s="147"/>
      <c r="E114" s="147"/>
      <c r="F114" s="112"/>
      <c r="G114" s="111"/>
      <c r="H114" s="111"/>
      <c r="I114" s="162"/>
      <c r="J114" s="162"/>
      <c r="K114" s="113">
        <f t="shared" si="1"/>
        <v>1</v>
      </c>
      <c r="L114" s="113"/>
    </row>
    <row r="115" spans="1:12" s="145" customFormat="1" ht="27.6" customHeight="1" x14ac:dyDescent="0.25">
      <c r="A115" s="113"/>
      <c r="B115" s="115"/>
      <c r="C115" s="146"/>
      <c r="D115" s="147"/>
      <c r="E115" s="147"/>
      <c r="F115" s="112"/>
      <c r="G115" s="111"/>
      <c r="H115" s="111"/>
      <c r="I115" s="162"/>
      <c r="J115" s="162"/>
      <c r="K115" s="113">
        <f t="shared" si="1"/>
        <v>1</v>
      </c>
      <c r="L115" s="113"/>
    </row>
    <row r="116" spans="1:12" s="145" customFormat="1" ht="27.6" customHeight="1" x14ac:dyDescent="0.25">
      <c r="A116" s="113"/>
      <c r="B116" s="115"/>
      <c r="C116" s="146"/>
      <c r="D116" s="147"/>
      <c r="E116" s="147"/>
      <c r="F116" s="112"/>
      <c r="G116" s="111"/>
      <c r="H116" s="111"/>
      <c r="I116" s="162"/>
      <c r="J116" s="162"/>
      <c r="K116" s="113">
        <f t="shared" si="1"/>
        <v>1</v>
      </c>
      <c r="L116" s="113"/>
    </row>
    <row r="117" spans="1:12" s="145" customFormat="1" ht="27.6" customHeight="1" x14ac:dyDescent="0.25">
      <c r="A117" s="113"/>
      <c r="B117" s="115"/>
      <c r="C117" s="146"/>
      <c r="D117" s="147"/>
      <c r="E117" s="147"/>
      <c r="F117" s="112"/>
      <c r="G117" s="111"/>
      <c r="H117" s="111"/>
      <c r="I117" s="162"/>
      <c r="J117" s="162"/>
      <c r="K117" s="113">
        <f t="shared" si="1"/>
        <v>1</v>
      </c>
      <c r="L117" s="113"/>
    </row>
    <row r="118" spans="1:12" s="145" customFormat="1" ht="27.6" customHeight="1" x14ac:dyDescent="0.25">
      <c r="A118" s="113"/>
      <c r="B118" s="115"/>
      <c r="C118" s="146"/>
      <c r="D118" s="147"/>
      <c r="E118" s="147"/>
      <c r="F118" s="112"/>
      <c r="G118" s="111"/>
      <c r="H118" s="111"/>
      <c r="I118" s="162"/>
      <c r="J118" s="162"/>
      <c r="K118" s="113">
        <f t="shared" si="1"/>
        <v>1</v>
      </c>
      <c r="L118" s="113"/>
    </row>
    <row r="119" spans="1:12" s="145" customFormat="1" ht="27.6" customHeight="1" x14ac:dyDescent="0.25">
      <c r="A119" s="113"/>
      <c r="B119" s="115"/>
      <c r="C119" s="146"/>
      <c r="D119" s="147"/>
      <c r="E119" s="147"/>
      <c r="F119" s="112"/>
      <c r="G119" s="111"/>
      <c r="H119" s="111"/>
      <c r="I119" s="162"/>
      <c r="J119" s="162"/>
      <c r="K119" s="113">
        <f t="shared" si="1"/>
        <v>1</v>
      </c>
      <c r="L119" s="113"/>
    </row>
    <row r="120" spans="1:12" s="145" customFormat="1" ht="27.6" customHeight="1" x14ac:dyDescent="0.25">
      <c r="A120" s="113"/>
      <c r="B120" s="115"/>
      <c r="C120" s="146"/>
      <c r="D120" s="147"/>
      <c r="E120" s="147"/>
      <c r="F120" s="112"/>
      <c r="G120" s="111"/>
      <c r="H120" s="111"/>
      <c r="I120" s="162"/>
      <c r="J120" s="162"/>
      <c r="K120" s="113">
        <f t="shared" si="1"/>
        <v>1</v>
      </c>
      <c r="L120" s="113"/>
    </row>
    <row r="121" spans="1:12" s="145" customFormat="1" ht="27.6" customHeight="1" x14ac:dyDescent="0.25">
      <c r="A121" s="113"/>
      <c r="B121" s="115"/>
      <c r="C121" s="146"/>
      <c r="D121" s="147"/>
      <c r="E121" s="147"/>
      <c r="F121" s="112"/>
      <c r="G121" s="111"/>
      <c r="H121" s="111"/>
      <c r="I121" s="162"/>
      <c r="J121" s="162"/>
      <c r="K121" s="113">
        <f t="shared" si="1"/>
        <v>1</v>
      </c>
      <c r="L121" s="113"/>
    </row>
    <row r="122" spans="1:12" s="145" customFormat="1" ht="27.6" customHeight="1" x14ac:dyDescent="0.25">
      <c r="A122" s="113"/>
      <c r="B122" s="115"/>
      <c r="C122" s="146"/>
      <c r="D122" s="147"/>
      <c r="E122" s="147"/>
      <c r="F122" s="112"/>
      <c r="G122" s="111"/>
      <c r="H122" s="111"/>
      <c r="I122" s="162"/>
      <c r="J122" s="162"/>
      <c r="K122" s="113">
        <f t="shared" si="1"/>
        <v>1</v>
      </c>
      <c r="L122" s="113"/>
    </row>
    <row r="123" spans="1:12" s="145" customFormat="1" ht="27.6" customHeight="1" x14ac:dyDescent="0.25">
      <c r="A123" s="113"/>
      <c r="B123" s="115"/>
      <c r="C123" s="146"/>
      <c r="D123" s="147"/>
      <c r="E123" s="147"/>
      <c r="F123" s="112"/>
      <c r="G123" s="111"/>
      <c r="H123" s="111"/>
      <c r="I123" s="162"/>
      <c r="J123" s="162"/>
      <c r="K123" s="113">
        <f t="shared" si="1"/>
        <v>1</v>
      </c>
      <c r="L123" s="113"/>
    </row>
    <row r="124" spans="1:12" s="145" customFormat="1" ht="27.6" customHeight="1" x14ac:dyDescent="0.25">
      <c r="A124" s="113"/>
      <c r="B124" s="115"/>
      <c r="C124" s="146"/>
      <c r="D124" s="147"/>
      <c r="E124" s="147"/>
      <c r="F124" s="112"/>
      <c r="G124" s="111"/>
      <c r="H124" s="111"/>
      <c r="I124" s="162"/>
      <c r="J124" s="162"/>
      <c r="K124" s="113">
        <f t="shared" si="1"/>
        <v>1</v>
      </c>
      <c r="L124" s="113"/>
    </row>
    <row r="125" spans="1:12" s="145" customFormat="1" ht="27.6" customHeight="1" x14ac:dyDescent="0.25">
      <c r="A125" s="113"/>
      <c r="B125" s="115"/>
      <c r="C125" s="146"/>
      <c r="D125" s="147"/>
      <c r="E125" s="147"/>
      <c r="F125" s="112"/>
      <c r="G125" s="111"/>
      <c r="H125" s="111"/>
      <c r="I125" s="162"/>
      <c r="J125" s="162"/>
      <c r="K125" s="113">
        <f t="shared" si="1"/>
        <v>1</v>
      </c>
      <c r="L125" s="113"/>
    </row>
    <row r="126" spans="1:12" s="145" customFormat="1" ht="27.6" customHeight="1" x14ac:dyDescent="0.25">
      <c r="A126" s="113"/>
      <c r="B126" s="115"/>
      <c r="C126" s="146"/>
      <c r="D126" s="147"/>
      <c r="E126" s="147"/>
      <c r="F126" s="112"/>
      <c r="G126" s="111"/>
      <c r="H126" s="111"/>
      <c r="I126" s="162"/>
      <c r="J126" s="162"/>
      <c r="K126" s="113">
        <f t="shared" ref="K126:K189" si="2">J126-I126+1</f>
        <v>1</v>
      </c>
      <c r="L126" s="113"/>
    </row>
    <row r="127" spans="1:12" s="145" customFormat="1" ht="27.6" customHeight="1" x14ac:dyDescent="0.25">
      <c r="A127" s="113"/>
      <c r="B127" s="115"/>
      <c r="C127" s="146"/>
      <c r="D127" s="147"/>
      <c r="E127" s="147"/>
      <c r="F127" s="112"/>
      <c r="G127" s="111"/>
      <c r="H127" s="111"/>
      <c r="I127" s="162"/>
      <c r="J127" s="162"/>
      <c r="K127" s="113">
        <f t="shared" si="2"/>
        <v>1</v>
      </c>
      <c r="L127" s="113"/>
    </row>
    <row r="128" spans="1:12" s="145" customFormat="1" ht="27.6" customHeight="1" x14ac:dyDescent="0.25">
      <c r="A128" s="113"/>
      <c r="B128" s="115"/>
      <c r="C128" s="146"/>
      <c r="D128" s="147"/>
      <c r="E128" s="147"/>
      <c r="F128" s="112"/>
      <c r="G128" s="111"/>
      <c r="H128" s="111"/>
      <c r="I128" s="162"/>
      <c r="J128" s="162"/>
      <c r="K128" s="113">
        <f t="shared" si="2"/>
        <v>1</v>
      </c>
      <c r="L128" s="113"/>
    </row>
    <row r="129" spans="1:12" s="145" customFormat="1" ht="27.6" customHeight="1" x14ac:dyDescent="0.25">
      <c r="A129" s="113"/>
      <c r="B129" s="115"/>
      <c r="C129" s="146"/>
      <c r="D129" s="147"/>
      <c r="E129" s="147"/>
      <c r="F129" s="112"/>
      <c r="G129" s="111"/>
      <c r="H129" s="111"/>
      <c r="I129" s="162"/>
      <c r="J129" s="162"/>
      <c r="K129" s="113">
        <f t="shared" si="2"/>
        <v>1</v>
      </c>
      <c r="L129" s="113"/>
    </row>
    <row r="130" spans="1:12" s="145" customFormat="1" ht="27.6" customHeight="1" x14ac:dyDescent="0.25">
      <c r="A130" s="113"/>
      <c r="B130" s="115"/>
      <c r="C130" s="146"/>
      <c r="D130" s="147"/>
      <c r="E130" s="147"/>
      <c r="F130" s="112"/>
      <c r="G130" s="111"/>
      <c r="H130" s="111"/>
      <c r="I130" s="162"/>
      <c r="J130" s="162"/>
      <c r="K130" s="113">
        <f t="shared" si="2"/>
        <v>1</v>
      </c>
      <c r="L130" s="113"/>
    </row>
    <row r="131" spans="1:12" s="145" customFormat="1" ht="27.6" customHeight="1" x14ac:dyDescent="0.25">
      <c r="A131" s="113"/>
      <c r="B131" s="115"/>
      <c r="C131" s="146"/>
      <c r="D131" s="147"/>
      <c r="E131" s="147"/>
      <c r="F131" s="112"/>
      <c r="G131" s="111"/>
      <c r="H131" s="111"/>
      <c r="I131" s="162"/>
      <c r="J131" s="162"/>
      <c r="K131" s="113">
        <f t="shared" si="2"/>
        <v>1</v>
      </c>
      <c r="L131" s="113"/>
    </row>
    <row r="132" spans="1:12" s="145" customFormat="1" ht="27.6" customHeight="1" x14ac:dyDescent="0.25">
      <c r="A132" s="113"/>
      <c r="B132" s="115"/>
      <c r="C132" s="146"/>
      <c r="D132" s="147"/>
      <c r="E132" s="147"/>
      <c r="F132" s="112"/>
      <c r="G132" s="111"/>
      <c r="H132" s="111"/>
      <c r="I132" s="162"/>
      <c r="J132" s="162"/>
      <c r="K132" s="113">
        <f t="shared" si="2"/>
        <v>1</v>
      </c>
      <c r="L132" s="113"/>
    </row>
    <row r="133" spans="1:12" s="145" customFormat="1" ht="27.6" customHeight="1" x14ac:dyDescent="0.25">
      <c r="A133" s="113"/>
      <c r="B133" s="115"/>
      <c r="C133" s="146"/>
      <c r="D133" s="147"/>
      <c r="E133" s="147"/>
      <c r="F133" s="112"/>
      <c r="G133" s="111"/>
      <c r="H133" s="111"/>
      <c r="I133" s="162"/>
      <c r="J133" s="162"/>
      <c r="K133" s="113">
        <f t="shared" si="2"/>
        <v>1</v>
      </c>
      <c r="L133" s="113"/>
    </row>
    <row r="134" spans="1:12" s="145" customFormat="1" ht="27.6" customHeight="1" x14ac:dyDescent="0.25">
      <c r="A134" s="113"/>
      <c r="B134" s="115"/>
      <c r="C134" s="146"/>
      <c r="D134" s="147"/>
      <c r="E134" s="147"/>
      <c r="F134" s="112"/>
      <c r="G134" s="111"/>
      <c r="H134" s="111"/>
      <c r="I134" s="162"/>
      <c r="J134" s="162"/>
      <c r="K134" s="113">
        <f t="shared" si="2"/>
        <v>1</v>
      </c>
      <c r="L134" s="113"/>
    </row>
    <row r="135" spans="1:12" s="145" customFormat="1" ht="27.6" customHeight="1" x14ac:dyDescent="0.25">
      <c r="A135" s="113"/>
      <c r="B135" s="115"/>
      <c r="C135" s="146"/>
      <c r="D135" s="147"/>
      <c r="E135" s="147"/>
      <c r="F135" s="112"/>
      <c r="G135" s="111"/>
      <c r="H135" s="111"/>
      <c r="I135" s="162"/>
      <c r="J135" s="162"/>
      <c r="K135" s="113">
        <f t="shared" si="2"/>
        <v>1</v>
      </c>
      <c r="L135" s="113"/>
    </row>
    <row r="136" spans="1:12" s="145" customFormat="1" ht="27.6" customHeight="1" x14ac:dyDescent="0.25">
      <c r="A136" s="113"/>
      <c r="B136" s="115"/>
      <c r="C136" s="146"/>
      <c r="D136" s="147"/>
      <c r="E136" s="147"/>
      <c r="F136" s="112"/>
      <c r="G136" s="111"/>
      <c r="H136" s="111"/>
      <c r="I136" s="162"/>
      <c r="J136" s="162"/>
      <c r="K136" s="113">
        <f t="shared" si="2"/>
        <v>1</v>
      </c>
      <c r="L136" s="113"/>
    </row>
    <row r="137" spans="1:12" s="145" customFormat="1" ht="27.6" customHeight="1" x14ac:dyDescent="0.25">
      <c r="A137" s="113"/>
      <c r="B137" s="115"/>
      <c r="C137" s="146"/>
      <c r="D137" s="147"/>
      <c r="E137" s="147"/>
      <c r="F137" s="112"/>
      <c r="G137" s="111"/>
      <c r="H137" s="111"/>
      <c r="I137" s="162"/>
      <c r="J137" s="162"/>
      <c r="K137" s="113">
        <f t="shared" si="2"/>
        <v>1</v>
      </c>
      <c r="L137" s="113"/>
    </row>
    <row r="138" spans="1:12" s="145" customFormat="1" ht="27.6" customHeight="1" x14ac:dyDescent="0.25">
      <c r="A138" s="113"/>
      <c r="B138" s="115"/>
      <c r="C138" s="146"/>
      <c r="D138" s="147"/>
      <c r="E138" s="147"/>
      <c r="F138" s="112"/>
      <c r="G138" s="111"/>
      <c r="H138" s="111"/>
      <c r="I138" s="162"/>
      <c r="J138" s="162"/>
      <c r="K138" s="113">
        <f t="shared" si="2"/>
        <v>1</v>
      </c>
      <c r="L138" s="113"/>
    </row>
    <row r="139" spans="1:12" s="145" customFormat="1" ht="27.6" customHeight="1" x14ac:dyDescent="0.25">
      <c r="A139" s="113"/>
      <c r="B139" s="115"/>
      <c r="C139" s="146"/>
      <c r="D139" s="147"/>
      <c r="E139" s="147"/>
      <c r="F139" s="112"/>
      <c r="G139" s="111"/>
      <c r="H139" s="111"/>
      <c r="I139" s="162"/>
      <c r="J139" s="162"/>
      <c r="K139" s="113">
        <f t="shared" si="2"/>
        <v>1</v>
      </c>
      <c r="L139" s="113"/>
    </row>
    <row r="140" spans="1:12" s="145" customFormat="1" ht="27.6" customHeight="1" x14ac:dyDescent="0.25">
      <c r="A140" s="113"/>
      <c r="B140" s="115"/>
      <c r="C140" s="146"/>
      <c r="D140" s="147"/>
      <c r="E140" s="147"/>
      <c r="F140" s="112"/>
      <c r="G140" s="111"/>
      <c r="H140" s="111"/>
      <c r="I140" s="162"/>
      <c r="J140" s="162"/>
      <c r="K140" s="113">
        <f t="shared" si="2"/>
        <v>1</v>
      </c>
      <c r="L140" s="113"/>
    </row>
    <row r="141" spans="1:12" s="145" customFormat="1" ht="27.6" customHeight="1" x14ac:dyDescent="0.25">
      <c r="A141" s="113"/>
      <c r="B141" s="115"/>
      <c r="C141" s="146"/>
      <c r="D141" s="147"/>
      <c r="E141" s="147"/>
      <c r="F141" s="112"/>
      <c r="G141" s="111"/>
      <c r="H141" s="111"/>
      <c r="I141" s="162"/>
      <c r="J141" s="162"/>
      <c r="K141" s="113">
        <f t="shared" si="2"/>
        <v>1</v>
      </c>
      <c r="L141" s="113"/>
    </row>
    <row r="142" spans="1:12" s="145" customFormat="1" ht="27.6" customHeight="1" x14ac:dyDescent="0.25">
      <c r="A142" s="113"/>
      <c r="B142" s="115"/>
      <c r="C142" s="146"/>
      <c r="D142" s="147"/>
      <c r="E142" s="147"/>
      <c r="F142" s="112"/>
      <c r="G142" s="111"/>
      <c r="H142" s="111"/>
      <c r="I142" s="162"/>
      <c r="J142" s="162"/>
      <c r="K142" s="113">
        <f t="shared" si="2"/>
        <v>1</v>
      </c>
      <c r="L142" s="113"/>
    </row>
    <row r="143" spans="1:12" s="145" customFormat="1" ht="27.6" customHeight="1" x14ac:dyDescent="0.25">
      <c r="A143" s="113"/>
      <c r="B143" s="115"/>
      <c r="C143" s="146"/>
      <c r="D143" s="147"/>
      <c r="E143" s="147"/>
      <c r="F143" s="112"/>
      <c r="G143" s="111"/>
      <c r="H143" s="111"/>
      <c r="I143" s="162"/>
      <c r="J143" s="162"/>
      <c r="K143" s="113">
        <f t="shared" si="2"/>
        <v>1</v>
      </c>
      <c r="L143" s="113"/>
    </row>
    <row r="144" spans="1:12" s="145" customFormat="1" ht="27.6" customHeight="1" x14ac:dyDescent="0.25">
      <c r="A144" s="113"/>
      <c r="B144" s="115"/>
      <c r="C144" s="146"/>
      <c r="D144" s="147"/>
      <c r="E144" s="147"/>
      <c r="F144" s="112"/>
      <c r="G144" s="111"/>
      <c r="H144" s="111"/>
      <c r="I144" s="162"/>
      <c r="J144" s="162"/>
      <c r="K144" s="113">
        <f t="shared" si="2"/>
        <v>1</v>
      </c>
      <c r="L144" s="113"/>
    </row>
    <row r="145" spans="1:12" s="145" customFormat="1" ht="27.6" customHeight="1" x14ac:dyDescent="0.25">
      <c r="A145" s="113"/>
      <c r="B145" s="115"/>
      <c r="C145" s="146"/>
      <c r="D145" s="147"/>
      <c r="E145" s="147"/>
      <c r="F145" s="112"/>
      <c r="G145" s="111"/>
      <c r="H145" s="111"/>
      <c r="I145" s="162"/>
      <c r="J145" s="162"/>
      <c r="K145" s="113">
        <f t="shared" si="2"/>
        <v>1</v>
      </c>
      <c r="L145" s="113"/>
    </row>
    <row r="146" spans="1:12" s="145" customFormat="1" ht="27.6" customHeight="1" x14ac:dyDescent="0.25">
      <c r="A146" s="113"/>
      <c r="B146" s="115"/>
      <c r="C146" s="146"/>
      <c r="D146" s="147"/>
      <c r="E146" s="147"/>
      <c r="F146" s="112"/>
      <c r="G146" s="111"/>
      <c r="H146" s="111"/>
      <c r="I146" s="162"/>
      <c r="J146" s="162"/>
      <c r="K146" s="113">
        <f t="shared" si="2"/>
        <v>1</v>
      </c>
      <c r="L146" s="113"/>
    </row>
    <row r="147" spans="1:12" s="145" customFormat="1" ht="27.6" customHeight="1" x14ac:dyDescent="0.25">
      <c r="A147" s="113"/>
      <c r="B147" s="115"/>
      <c r="C147" s="146"/>
      <c r="D147" s="147"/>
      <c r="E147" s="147"/>
      <c r="F147" s="112"/>
      <c r="G147" s="111"/>
      <c r="H147" s="111"/>
      <c r="I147" s="162"/>
      <c r="J147" s="162"/>
      <c r="K147" s="113">
        <f t="shared" si="2"/>
        <v>1</v>
      </c>
      <c r="L147" s="113"/>
    </row>
    <row r="148" spans="1:12" s="145" customFormat="1" ht="27.6" customHeight="1" x14ac:dyDescent="0.25">
      <c r="A148" s="113"/>
      <c r="B148" s="115"/>
      <c r="C148" s="146"/>
      <c r="D148" s="147"/>
      <c r="E148" s="147"/>
      <c r="F148" s="112"/>
      <c r="G148" s="111"/>
      <c r="H148" s="111"/>
      <c r="I148" s="162"/>
      <c r="J148" s="162"/>
      <c r="K148" s="113">
        <f t="shared" si="2"/>
        <v>1</v>
      </c>
      <c r="L148" s="113"/>
    </row>
    <row r="149" spans="1:12" s="145" customFormat="1" ht="27.6" customHeight="1" x14ac:dyDescent="0.25">
      <c r="A149" s="113"/>
      <c r="B149" s="115"/>
      <c r="C149" s="146"/>
      <c r="D149" s="147"/>
      <c r="E149" s="147"/>
      <c r="F149" s="112"/>
      <c r="G149" s="111"/>
      <c r="H149" s="111"/>
      <c r="I149" s="162"/>
      <c r="J149" s="162"/>
      <c r="K149" s="113">
        <f t="shared" si="2"/>
        <v>1</v>
      </c>
      <c r="L149" s="113"/>
    </row>
    <row r="150" spans="1:12" s="145" customFormat="1" ht="27.6" customHeight="1" x14ac:dyDescent="0.25">
      <c r="A150" s="113"/>
      <c r="B150" s="115"/>
      <c r="C150" s="146"/>
      <c r="D150" s="147"/>
      <c r="E150" s="147"/>
      <c r="F150" s="112"/>
      <c r="G150" s="111"/>
      <c r="H150" s="111"/>
      <c r="I150" s="162"/>
      <c r="J150" s="162"/>
      <c r="K150" s="113">
        <f t="shared" si="2"/>
        <v>1</v>
      </c>
      <c r="L150" s="113"/>
    </row>
    <row r="151" spans="1:12" s="145" customFormat="1" ht="27.6" customHeight="1" x14ac:dyDescent="0.25">
      <c r="A151" s="113"/>
      <c r="B151" s="115"/>
      <c r="C151" s="146"/>
      <c r="D151" s="147"/>
      <c r="E151" s="147"/>
      <c r="F151" s="112"/>
      <c r="G151" s="111"/>
      <c r="H151" s="111"/>
      <c r="I151" s="162"/>
      <c r="J151" s="162"/>
      <c r="K151" s="113">
        <f t="shared" si="2"/>
        <v>1</v>
      </c>
      <c r="L151" s="113"/>
    </row>
    <row r="152" spans="1:12" s="145" customFormat="1" ht="27.6" customHeight="1" x14ac:dyDescent="0.25">
      <c r="A152" s="113"/>
      <c r="B152" s="115"/>
      <c r="C152" s="146"/>
      <c r="D152" s="147"/>
      <c r="E152" s="147"/>
      <c r="F152" s="112"/>
      <c r="G152" s="111"/>
      <c r="H152" s="111"/>
      <c r="I152" s="162"/>
      <c r="J152" s="162"/>
      <c r="K152" s="113">
        <f t="shared" si="2"/>
        <v>1</v>
      </c>
      <c r="L152" s="113"/>
    </row>
    <row r="153" spans="1:12" s="145" customFormat="1" ht="27.6" customHeight="1" x14ac:dyDescent="0.25">
      <c r="A153" s="113"/>
      <c r="B153" s="115"/>
      <c r="C153" s="146"/>
      <c r="D153" s="147"/>
      <c r="E153" s="147"/>
      <c r="F153" s="112"/>
      <c r="G153" s="111"/>
      <c r="H153" s="111"/>
      <c r="I153" s="162"/>
      <c r="J153" s="162"/>
      <c r="K153" s="113">
        <f t="shared" si="2"/>
        <v>1</v>
      </c>
      <c r="L153" s="113"/>
    </row>
    <row r="154" spans="1:12" s="145" customFormat="1" ht="27.6" customHeight="1" x14ac:dyDescent="0.25">
      <c r="A154" s="113"/>
      <c r="B154" s="115"/>
      <c r="C154" s="146"/>
      <c r="D154" s="147"/>
      <c r="E154" s="147"/>
      <c r="F154" s="112"/>
      <c r="G154" s="111"/>
      <c r="H154" s="111"/>
      <c r="I154" s="162"/>
      <c r="J154" s="162"/>
      <c r="K154" s="113">
        <f t="shared" si="2"/>
        <v>1</v>
      </c>
      <c r="L154" s="113"/>
    </row>
    <row r="155" spans="1:12" s="145" customFormat="1" ht="27.6" customHeight="1" x14ac:dyDescent="0.25">
      <c r="A155" s="113"/>
      <c r="B155" s="115"/>
      <c r="C155" s="146"/>
      <c r="D155" s="147"/>
      <c r="E155" s="147"/>
      <c r="F155" s="112"/>
      <c r="G155" s="111"/>
      <c r="H155" s="111"/>
      <c r="I155" s="162"/>
      <c r="J155" s="162"/>
      <c r="K155" s="113">
        <f t="shared" si="2"/>
        <v>1</v>
      </c>
      <c r="L155" s="113"/>
    </row>
    <row r="156" spans="1:12" s="145" customFormat="1" ht="27.6" customHeight="1" x14ac:dyDescent="0.25">
      <c r="A156" s="113"/>
      <c r="B156" s="115"/>
      <c r="C156" s="146"/>
      <c r="D156" s="147"/>
      <c r="E156" s="147"/>
      <c r="F156" s="112"/>
      <c r="G156" s="111"/>
      <c r="H156" s="111"/>
      <c r="I156" s="162"/>
      <c r="J156" s="162"/>
      <c r="K156" s="113">
        <f t="shared" si="2"/>
        <v>1</v>
      </c>
      <c r="L156" s="113"/>
    </row>
    <row r="157" spans="1:12" s="145" customFormat="1" ht="27.6" customHeight="1" x14ac:dyDescent="0.25">
      <c r="A157" s="113"/>
      <c r="B157" s="115"/>
      <c r="C157" s="146"/>
      <c r="D157" s="147"/>
      <c r="E157" s="147"/>
      <c r="F157" s="112"/>
      <c r="G157" s="111"/>
      <c r="H157" s="111"/>
      <c r="I157" s="162"/>
      <c r="J157" s="162"/>
      <c r="K157" s="113">
        <f t="shared" si="2"/>
        <v>1</v>
      </c>
      <c r="L157" s="113"/>
    </row>
    <row r="158" spans="1:12" s="145" customFormat="1" ht="27.6" customHeight="1" x14ac:dyDescent="0.25">
      <c r="A158" s="113"/>
      <c r="B158" s="115"/>
      <c r="C158" s="146"/>
      <c r="D158" s="147"/>
      <c r="E158" s="147"/>
      <c r="F158" s="112"/>
      <c r="G158" s="111"/>
      <c r="H158" s="111"/>
      <c r="I158" s="162"/>
      <c r="J158" s="162"/>
      <c r="K158" s="113">
        <f t="shared" si="2"/>
        <v>1</v>
      </c>
      <c r="L158" s="113"/>
    </row>
    <row r="159" spans="1:12" s="145" customFormat="1" ht="27.6" customHeight="1" x14ac:dyDescent="0.25">
      <c r="A159" s="113"/>
      <c r="B159" s="115"/>
      <c r="C159" s="146"/>
      <c r="D159" s="147"/>
      <c r="E159" s="147"/>
      <c r="F159" s="112"/>
      <c r="G159" s="111"/>
      <c r="H159" s="111"/>
      <c r="I159" s="162"/>
      <c r="J159" s="162"/>
      <c r="K159" s="113">
        <f t="shared" si="2"/>
        <v>1</v>
      </c>
      <c r="L159" s="113"/>
    </row>
    <row r="160" spans="1:12" s="145" customFormat="1" ht="27.6" customHeight="1" x14ac:dyDescent="0.25">
      <c r="A160" s="113"/>
      <c r="B160" s="115"/>
      <c r="C160" s="146"/>
      <c r="D160" s="147"/>
      <c r="E160" s="147"/>
      <c r="F160" s="112"/>
      <c r="G160" s="111"/>
      <c r="H160" s="111"/>
      <c r="I160" s="162"/>
      <c r="J160" s="162"/>
      <c r="K160" s="113">
        <f t="shared" si="2"/>
        <v>1</v>
      </c>
      <c r="L160" s="113"/>
    </row>
    <row r="161" spans="1:12" s="145" customFormat="1" ht="27.6" customHeight="1" x14ac:dyDescent="0.25">
      <c r="A161" s="113"/>
      <c r="B161" s="115"/>
      <c r="C161" s="146"/>
      <c r="D161" s="147"/>
      <c r="E161" s="147"/>
      <c r="F161" s="112"/>
      <c r="G161" s="111"/>
      <c r="H161" s="111"/>
      <c r="I161" s="162"/>
      <c r="J161" s="162"/>
      <c r="K161" s="113">
        <f t="shared" si="2"/>
        <v>1</v>
      </c>
      <c r="L161" s="113"/>
    </row>
    <row r="162" spans="1:12" s="145" customFormat="1" ht="27.6" customHeight="1" x14ac:dyDescent="0.25">
      <c r="A162" s="113"/>
      <c r="B162" s="115"/>
      <c r="C162" s="146"/>
      <c r="D162" s="147"/>
      <c r="E162" s="147"/>
      <c r="F162" s="112"/>
      <c r="G162" s="111"/>
      <c r="H162" s="111"/>
      <c r="I162" s="162"/>
      <c r="J162" s="162"/>
      <c r="K162" s="113">
        <f t="shared" si="2"/>
        <v>1</v>
      </c>
      <c r="L162" s="113"/>
    </row>
    <row r="163" spans="1:12" s="145" customFormat="1" ht="27.6" customHeight="1" x14ac:dyDescent="0.25">
      <c r="A163" s="113"/>
      <c r="B163" s="115"/>
      <c r="C163" s="146"/>
      <c r="D163" s="147"/>
      <c r="E163" s="147"/>
      <c r="F163" s="112"/>
      <c r="G163" s="111"/>
      <c r="H163" s="111"/>
      <c r="I163" s="162"/>
      <c r="J163" s="162"/>
      <c r="K163" s="113">
        <f t="shared" si="2"/>
        <v>1</v>
      </c>
      <c r="L163" s="113"/>
    </row>
    <row r="164" spans="1:12" s="145" customFormat="1" ht="27.6" customHeight="1" x14ac:dyDescent="0.25">
      <c r="A164" s="113"/>
      <c r="B164" s="115"/>
      <c r="C164" s="146"/>
      <c r="D164" s="147"/>
      <c r="E164" s="147"/>
      <c r="F164" s="112"/>
      <c r="G164" s="111"/>
      <c r="H164" s="111"/>
      <c r="I164" s="162"/>
      <c r="J164" s="162"/>
      <c r="K164" s="113">
        <f t="shared" si="2"/>
        <v>1</v>
      </c>
      <c r="L164" s="113"/>
    </row>
    <row r="165" spans="1:12" s="145" customFormat="1" ht="27.6" customHeight="1" x14ac:dyDescent="0.25">
      <c r="A165" s="113"/>
      <c r="B165" s="115"/>
      <c r="C165" s="146"/>
      <c r="D165" s="147"/>
      <c r="E165" s="147"/>
      <c r="F165" s="112"/>
      <c r="G165" s="111"/>
      <c r="H165" s="111"/>
      <c r="I165" s="162"/>
      <c r="J165" s="162"/>
      <c r="K165" s="113">
        <f t="shared" si="2"/>
        <v>1</v>
      </c>
      <c r="L165" s="113"/>
    </row>
    <row r="166" spans="1:12" s="145" customFormat="1" ht="27.6" customHeight="1" x14ac:dyDescent="0.25">
      <c r="A166" s="113"/>
      <c r="B166" s="115"/>
      <c r="C166" s="146"/>
      <c r="D166" s="147"/>
      <c r="E166" s="147"/>
      <c r="F166" s="112"/>
      <c r="G166" s="111"/>
      <c r="H166" s="111"/>
      <c r="I166" s="162"/>
      <c r="J166" s="162"/>
      <c r="K166" s="113">
        <f t="shared" si="2"/>
        <v>1</v>
      </c>
      <c r="L166" s="113"/>
    </row>
    <row r="167" spans="1:12" s="145" customFormat="1" ht="27.6" customHeight="1" x14ac:dyDescent="0.25">
      <c r="A167" s="113"/>
      <c r="B167" s="115"/>
      <c r="C167" s="146"/>
      <c r="D167" s="147"/>
      <c r="E167" s="147"/>
      <c r="F167" s="112"/>
      <c r="G167" s="111"/>
      <c r="H167" s="111"/>
      <c r="I167" s="162"/>
      <c r="J167" s="162"/>
      <c r="K167" s="113">
        <f t="shared" si="2"/>
        <v>1</v>
      </c>
      <c r="L167" s="113"/>
    </row>
    <row r="168" spans="1:12" s="145" customFormat="1" ht="27.6" customHeight="1" x14ac:dyDescent="0.25">
      <c r="A168" s="113"/>
      <c r="B168" s="115"/>
      <c r="C168" s="146"/>
      <c r="D168" s="147"/>
      <c r="E168" s="147"/>
      <c r="F168" s="112"/>
      <c r="G168" s="111"/>
      <c r="H168" s="111"/>
      <c r="I168" s="162"/>
      <c r="J168" s="162"/>
      <c r="K168" s="113">
        <f t="shared" si="2"/>
        <v>1</v>
      </c>
      <c r="L168" s="113"/>
    </row>
    <row r="169" spans="1:12" s="145" customFormat="1" ht="27.6" customHeight="1" x14ac:dyDescent="0.25">
      <c r="A169" s="113"/>
      <c r="B169" s="115"/>
      <c r="C169" s="146"/>
      <c r="D169" s="147"/>
      <c r="E169" s="147"/>
      <c r="F169" s="112"/>
      <c r="G169" s="111"/>
      <c r="H169" s="111"/>
      <c r="I169" s="162"/>
      <c r="J169" s="162"/>
      <c r="K169" s="113">
        <f t="shared" si="2"/>
        <v>1</v>
      </c>
      <c r="L169" s="113"/>
    </row>
    <row r="170" spans="1:12" s="145" customFormat="1" ht="27.6" customHeight="1" x14ac:dyDescent="0.25">
      <c r="A170" s="113"/>
      <c r="B170" s="115"/>
      <c r="C170" s="146"/>
      <c r="D170" s="147"/>
      <c r="E170" s="147"/>
      <c r="F170" s="112"/>
      <c r="G170" s="111"/>
      <c r="H170" s="111"/>
      <c r="I170" s="162"/>
      <c r="J170" s="162"/>
      <c r="K170" s="113">
        <f t="shared" si="2"/>
        <v>1</v>
      </c>
      <c r="L170" s="113"/>
    </row>
    <row r="171" spans="1:12" s="145" customFormat="1" ht="27.6" customHeight="1" x14ac:dyDescent="0.25">
      <c r="A171" s="113"/>
      <c r="B171" s="115"/>
      <c r="C171" s="146"/>
      <c r="D171" s="147"/>
      <c r="E171" s="147"/>
      <c r="F171" s="112"/>
      <c r="G171" s="111"/>
      <c r="H171" s="111"/>
      <c r="I171" s="162"/>
      <c r="J171" s="162"/>
      <c r="K171" s="113">
        <f t="shared" si="2"/>
        <v>1</v>
      </c>
      <c r="L171" s="113"/>
    </row>
    <row r="172" spans="1:12" s="145" customFormat="1" ht="27.6" customHeight="1" x14ac:dyDescent="0.25">
      <c r="A172" s="113"/>
      <c r="B172" s="115"/>
      <c r="C172" s="146"/>
      <c r="D172" s="147"/>
      <c r="E172" s="147"/>
      <c r="F172" s="112"/>
      <c r="G172" s="111"/>
      <c r="H172" s="111"/>
      <c r="I172" s="162"/>
      <c r="J172" s="162"/>
      <c r="K172" s="113">
        <f t="shared" si="2"/>
        <v>1</v>
      </c>
      <c r="L172" s="113"/>
    </row>
    <row r="173" spans="1:12" s="145" customFormat="1" ht="27.6" customHeight="1" x14ac:dyDescent="0.25">
      <c r="A173" s="113"/>
      <c r="B173" s="115"/>
      <c r="C173" s="146"/>
      <c r="D173" s="147"/>
      <c r="E173" s="147"/>
      <c r="F173" s="112"/>
      <c r="G173" s="111"/>
      <c r="H173" s="111"/>
      <c r="I173" s="162"/>
      <c r="J173" s="162"/>
      <c r="K173" s="113">
        <f t="shared" si="2"/>
        <v>1</v>
      </c>
      <c r="L173" s="113"/>
    </row>
    <row r="174" spans="1:12" s="145" customFormat="1" ht="27.6" customHeight="1" x14ac:dyDescent="0.25">
      <c r="A174" s="113"/>
      <c r="B174" s="115"/>
      <c r="C174" s="146"/>
      <c r="D174" s="147"/>
      <c r="E174" s="147"/>
      <c r="F174" s="112"/>
      <c r="G174" s="111"/>
      <c r="H174" s="111"/>
      <c r="I174" s="162"/>
      <c r="J174" s="162"/>
      <c r="K174" s="113">
        <f t="shared" si="2"/>
        <v>1</v>
      </c>
      <c r="L174" s="113"/>
    </row>
    <row r="175" spans="1:12" s="145" customFormat="1" ht="27.6" customHeight="1" x14ac:dyDescent="0.25">
      <c r="A175" s="113"/>
      <c r="B175" s="115"/>
      <c r="C175" s="146"/>
      <c r="D175" s="147"/>
      <c r="E175" s="147"/>
      <c r="F175" s="112"/>
      <c r="G175" s="111"/>
      <c r="H175" s="111"/>
      <c r="I175" s="162"/>
      <c r="J175" s="162"/>
      <c r="K175" s="113">
        <f t="shared" si="2"/>
        <v>1</v>
      </c>
      <c r="L175" s="113"/>
    </row>
    <row r="176" spans="1:12" s="145" customFormat="1" ht="27.6" customHeight="1" x14ac:dyDescent="0.25">
      <c r="A176" s="113"/>
      <c r="B176" s="115"/>
      <c r="C176" s="146"/>
      <c r="D176" s="147"/>
      <c r="E176" s="147"/>
      <c r="F176" s="112"/>
      <c r="G176" s="111"/>
      <c r="H176" s="111"/>
      <c r="I176" s="162"/>
      <c r="J176" s="162"/>
      <c r="K176" s="113">
        <f t="shared" si="2"/>
        <v>1</v>
      </c>
      <c r="L176" s="113"/>
    </row>
    <row r="177" spans="1:12" s="145" customFormat="1" ht="27.6" customHeight="1" x14ac:dyDescent="0.25">
      <c r="A177" s="113"/>
      <c r="B177" s="115"/>
      <c r="C177" s="146"/>
      <c r="D177" s="147"/>
      <c r="E177" s="147"/>
      <c r="F177" s="112"/>
      <c r="G177" s="111"/>
      <c r="H177" s="111"/>
      <c r="I177" s="162"/>
      <c r="J177" s="162"/>
      <c r="K177" s="113">
        <f t="shared" si="2"/>
        <v>1</v>
      </c>
      <c r="L177" s="113"/>
    </row>
    <row r="178" spans="1:12" s="145" customFormat="1" ht="27.6" customHeight="1" x14ac:dyDescent="0.25">
      <c r="A178" s="113"/>
      <c r="B178" s="115"/>
      <c r="C178" s="146"/>
      <c r="D178" s="147"/>
      <c r="E178" s="147"/>
      <c r="F178" s="112"/>
      <c r="G178" s="111"/>
      <c r="H178" s="111"/>
      <c r="I178" s="162"/>
      <c r="J178" s="162"/>
      <c r="K178" s="113">
        <f t="shared" si="2"/>
        <v>1</v>
      </c>
      <c r="L178" s="113"/>
    </row>
    <row r="179" spans="1:12" s="145" customFormat="1" ht="27.6" customHeight="1" x14ac:dyDescent="0.25">
      <c r="A179" s="113"/>
      <c r="B179" s="115"/>
      <c r="C179" s="146"/>
      <c r="D179" s="147"/>
      <c r="E179" s="147"/>
      <c r="F179" s="112"/>
      <c r="G179" s="111"/>
      <c r="H179" s="111"/>
      <c r="I179" s="162"/>
      <c r="J179" s="162"/>
      <c r="K179" s="113">
        <f t="shared" si="2"/>
        <v>1</v>
      </c>
      <c r="L179" s="113"/>
    </row>
    <row r="180" spans="1:12" s="145" customFormat="1" ht="27.6" customHeight="1" x14ac:dyDescent="0.25">
      <c r="A180" s="113"/>
      <c r="B180" s="115"/>
      <c r="C180" s="146"/>
      <c r="D180" s="147"/>
      <c r="E180" s="147"/>
      <c r="F180" s="112"/>
      <c r="G180" s="111"/>
      <c r="H180" s="111"/>
      <c r="I180" s="162"/>
      <c r="J180" s="162"/>
      <c r="K180" s="113">
        <f t="shared" si="2"/>
        <v>1</v>
      </c>
      <c r="L180" s="113"/>
    </row>
    <row r="181" spans="1:12" s="145" customFormat="1" ht="27.6" customHeight="1" x14ac:dyDescent="0.25">
      <c r="A181" s="113"/>
      <c r="B181" s="115"/>
      <c r="C181" s="146"/>
      <c r="D181" s="147"/>
      <c r="E181" s="147"/>
      <c r="F181" s="112"/>
      <c r="G181" s="111"/>
      <c r="H181" s="111"/>
      <c r="I181" s="162"/>
      <c r="J181" s="162"/>
      <c r="K181" s="113">
        <f t="shared" si="2"/>
        <v>1</v>
      </c>
      <c r="L181" s="113"/>
    </row>
    <row r="182" spans="1:12" s="145" customFormat="1" ht="27.6" customHeight="1" x14ac:dyDescent="0.25">
      <c r="A182" s="113"/>
      <c r="B182" s="115"/>
      <c r="C182" s="146"/>
      <c r="D182" s="147"/>
      <c r="E182" s="147"/>
      <c r="F182" s="112"/>
      <c r="G182" s="111"/>
      <c r="H182" s="111"/>
      <c r="I182" s="162"/>
      <c r="J182" s="162"/>
      <c r="K182" s="113">
        <f t="shared" si="2"/>
        <v>1</v>
      </c>
      <c r="L182" s="113"/>
    </row>
    <row r="183" spans="1:12" s="145" customFormat="1" ht="27.6" customHeight="1" x14ac:dyDescent="0.25">
      <c r="A183" s="113"/>
      <c r="B183" s="115"/>
      <c r="C183" s="146"/>
      <c r="D183" s="147"/>
      <c r="E183" s="147"/>
      <c r="F183" s="112"/>
      <c r="G183" s="111"/>
      <c r="H183" s="111"/>
      <c r="I183" s="162"/>
      <c r="J183" s="162"/>
      <c r="K183" s="113">
        <f t="shared" si="2"/>
        <v>1</v>
      </c>
      <c r="L183" s="113"/>
    </row>
    <row r="184" spans="1:12" s="145" customFormat="1" ht="27.6" customHeight="1" x14ac:dyDescent="0.25">
      <c r="A184" s="113"/>
      <c r="B184" s="115"/>
      <c r="C184" s="146"/>
      <c r="D184" s="147"/>
      <c r="E184" s="147"/>
      <c r="F184" s="112"/>
      <c r="G184" s="111"/>
      <c r="H184" s="111"/>
      <c r="I184" s="162"/>
      <c r="J184" s="162"/>
      <c r="K184" s="113">
        <f t="shared" si="2"/>
        <v>1</v>
      </c>
      <c r="L184" s="113"/>
    </row>
    <row r="185" spans="1:12" s="145" customFormat="1" ht="27.6" customHeight="1" x14ac:dyDescent="0.25">
      <c r="A185" s="113"/>
      <c r="B185" s="115"/>
      <c r="C185" s="146"/>
      <c r="D185" s="147"/>
      <c r="E185" s="147"/>
      <c r="F185" s="112"/>
      <c r="G185" s="111"/>
      <c r="H185" s="111"/>
      <c r="I185" s="162"/>
      <c r="J185" s="162"/>
      <c r="K185" s="113">
        <f t="shared" si="2"/>
        <v>1</v>
      </c>
      <c r="L185" s="113"/>
    </row>
    <row r="186" spans="1:12" s="145" customFormat="1" ht="27.6" customHeight="1" x14ac:dyDescent="0.25">
      <c r="A186" s="113"/>
      <c r="B186" s="115"/>
      <c r="C186" s="146"/>
      <c r="D186" s="147"/>
      <c r="E186" s="147"/>
      <c r="F186" s="112"/>
      <c r="G186" s="111"/>
      <c r="H186" s="111"/>
      <c r="I186" s="162"/>
      <c r="J186" s="162"/>
      <c r="K186" s="113">
        <f t="shared" si="2"/>
        <v>1</v>
      </c>
      <c r="L186" s="113"/>
    </row>
    <row r="187" spans="1:12" s="145" customFormat="1" ht="27.6" customHeight="1" x14ac:dyDescent="0.25">
      <c r="A187" s="113"/>
      <c r="B187" s="115"/>
      <c r="C187" s="146"/>
      <c r="D187" s="147"/>
      <c r="E187" s="147"/>
      <c r="F187" s="112"/>
      <c r="G187" s="111"/>
      <c r="H187" s="111"/>
      <c r="I187" s="162"/>
      <c r="J187" s="162"/>
      <c r="K187" s="113">
        <f t="shared" si="2"/>
        <v>1</v>
      </c>
      <c r="L187" s="113"/>
    </row>
    <row r="188" spans="1:12" s="145" customFormat="1" ht="27.6" customHeight="1" x14ac:dyDescent="0.25">
      <c r="A188" s="113"/>
      <c r="B188" s="115"/>
      <c r="C188" s="146"/>
      <c r="D188" s="147"/>
      <c r="E188" s="147"/>
      <c r="F188" s="112"/>
      <c r="G188" s="111"/>
      <c r="H188" s="111"/>
      <c r="I188" s="162"/>
      <c r="J188" s="162"/>
      <c r="K188" s="113">
        <f t="shared" si="2"/>
        <v>1</v>
      </c>
      <c r="L188" s="113"/>
    </row>
    <row r="189" spans="1:12" s="145" customFormat="1" ht="27.6" customHeight="1" x14ac:dyDescent="0.25">
      <c r="A189" s="113"/>
      <c r="B189" s="115"/>
      <c r="C189" s="146"/>
      <c r="D189" s="147"/>
      <c r="E189" s="147"/>
      <c r="F189" s="112"/>
      <c r="G189" s="111"/>
      <c r="H189" s="111"/>
      <c r="I189" s="162"/>
      <c r="J189" s="162"/>
      <c r="K189" s="113">
        <f t="shared" si="2"/>
        <v>1</v>
      </c>
      <c r="L189" s="113"/>
    </row>
    <row r="190" spans="1:12" s="145" customFormat="1" ht="27.6" customHeight="1" x14ac:dyDescent="0.25">
      <c r="A190" s="113"/>
      <c r="B190" s="115"/>
      <c r="C190" s="146"/>
      <c r="D190" s="147"/>
      <c r="E190" s="147"/>
      <c r="F190" s="112"/>
      <c r="G190" s="111"/>
      <c r="H190" s="111"/>
      <c r="I190" s="162"/>
      <c r="J190" s="162"/>
      <c r="K190" s="113">
        <f t="shared" ref="K190:K239" si="3">J190-I190+1</f>
        <v>1</v>
      </c>
      <c r="L190" s="113"/>
    </row>
    <row r="191" spans="1:12" s="145" customFormat="1" ht="27.6" customHeight="1" x14ac:dyDescent="0.25">
      <c r="A191" s="113"/>
      <c r="B191" s="115"/>
      <c r="C191" s="146"/>
      <c r="D191" s="147"/>
      <c r="E191" s="147"/>
      <c r="F191" s="112"/>
      <c r="G191" s="111"/>
      <c r="H191" s="111"/>
      <c r="I191" s="162"/>
      <c r="J191" s="162"/>
      <c r="K191" s="113">
        <f t="shared" si="3"/>
        <v>1</v>
      </c>
      <c r="L191" s="113"/>
    </row>
    <row r="192" spans="1:12" s="145" customFormat="1" ht="27.6" customHeight="1" x14ac:dyDescent="0.25">
      <c r="A192" s="113"/>
      <c r="B192" s="115"/>
      <c r="C192" s="146"/>
      <c r="D192" s="147"/>
      <c r="E192" s="147"/>
      <c r="F192" s="112"/>
      <c r="G192" s="111"/>
      <c r="H192" s="111"/>
      <c r="I192" s="162"/>
      <c r="J192" s="162"/>
      <c r="K192" s="113">
        <f t="shared" si="3"/>
        <v>1</v>
      </c>
      <c r="L192" s="113"/>
    </row>
    <row r="193" spans="1:12" s="145" customFormat="1" ht="27.6" customHeight="1" x14ac:dyDescent="0.25">
      <c r="A193" s="113"/>
      <c r="B193" s="115"/>
      <c r="C193" s="146"/>
      <c r="D193" s="147"/>
      <c r="E193" s="147"/>
      <c r="F193" s="112"/>
      <c r="G193" s="111"/>
      <c r="H193" s="111"/>
      <c r="I193" s="162"/>
      <c r="J193" s="162"/>
      <c r="K193" s="113">
        <f t="shared" si="3"/>
        <v>1</v>
      </c>
      <c r="L193" s="113"/>
    </row>
    <row r="194" spans="1:12" s="145" customFormat="1" ht="27.6" customHeight="1" x14ac:dyDescent="0.25">
      <c r="A194" s="113"/>
      <c r="B194" s="115"/>
      <c r="C194" s="146"/>
      <c r="D194" s="147"/>
      <c r="E194" s="147"/>
      <c r="F194" s="112"/>
      <c r="G194" s="111"/>
      <c r="H194" s="111"/>
      <c r="I194" s="162"/>
      <c r="J194" s="162"/>
      <c r="K194" s="113">
        <f t="shared" si="3"/>
        <v>1</v>
      </c>
      <c r="L194" s="113"/>
    </row>
    <row r="195" spans="1:12" s="145" customFormat="1" ht="27.6" customHeight="1" x14ac:dyDescent="0.25">
      <c r="A195" s="113"/>
      <c r="B195" s="115"/>
      <c r="C195" s="146"/>
      <c r="D195" s="147"/>
      <c r="E195" s="147"/>
      <c r="F195" s="112"/>
      <c r="G195" s="111"/>
      <c r="H195" s="111"/>
      <c r="I195" s="162"/>
      <c r="J195" s="162"/>
      <c r="K195" s="113">
        <f t="shared" si="3"/>
        <v>1</v>
      </c>
      <c r="L195" s="113"/>
    </row>
    <row r="196" spans="1:12" s="145" customFormat="1" ht="27.6" customHeight="1" x14ac:dyDescent="0.25">
      <c r="A196" s="113"/>
      <c r="B196" s="115"/>
      <c r="C196" s="146"/>
      <c r="D196" s="147"/>
      <c r="E196" s="147"/>
      <c r="F196" s="112"/>
      <c r="G196" s="111"/>
      <c r="H196" s="111"/>
      <c r="I196" s="162"/>
      <c r="J196" s="162"/>
      <c r="K196" s="113">
        <f t="shared" si="3"/>
        <v>1</v>
      </c>
      <c r="L196" s="113"/>
    </row>
    <row r="197" spans="1:12" s="145" customFormat="1" ht="27.6" customHeight="1" x14ac:dyDescent="0.25">
      <c r="A197" s="113"/>
      <c r="B197" s="115"/>
      <c r="C197" s="146"/>
      <c r="D197" s="147"/>
      <c r="E197" s="147"/>
      <c r="F197" s="112"/>
      <c r="G197" s="111"/>
      <c r="H197" s="111"/>
      <c r="I197" s="162"/>
      <c r="J197" s="162"/>
      <c r="K197" s="113">
        <f t="shared" si="3"/>
        <v>1</v>
      </c>
      <c r="L197" s="113"/>
    </row>
    <row r="198" spans="1:12" s="145" customFormat="1" ht="27.6" customHeight="1" x14ac:dyDescent="0.25">
      <c r="A198" s="113"/>
      <c r="B198" s="115"/>
      <c r="C198" s="146"/>
      <c r="D198" s="147"/>
      <c r="E198" s="147"/>
      <c r="F198" s="112"/>
      <c r="G198" s="111"/>
      <c r="H198" s="111"/>
      <c r="I198" s="162"/>
      <c r="J198" s="162"/>
      <c r="K198" s="113">
        <f t="shared" si="3"/>
        <v>1</v>
      </c>
      <c r="L198" s="113"/>
    </row>
    <row r="199" spans="1:12" s="145" customFormat="1" ht="27.6" customHeight="1" x14ac:dyDescent="0.25">
      <c r="A199" s="113"/>
      <c r="B199" s="115"/>
      <c r="C199" s="146"/>
      <c r="D199" s="147"/>
      <c r="E199" s="147"/>
      <c r="F199" s="112"/>
      <c r="G199" s="111"/>
      <c r="H199" s="111"/>
      <c r="I199" s="162"/>
      <c r="J199" s="162"/>
      <c r="K199" s="113">
        <f t="shared" si="3"/>
        <v>1</v>
      </c>
      <c r="L199" s="113"/>
    </row>
    <row r="200" spans="1:12" s="145" customFormat="1" ht="27.6" customHeight="1" x14ac:dyDescent="0.25">
      <c r="A200" s="113"/>
      <c r="B200" s="115"/>
      <c r="C200" s="146"/>
      <c r="D200" s="147"/>
      <c r="E200" s="147"/>
      <c r="F200" s="112"/>
      <c r="G200" s="111"/>
      <c r="H200" s="111"/>
      <c r="I200" s="162"/>
      <c r="J200" s="162"/>
      <c r="K200" s="113">
        <f t="shared" si="3"/>
        <v>1</v>
      </c>
      <c r="L200" s="113"/>
    </row>
    <row r="201" spans="1:12" s="145" customFormat="1" ht="27.6" customHeight="1" x14ac:dyDescent="0.25">
      <c r="A201" s="113"/>
      <c r="B201" s="115"/>
      <c r="C201" s="146"/>
      <c r="D201" s="147"/>
      <c r="E201" s="147"/>
      <c r="F201" s="112"/>
      <c r="G201" s="111"/>
      <c r="H201" s="111"/>
      <c r="I201" s="162"/>
      <c r="J201" s="162"/>
      <c r="K201" s="113">
        <f t="shared" si="3"/>
        <v>1</v>
      </c>
      <c r="L201" s="113"/>
    </row>
    <row r="202" spans="1:12" s="145" customFormat="1" ht="27.6" customHeight="1" x14ac:dyDescent="0.25">
      <c r="A202" s="113"/>
      <c r="B202" s="115"/>
      <c r="C202" s="146"/>
      <c r="D202" s="147"/>
      <c r="E202" s="147"/>
      <c r="F202" s="112"/>
      <c r="G202" s="111"/>
      <c r="H202" s="111"/>
      <c r="I202" s="162"/>
      <c r="J202" s="162"/>
      <c r="K202" s="113">
        <f t="shared" si="3"/>
        <v>1</v>
      </c>
      <c r="L202" s="113"/>
    </row>
    <row r="203" spans="1:12" s="145" customFormat="1" ht="27.6" customHeight="1" x14ac:dyDescent="0.25">
      <c r="A203" s="113"/>
      <c r="B203" s="115"/>
      <c r="C203" s="146"/>
      <c r="D203" s="147"/>
      <c r="E203" s="147"/>
      <c r="F203" s="112"/>
      <c r="G203" s="111"/>
      <c r="H203" s="111"/>
      <c r="I203" s="162"/>
      <c r="J203" s="162"/>
      <c r="K203" s="113">
        <f t="shared" si="3"/>
        <v>1</v>
      </c>
      <c r="L203" s="113"/>
    </row>
    <row r="204" spans="1:12" s="145" customFormat="1" ht="27.6" customHeight="1" x14ac:dyDescent="0.25">
      <c r="A204" s="113"/>
      <c r="B204" s="115"/>
      <c r="C204" s="146"/>
      <c r="D204" s="147"/>
      <c r="E204" s="147"/>
      <c r="F204" s="112"/>
      <c r="G204" s="111"/>
      <c r="H204" s="111"/>
      <c r="I204" s="162"/>
      <c r="J204" s="162"/>
      <c r="K204" s="113">
        <f t="shared" si="3"/>
        <v>1</v>
      </c>
      <c r="L204" s="113"/>
    </row>
    <row r="205" spans="1:12" s="145" customFormat="1" ht="27.6" customHeight="1" x14ac:dyDescent="0.25">
      <c r="A205" s="113"/>
      <c r="B205" s="115"/>
      <c r="C205" s="146"/>
      <c r="D205" s="147"/>
      <c r="E205" s="147"/>
      <c r="F205" s="112"/>
      <c r="G205" s="111"/>
      <c r="H205" s="111"/>
      <c r="I205" s="162"/>
      <c r="J205" s="162"/>
      <c r="K205" s="113">
        <f t="shared" si="3"/>
        <v>1</v>
      </c>
      <c r="L205" s="113"/>
    </row>
    <row r="206" spans="1:12" s="145" customFormat="1" ht="27.6" customHeight="1" x14ac:dyDescent="0.25">
      <c r="A206" s="113"/>
      <c r="B206" s="115"/>
      <c r="C206" s="146"/>
      <c r="D206" s="147"/>
      <c r="E206" s="147"/>
      <c r="F206" s="112"/>
      <c r="G206" s="111"/>
      <c r="H206" s="111"/>
      <c r="I206" s="162"/>
      <c r="J206" s="162"/>
      <c r="K206" s="113">
        <f t="shared" si="3"/>
        <v>1</v>
      </c>
      <c r="L206" s="113"/>
    </row>
    <row r="207" spans="1:12" s="145" customFormat="1" ht="27.6" customHeight="1" x14ac:dyDescent="0.25">
      <c r="A207" s="113"/>
      <c r="B207" s="115"/>
      <c r="C207" s="146"/>
      <c r="D207" s="147"/>
      <c r="E207" s="147"/>
      <c r="F207" s="112"/>
      <c r="G207" s="111"/>
      <c r="H207" s="111"/>
      <c r="I207" s="162"/>
      <c r="J207" s="162"/>
      <c r="K207" s="113">
        <f t="shared" si="3"/>
        <v>1</v>
      </c>
      <c r="L207" s="113"/>
    </row>
    <row r="208" spans="1:12" s="145" customFormat="1" ht="27.6" customHeight="1" x14ac:dyDescent="0.25">
      <c r="A208" s="113"/>
      <c r="B208" s="115"/>
      <c r="C208" s="146"/>
      <c r="D208" s="147"/>
      <c r="E208" s="147"/>
      <c r="F208" s="112"/>
      <c r="G208" s="111"/>
      <c r="H208" s="111"/>
      <c r="I208" s="162"/>
      <c r="J208" s="162"/>
      <c r="K208" s="113">
        <f t="shared" si="3"/>
        <v>1</v>
      </c>
      <c r="L208" s="113"/>
    </row>
    <row r="209" spans="1:12" s="145" customFormat="1" ht="27.6" customHeight="1" x14ac:dyDescent="0.25">
      <c r="A209" s="113"/>
      <c r="B209" s="115"/>
      <c r="C209" s="146"/>
      <c r="D209" s="147"/>
      <c r="E209" s="147"/>
      <c r="F209" s="112"/>
      <c r="G209" s="111"/>
      <c r="H209" s="111"/>
      <c r="I209" s="162"/>
      <c r="J209" s="162"/>
      <c r="K209" s="113">
        <f t="shared" si="3"/>
        <v>1</v>
      </c>
      <c r="L209" s="113"/>
    </row>
    <row r="210" spans="1:12" s="145" customFormat="1" ht="27.6" customHeight="1" x14ac:dyDescent="0.25">
      <c r="A210" s="113"/>
      <c r="B210" s="115"/>
      <c r="C210" s="146"/>
      <c r="D210" s="147"/>
      <c r="E210" s="147"/>
      <c r="F210" s="112"/>
      <c r="G210" s="111"/>
      <c r="H210" s="111"/>
      <c r="I210" s="162"/>
      <c r="J210" s="162"/>
      <c r="K210" s="113">
        <f t="shared" si="3"/>
        <v>1</v>
      </c>
      <c r="L210" s="113"/>
    </row>
    <row r="211" spans="1:12" s="145" customFormat="1" ht="27.6" customHeight="1" x14ac:dyDescent="0.25">
      <c r="A211" s="113"/>
      <c r="B211" s="115"/>
      <c r="C211" s="146"/>
      <c r="D211" s="147"/>
      <c r="E211" s="147"/>
      <c r="F211" s="112"/>
      <c r="G211" s="111"/>
      <c r="H211" s="111"/>
      <c r="I211" s="162"/>
      <c r="J211" s="162"/>
      <c r="K211" s="113">
        <f t="shared" si="3"/>
        <v>1</v>
      </c>
      <c r="L211" s="113"/>
    </row>
    <row r="212" spans="1:12" s="145" customFormat="1" ht="27.6" customHeight="1" x14ac:dyDescent="0.25">
      <c r="A212" s="113"/>
      <c r="B212" s="115"/>
      <c r="C212" s="146"/>
      <c r="D212" s="147"/>
      <c r="E212" s="147"/>
      <c r="F212" s="112"/>
      <c r="G212" s="111"/>
      <c r="H212" s="111"/>
      <c r="I212" s="162"/>
      <c r="J212" s="162"/>
      <c r="K212" s="113">
        <f t="shared" si="3"/>
        <v>1</v>
      </c>
      <c r="L212" s="113"/>
    </row>
    <row r="213" spans="1:12" s="145" customFormat="1" ht="27.6" customHeight="1" x14ac:dyDescent="0.25">
      <c r="A213" s="113"/>
      <c r="B213" s="115"/>
      <c r="C213" s="146"/>
      <c r="D213" s="147"/>
      <c r="E213" s="147"/>
      <c r="F213" s="112"/>
      <c r="G213" s="111"/>
      <c r="H213" s="111"/>
      <c r="I213" s="162"/>
      <c r="J213" s="162"/>
      <c r="K213" s="113">
        <f t="shared" si="3"/>
        <v>1</v>
      </c>
      <c r="L213" s="113"/>
    </row>
    <row r="214" spans="1:12" s="145" customFormat="1" ht="27.6" customHeight="1" x14ac:dyDescent="0.25">
      <c r="A214" s="113"/>
      <c r="B214" s="115"/>
      <c r="C214" s="146"/>
      <c r="D214" s="147"/>
      <c r="E214" s="147"/>
      <c r="F214" s="112"/>
      <c r="G214" s="111"/>
      <c r="H214" s="111"/>
      <c r="I214" s="162"/>
      <c r="J214" s="162"/>
      <c r="K214" s="113">
        <f t="shared" si="3"/>
        <v>1</v>
      </c>
      <c r="L214" s="113"/>
    </row>
    <row r="215" spans="1:12" s="145" customFormat="1" ht="27.6" customHeight="1" x14ac:dyDescent="0.25">
      <c r="A215" s="113"/>
      <c r="B215" s="115"/>
      <c r="C215" s="146"/>
      <c r="D215" s="147"/>
      <c r="E215" s="147"/>
      <c r="F215" s="112"/>
      <c r="G215" s="111"/>
      <c r="H215" s="111"/>
      <c r="I215" s="162"/>
      <c r="J215" s="162"/>
      <c r="K215" s="113">
        <f t="shared" si="3"/>
        <v>1</v>
      </c>
      <c r="L215" s="113"/>
    </row>
    <row r="216" spans="1:12" s="145" customFormat="1" ht="27.6" customHeight="1" x14ac:dyDescent="0.25">
      <c r="A216" s="113"/>
      <c r="B216" s="115"/>
      <c r="C216" s="146"/>
      <c r="D216" s="147"/>
      <c r="E216" s="147"/>
      <c r="F216" s="112"/>
      <c r="G216" s="111"/>
      <c r="H216" s="111"/>
      <c r="I216" s="162"/>
      <c r="J216" s="162"/>
      <c r="K216" s="113">
        <f t="shared" si="3"/>
        <v>1</v>
      </c>
      <c r="L216" s="113"/>
    </row>
    <row r="217" spans="1:12" s="145" customFormat="1" ht="27.6" customHeight="1" x14ac:dyDescent="0.25">
      <c r="A217" s="113"/>
      <c r="B217" s="115"/>
      <c r="C217" s="146"/>
      <c r="D217" s="147"/>
      <c r="E217" s="147"/>
      <c r="F217" s="112"/>
      <c r="G217" s="111"/>
      <c r="H217" s="111"/>
      <c r="I217" s="162"/>
      <c r="J217" s="162"/>
      <c r="K217" s="113">
        <f t="shared" si="3"/>
        <v>1</v>
      </c>
      <c r="L217" s="113"/>
    </row>
    <row r="218" spans="1:12" s="145" customFormat="1" ht="27.6" customHeight="1" x14ac:dyDescent="0.25">
      <c r="A218" s="113"/>
      <c r="B218" s="115"/>
      <c r="C218" s="146"/>
      <c r="D218" s="147"/>
      <c r="E218" s="147"/>
      <c r="F218" s="112"/>
      <c r="G218" s="111"/>
      <c r="H218" s="111"/>
      <c r="I218" s="162"/>
      <c r="J218" s="162"/>
      <c r="K218" s="113">
        <f t="shared" si="3"/>
        <v>1</v>
      </c>
      <c r="L218" s="113"/>
    </row>
    <row r="219" spans="1:12" s="145" customFormat="1" ht="27.6" customHeight="1" x14ac:dyDescent="0.25">
      <c r="A219" s="113"/>
      <c r="B219" s="115"/>
      <c r="C219" s="146"/>
      <c r="D219" s="147"/>
      <c r="E219" s="147"/>
      <c r="F219" s="112"/>
      <c r="G219" s="111"/>
      <c r="H219" s="111"/>
      <c r="I219" s="162"/>
      <c r="J219" s="162"/>
      <c r="K219" s="113">
        <f t="shared" si="3"/>
        <v>1</v>
      </c>
      <c r="L219" s="113"/>
    </row>
    <row r="220" spans="1:12" s="145" customFormat="1" ht="27.6" customHeight="1" x14ac:dyDescent="0.25">
      <c r="A220" s="113"/>
      <c r="B220" s="115"/>
      <c r="C220" s="146"/>
      <c r="D220" s="147"/>
      <c r="E220" s="147"/>
      <c r="F220" s="112"/>
      <c r="G220" s="111"/>
      <c r="H220" s="111"/>
      <c r="I220" s="162"/>
      <c r="J220" s="162"/>
      <c r="K220" s="113">
        <f t="shared" si="3"/>
        <v>1</v>
      </c>
      <c r="L220" s="113"/>
    </row>
    <row r="221" spans="1:12" s="145" customFormat="1" ht="27.6" customHeight="1" x14ac:dyDescent="0.25">
      <c r="A221" s="113"/>
      <c r="B221" s="115"/>
      <c r="C221" s="146"/>
      <c r="D221" s="147"/>
      <c r="E221" s="147"/>
      <c r="F221" s="112"/>
      <c r="G221" s="111"/>
      <c r="H221" s="111"/>
      <c r="I221" s="162"/>
      <c r="J221" s="162"/>
      <c r="K221" s="113">
        <f t="shared" si="3"/>
        <v>1</v>
      </c>
      <c r="L221" s="113"/>
    </row>
    <row r="222" spans="1:12" s="145" customFormat="1" ht="27.6" customHeight="1" x14ac:dyDescent="0.25">
      <c r="A222" s="113"/>
      <c r="B222" s="115"/>
      <c r="C222" s="146"/>
      <c r="D222" s="147"/>
      <c r="E222" s="147"/>
      <c r="F222" s="112"/>
      <c r="G222" s="111"/>
      <c r="H222" s="111"/>
      <c r="I222" s="162"/>
      <c r="J222" s="162"/>
      <c r="K222" s="113">
        <f t="shared" si="3"/>
        <v>1</v>
      </c>
      <c r="L222" s="113"/>
    </row>
    <row r="223" spans="1:12" s="145" customFormat="1" ht="27.6" customHeight="1" x14ac:dyDescent="0.25">
      <c r="A223" s="113"/>
      <c r="B223" s="115"/>
      <c r="C223" s="146"/>
      <c r="D223" s="147"/>
      <c r="E223" s="147"/>
      <c r="F223" s="112"/>
      <c r="G223" s="111"/>
      <c r="H223" s="111"/>
      <c r="I223" s="162"/>
      <c r="J223" s="162"/>
      <c r="K223" s="113">
        <f t="shared" si="3"/>
        <v>1</v>
      </c>
      <c r="L223" s="113"/>
    </row>
    <row r="224" spans="1:12" s="145" customFormat="1" ht="27.6" customHeight="1" x14ac:dyDescent="0.25">
      <c r="A224" s="113"/>
      <c r="B224" s="115"/>
      <c r="C224" s="146"/>
      <c r="D224" s="147"/>
      <c r="E224" s="147"/>
      <c r="F224" s="112"/>
      <c r="G224" s="111"/>
      <c r="H224" s="111"/>
      <c r="I224" s="162"/>
      <c r="J224" s="162"/>
      <c r="K224" s="113">
        <f t="shared" si="3"/>
        <v>1</v>
      </c>
      <c r="L224" s="113"/>
    </row>
    <row r="225" spans="1:12" s="145" customFormat="1" ht="27.6" customHeight="1" x14ac:dyDescent="0.25">
      <c r="A225" s="113"/>
      <c r="B225" s="115"/>
      <c r="C225" s="146"/>
      <c r="D225" s="147"/>
      <c r="E225" s="147"/>
      <c r="F225" s="112"/>
      <c r="G225" s="111"/>
      <c r="H225" s="111"/>
      <c r="I225" s="162"/>
      <c r="J225" s="162"/>
      <c r="K225" s="113">
        <f t="shared" si="3"/>
        <v>1</v>
      </c>
      <c r="L225" s="113"/>
    </row>
    <row r="226" spans="1:12" s="145" customFormat="1" ht="27.6" customHeight="1" x14ac:dyDescent="0.25">
      <c r="A226" s="113"/>
      <c r="B226" s="115"/>
      <c r="C226" s="146"/>
      <c r="D226" s="147"/>
      <c r="E226" s="147"/>
      <c r="F226" s="112"/>
      <c r="G226" s="111"/>
      <c r="H226" s="111"/>
      <c r="I226" s="162"/>
      <c r="J226" s="162"/>
      <c r="K226" s="113">
        <f t="shared" si="3"/>
        <v>1</v>
      </c>
      <c r="L226" s="113"/>
    </row>
    <row r="227" spans="1:12" s="145" customFormat="1" ht="27.6" customHeight="1" x14ac:dyDescent="0.25">
      <c r="A227" s="113"/>
      <c r="B227" s="115"/>
      <c r="C227" s="146"/>
      <c r="D227" s="147"/>
      <c r="E227" s="147"/>
      <c r="F227" s="112"/>
      <c r="G227" s="111"/>
      <c r="H227" s="111"/>
      <c r="I227" s="162"/>
      <c r="J227" s="162"/>
      <c r="K227" s="113">
        <f t="shared" si="3"/>
        <v>1</v>
      </c>
      <c r="L227" s="113"/>
    </row>
    <row r="228" spans="1:12" s="145" customFormat="1" ht="27.6" customHeight="1" x14ac:dyDescent="0.25">
      <c r="A228" s="113"/>
      <c r="B228" s="115"/>
      <c r="C228" s="146"/>
      <c r="D228" s="147"/>
      <c r="E228" s="147"/>
      <c r="F228" s="112"/>
      <c r="G228" s="111"/>
      <c r="H228" s="111"/>
      <c r="I228" s="162"/>
      <c r="J228" s="162"/>
      <c r="K228" s="113">
        <f t="shared" si="3"/>
        <v>1</v>
      </c>
      <c r="L228" s="113"/>
    </row>
    <row r="229" spans="1:12" s="145" customFormat="1" ht="27.6" customHeight="1" x14ac:dyDescent="0.25">
      <c r="A229" s="113"/>
      <c r="B229" s="115"/>
      <c r="C229" s="146"/>
      <c r="D229" s="147"/>
      <c r="E229" s="147"/>
      <c r="F229" s="112"/>
      <c r="G229" s="111"/>
      <c r="H229" s="111"/>
      <c r="I229" s="162"/>
      <c r="J229" s="162"/>
      <c r="K229" s="113">
        <f t="shared" si="3"/>
        <v>1</v>
      </c>
      <c r="L229" s="113"/>
    </row>
    <row r="230" spans="1:12" s="145" customFormat="1" ht="27.6" customHeight="1" x14ac:dyDescent="0.25">
      <c r="A230" s="113"/>
      <c r="B230" s="115"/>
      <c r="C230" s="146"/>
      <c r="D230" s="147"/>
      <c r="E230" s="147"/>
      <c r="F230" s="112"/>
      <c r="G230" s="111"/>
      <c r="H230" s="111"/>
      <c r="I230" s="162"/>
      <c r="J230" s="162"/>
      <c r="K230" s="113">
        <f t="shared" si="3"/>
        <v>1</v>
      </c>
      <c r="L230" s="113"/>
    </row>
    <row r="231" spans="1:12" s="145" customFormat="1" ht="27.6" customHeight="1" x14ac:dyDescent="0.25">
      <c r="A231" s="113"/>
      <c r="B231" s="115"/>
      <c r="C231" s="146"/>
      <c r="D231" s="147"/>
      <c r="E231" s="147"/>
      <c r="F231" s="112"/>
      <c r="G231" s="111"/>
      <c r="H231" s="111"/>
      <c r="I231" s="162"/>
      <c r="J231" s="162"/>
      <c r="K231" s="113">
        <f t="shared" si="3"/>
        <v>1</v>
      </c>
      <c r="L231" s="113"/>
    </row>
    <row r="232" spans="1:12" s="145" customFormat="1" ht="27.6" customHeight="1" x14ac:dyDescent="0.25">
      <c r="A232" s="113"/>
      <c r="B232" s="115"/>
      <c r="C232" s="146"/>
      <c r="D232" s="147"/>
      <c r="E232" s="147"/>
      <c r="F232" s="112"/>
      <c r="G232" s="111"/>
      <c r="H232" s="111"/>
      <c r="I232" s="162"/>
      <c r="J232" s="162"/>
      <c r="K232" s="113">
        <f t="shared" si="3"/>
        <v>1</v>
      </c>
      <c r="L232" s="113"/>
    </row>
    <row r="233" spans="1:12" s="145" customFormat="1" ht="27.6" customHeight="1" x14ac:dyDescent="0.25">
      <c r="A233" s="113"/>
      <c r="B233" s="115"/>
      <c r="C233" s="146"/>
      <c r="D233" s="147"/>
      <c r="E233" s="147"/>
      <c r="F233" s="112"/>
      <c r="G233" s="111"/>
      <c r="H233" s="111"/>
      <c r="I233" s="162"/>
      <c r="J233" s="162"/>
      <c r="K233" s="113">
        <f t="shared" si="3"/>
        <v>1</v>
      </c>
      <c r="L233" s="113"/>
    </row>
    <row r="234" spans="1:12" s="145" customFormat="1" ht="27.6" customHeight="1" x14ac:dyDescent="0.25">
      <c r="A234" s="113"/>
      <c r="B234" s="115"/>
      <c r="C234" s="146"/>
      <c r="D234" s="147"/>
      <c r="E234" s="147"/>
      <c r="F234" s="112"/>
      <c r="G234" s="111"/>
      <c r="H234" s="111"/>
      <c r="I234" s="162"/>
      <c r="J234" s="162"/>
      <c r="K234" s="113">
        <f t="shared" si="3"/>
        <v>1</v>
      </c>
      <c r="L234" s="113"/>
    </row>
    <row r="235" spans="1:12" s="145" customFormat="1" ht="27.6" customHeight="1" x14ac:dyDescent="0.25">
      <c r="A235" s="113"/>
      <c r="B235" s="115"/>
      <c r="C235" s="146"/>
      <c r="D235" s="147"/>
      <c r="E235" s="147"/>
      <c r="F235" s="112"/>
      <c r="G235" s="111"/>
      <c r="H235" s="111"/>
      <c r="I235" s="162"/>
      <c r="J235" s="162"/>
      <c r="K235" s="113">
        <f t="shared" si="3"/>
        <v>1</v>
      </c>
      <c r="L235" s="113"/>
    </row>
    <row r="236" spans="1:12" s="145" customFormat="1" ht="27.6" customHeight="1" x14ac:dyDescent="0.25">
      <c r="A236" s="113"/>
      <c r="B236" s="115"/>
      <c r="C236" s="146"/>
      <c r="D236" s="147"/>
      <c r="E236" s="147"/>
      <c r="F236" s="112"/>
      <c r="G236" s="111"/>
      <c r="H236" s="111"/>
      <c r="I236" s="162"/>
      <c r="J236" s="162"/>
      <c r="K236" s="113">
        <f t="shared" si="3"/>
        <v>1</v>
      </c>
      <c r="L236" s="113"/>
    </row>
    <row r="237" spans="1:12" s="145" customFormat="1" ht="27.6" customHeight="1" x14ac:dyDescent="0.25">
      <c r="A237" s="113"/>
      <c r="B237" s="115"/>
      <c r="C237" s="146"/>
      <c r="D237" s="147"/>
      <c r="E237" s="147"/>
      <c r="F237" s="112"/>
      <c r="G237" s="111"/>
      <c r="H237" s="111"/>
      <c r="I237" s="162"/>
      <c r="J237" s="162"/>
      <c r="K237" s="113">
        <f t="shared" si="3"/>
        <v>1</v>
      </c>
      <c r="L237" s="113"/>
    </row>
    <row r="238" spans="1:12" s="145" customFormat="1" ht="27.6" customHeight="1" x14ac:dyDescent="0.25">
      <c r="A238" s="113"/>
      <c r="B238" s="115"/>
      <c r="C238" s="146"/>
      <c r="D238" s="147"/>
      <c r="E238" s="147"/>
      <c r="F238" s="112"/>
      <c r="G238" s="111"/>
      <c r="H238" s="111"/>
      <c r="I238" s="162"/>
      <c r="J238" s="162"/>
      <c r="K238" s="113">
        <f t="shared" si="3"/>
        <v>1</v>
      </c>
      <c r="L238" s="113"/>
    </row>
    <row r="239" spans="1:12" s="145" customFormat="1" ht="27.6" customHeight="1" x14ac:dyDescent="0.25">
      <c r="A239" s="113"/>
      <c r="B239" s="115"/>
      <c r="C239" s="146"/>
      <c r="D239" s="147"/>
      <c r="E239" s="147"/>
      <c r="F239" s="112"/>
      <c r="G239" s="111"/>
      <c r="H239" s="111"/>
      <c r="I239" s="162"/>
      <c r="J239" s="162"/>
      <c r="K239" s="113">
        <f t="shared" si="3"/>
        <v>1</v>
      </c>
      <c r="L239" s="113"/>
    </row>
    <row r="240" spans="1:12" s="145" customFormat="1" ht="27.6" customHeight="1" x14ac:dyDescent="0.25">
      <c r="A240" s="113"/>
      <c r="B240" s="115"/>
      <c r="C240" s="146"/>
      <c r="D240" s="147"/>
      <c r="E240" s="147"/>
      <c r="F240" s="112"/>
      <c r="G240" s="111"/>
      <c r="H240" s="111"/>
      <c r="I240" s="146"/>
      <c r="J240" s="146"/>
      <c r="K240" s="113">
        <f t="shared" ref="K240:K251" si="4">J240-I240+1</f>
        <v>1</v>
      </c>
      <c r="L240" s="113"/>
    </row>
    <row r="241" spans="1:12" s="145" customFormat="1" ht="27.6" customHeight="1" x14ac:dyDescent="0.25">
      <c r="A241" s="113"/>
      <c r="B241" s="115"/>
      <c r="C241" s="146"/>
      <c r="D241" s="147"/>
      <c r="E241" s="147"/>
      <c r="F241" s="112"/>
      <c r="G241" s="111"/>
      <c r="H241" s="111"/>
      <c r="I241" s="146"/>
      <c r="J241" s="146"/>
      <c r="K241" s="113">
        <f t="shared" si="4"/>
        <v>1</v>
      </c>
      <c r="L241" s="113"/>
    </row>
    <row r="242" spans="1:12" s="145" customFormat="1" ht="27.6" customHeight="1" x14ac:dyDescent="0.25">
      <c r="A242" s="113"/>
      <c r="B242" s="115"/>
      <c r="C242" s="146"/>
      <c r="D242" s="147"/>
      <c r="E242" s="147"/>
      <c r="F242" s="112"/>
      <c r="G242" s="111"/>
      <c r="H242" s="111"/>
      <c r="I242" s="146"/>
      <c r="J242" s="146"/>
      <c r="K242" s="113">
        <f t="shared" si="4"/>
        <v>1</v>
      </c>
      <c r="L242" s="113"/>
    </row>
    <row r="243" spans="1:12" s="145" customFormat="1" ht="27.6" customHeight="1" x14ac:dyDescent="0.25">
      <c r="A243" s="113"/>
      <c r="B243" s="115"/>
      <c r="C243" s="146"/>
      <c r="D243" s="147"/>
      <c r="E243" s="147"/>
      <c r="F243" s="112"/>
      <c r="G243" s="111"/>
      <c r="H243" s="111"/>
      <c r="I243" s="146"/>
      <c r="J243" s="146"/>
      <c r="K243" s="113">
        <f t="shared" si="4"/>
        <v>1</v>
      </c>
      <c r="L243" s="113"/>
    </row>
    <row r="244" spans="1:12" s="145" customFormat="1" ht="27.6" customHeight="1" x14ac:dyDescent="0.25">
      <c r="A244" s="113"/>
      <c r="B244" s="115"/>
      <c r="C244" s="146"/>
      <c r="D244" s="147"/>
      <c r="E244" s="147"/>
      <c r="F244" s="112"/>
      <c r="G244" s="111"/>
      <c r="H244" s="111"/>
      <c r="I244" s="146"/>
      <c r="J244" s="146"/>
      <c r="K244" s="113">
        <f t="shared" si="4"/>
        <v>1</v>
      </c>
      <c r="L244" s="113"/>
    </row>
    <row r="245" spans="1:12" s="145" customFormat="1" ht="27.6" customHeight="1" x14ac:dyDescent="0.25">
      <c r="A245" s="113"/>
      <c r="B245" s="115"/>
      <c r="C245" s="146"/>
      <c r="D245" s="147"/>
      <c r="E245" s="147"/>
      <c r="F245" s="112"/>
      <c r="G245" s="111"/>
      <c r="H245" s="111"/>
      <c r="I245" s="146"/>
      <c r="J245" s="146"/>
      <c r="K245" s="113">
        <f t="shared" si="4"/>
        <v>1</v>
      </c>
      <c r="L245" s="113"/>
    </row>
    <row r="246" spans="1:12" s="145" customFormat="1" ht="27.6" customHeight="1" x14ac:dyDescent="0.25">
      <c r="A246" s="113"/>
      <c r="B246" s="115"/>
      <c r="C246" s="146"/>
      <c r="D246" s="147"/>
      <c r="E246" s="147"/>
      <c r="F246" s="112"/>
      <c r="G246" s="111"/>
      <c r="H246" s="111"/>
      <c r="I246" s="146"/>
      <c r="J246" s="146"/>
      <c r="K246" s="113">
        <f t="shared" si="4"/>
        <v>1</v>
      </c>
      <c r="L246" s="113"/>
    </row>
    <row r="247" spans="1:12" s="145" customFormat="1" ht="27.6" customHeight="1" x14ac:dyDescent="0.25">
      <c r="A247" s="113"/>
      <c r="B247" s="115"/>
      <c r="C247" s="146"/>
      <c r="D247" s="147"/>
      <c r="E247" s="147"/>
      <c r="F247" s="112"/>
      <c r="G247" s="111"/>
      <c r="H247" s="111"/>
      <c r="I247" s="146"/>
      <c r="J247" s="146"/>
      <c r="K247" s="113">
        <f t="shared" si="4"/>
        <v>1</v>
      </c>
      <c r="L247" s="113"/>
    </row>
    <row r="248" spans="1:12" s="145" customFormat="1" ht="27.6" customHeight="1" x14ac:dyDescent="0.25">
      <c r="A248" s="113"/>
      <c r="B248" s="115"/>
      <c r="C248" s="146"/>
      <c r="D248" s="147"/>
      <c r="E248" s="147"/>
      <c r="F248" s="112"/>
      <c r="G248" s="111"/>
      <c r="H248" s="111"/>
      <c r="I248" s="146"/>
      <c r="J248" s="146"/>
      <c r="K248" s="113">
        <f t="shared" si="4"/>
        <v>1</v>
      </c>
      <c r="L248" s="113"/>
    </row>
    <row r="249" spans="1:12" s="145" customFormat="1" ht="27.6" customHeight="1" x14ac:dyDescent="0.25">
      <c r="A249" s="113"/>
      <c r="B249" s="115"/>
      <c r="C249" s="146"/>
      <c r="D249" s="147"/>
      <c r="E249" s="147"/>
      <c r="F249" s="112"/>
      <c r="G249" s="111"/>
      <c r="H249" s="111"/>
      <c r="I249" s="146"/>
      <c r="J249" s="146"/>
      <c r="K249" s="113">
        <f t="shared" si="4"/>
        <v>1</v>
      </c>
      <c r="L249" s="113"/>
    </row>
    <row r="250" spans="1:12" s="145" customFormat="1" ht="27.6" customHeight="1" x14ac:dyDescent="0.25">
      <c r="A250" s="113"/>
      <c r="B250" s="115"/>
      <c r="C250" s="146"/>
      <c r="D250" s="147"/>
      <c r="E250" s="147"/>
      <c r="F250" s="112"/>
      <c r="G250" s="111"/>
      <c r="H250" s="111"/>
      <c r="I250" s="146"/>
      <c r="J250" s="146"/>
      <c r="K250" s="113">
        <f t="shared" si="4"/>
        <v>1</v>
      </c>
      <c r="L250" s="113"/>
    </row>
    <row r="251" spans="1:12" s="145" customFormat="1" ht="27.6" customHeight="1" x14ac:dyDescent="0.25">
      <c r="A251" s="113"/>
      <c r="B251" s="115"/>
      <c r="C251" s="146"/>
      <c r="D251" s="147"/>
      <c r="E251" s="147"/>
      <c r="F251" s="112"/>
      <c r="G251" s="111"/>
      <c r="H251" s="111"/>
      <c r="I251" s="146"/>
      <c r="J251" s="146"/>
      <c r="K251" s="113">
        <f t="shared" si="4"/>
        <v>1</v>
      </c>
      <c r="L251" s="113"/>
    </row>
    <row r="252" spans="1:12" s="145" customFormat="1" ht="27.6" customHeight="1" x14ac:dyDescent="0.25">
      <c r="A252" s="113"/>
      <c r="B252" s="115"/>
      <c r="C252" s="146"/>
      <c r="D252" s="147"/>
      <c r="E252" s="147"/>
      <c r="F252" s="112"/>
      <c r="G252" s="111"/>
      <c r="H252" s="111"/>
      <c r="I252" s="146"/>
      <c r="J252" s="146"/>
      <c r="K252" s="113">
        <f t="shared" ref="K252:K315" si="5">J252-I252+1</f>
        <v>1</v>
      </c>
      <c r="L252" s="113"/>
    </row>
    <row r="253" spans="1:12" s="145" customFormat="1" ht="27.6" customHeight="1" x14ac:dyDescent="0.25">
      <c r="A253" s="113"/>
      <c r="B253" s="115"/>
      <c r="C253" s="146"/>
      <c r="D253" s="147"/>
      <c r="E253" s="147"/>
      <c r="F253" s="112"/>
      <c r="G253" s="111"/>
      <c r="H253" s="111"/>
      <c r="I253" s="146"/>
      <c r="J253" s="146"/>
      <c r="K253" s="113">
        <f t="shared" si="5"/>
        <v>1</v>
      </c>
      <c r="L253" s="113"/>
    </row>
    <row r="254" spans="1:12" s="145" customFormat="1" ht="27.6" customHeight="1" x14ac:dyDescent="0.25">
      <c r="A254" s="113"/>
      <c r="B254" s="115"/>
      <c r="C254" s="146"/>
      <c r="D254" s="147"/>
      <c r="E254" s="147"/>
      <c r="F254" s="112"/>
      <c r="G254" s="111"/>
      <c r="H254" s="111"/>
      <c r="I254" s="146"/>
      <c r="J254" s="146"/>
      <c r="K254" s="113">
        <f t="shared" si="5"/>
        <v>1</v>
      </c>
      <c r="L254" s="113"/>
    </row>
    <row r="255" spans="1:12" s="145" customFormat="1" ht="27.6" customHeight="1" x14ac:dyDescent="0.25">
      <c r="A255" s="113"/>
      <c r="B255" s="115"/>
      <c r="C255" s="146"/>
      <c r="D255" s="147"/>
      <c r="E255" s="147"/>
      <c r="F255" s="112"/>
      <c r="G255" s="111"/>
      <c r="H255" s="111"/>
      <c r="I255" s="146"/>
      <c r="J255" s="146"/>
      <c r="K255" s="113">
        <f t="shared" si="5"/>
        <v>1</v>
      </c>
      <c r="L255" s="113"/>
    </row>
    <row r="256" spans="1:12" s="145" customFormat="1" ht="27.6" customHeight="1" x14ac:dyDescent="0.25">
      <c r="A256" s="113"/>
      <c r="B256" s="115"/>
      <c r="C256" s="146"/>
      <c r="D256" s="147"/>
      <c r="E256" s="147"/>
      <c r="F256" s="112"/>
      <c r="G256" s="111"/>
      <c r="H256" s="111"/>
      <c r="I256" s="146"/>
      <c r="J256" s="146"/>
      <c r="K256" s="113">
        <f t="shared" si="5"/>
        <v>1</v>
      </c>
      <c r="L256" s="113"/>
    </row>
    <row r="257" spans="1:12" s="145" customFormat="1" ht="27.6" customHeight="1" x14ac:dyDescent="0.25">
      <c r="A257" s="113"/>
      <c r="B257" s="115"/>
      <c r="C257" s="146"/>
      <c r="D257" s="147"/>
      <c r="E257" s="147"/>
      <c r="F257" s="112"/>
      <c r="G257" s="111"/>
      <c r="H257" s="111"/>
      <c r="I257" s="146"/>
      <c r="J257" s="146"/>
      <c r="K257" s="113">
        <f t="shared" si="5"/>
        <v>1</v>
      </c>
      <c r="L257" s="113"/>
    </row>
    <row r="258" spans="1:12" s="145" customFormat="1" ht="27.6" customHeight="1" x14ac:dyDescent="0.25">
      <c r="A258" s="113"/>
      <c r="B258" s="115"/>
      <c r="C258" s="146"/>
      <c r="D258" s="147"/>
      <c r="E258" s="147"/>
      <c r="F258" s="112"/>
      <c r="G258" s="111"/>
      <c r="H258" s="111"/>
      <c r="I258" s="146"/>
      <c r="J258" s="146"/>
      <c r="K258" s="113">
        <f t="shared" si="5"/>
        <v>1</v>
      </c>
      <c r="L258" s="113"/>
    </row>
    <row r="259" spans="1:12" s="145" customFormat="1" ht="27.6" customHeight="1" x14ac:dyDescent="0.25">
      <c r="A259" s="113"/>
      <c r="B259" s="115"/>
      <c r="C259" s="146"/>
      <c r="D259" s="147"/>
      <c r="E259" s="147"/>
      <c r="F259" s="112"/>
      <c r="G259" s="111"/>
      <c r="H259" s="111"/>
      <c r="I259" s="146"/>
      <c r="J259" s="146"/>
      <c r="K259" s="113">
        <f t="shared" si="5"/>
        <v>1</v>
      </c>
      <c r="L259" s="113"/>
    </row>
    <row r="260" spans="1:12" s="145" customFormat="1" ht="27.6" customHeight="1" x14ac:dyDescent="0.25">
      <c r="A260" s="113"/>
      <c r="B260" s="115"/>
      <c r="C260" s="146"/>
      <c r="D260" s="147"/>
      <c r="E260" s="147"/>
      <c r="F260" s="112"/>
      <c r="G260" s="111"/>
      <c r="H260" s="111"/>
      <c r="I260" s="146"/>
      <c r="J260" s="146"/>
      <c r="K260" s="113">
        <f t="shared" si="5"/>
        <v>1</v>
      </c>
      <c r="L260" s="113"/>
    </row>
    <row r="261" spans="1:12" s="145" customFormat="1" ht="27.6" customHeight="1" x14ac:dyDescent="0.25">
      <c r="A261" s="113"/>
      <c r="B261" s="115"/>
      <c r="C261" s="146"/>
      <c r="D261" s="147"/>
      <c r="E261" s="147"/>
      <c r="F261" s="112"/>
      <c r="G261" s="111"/>
      <c r="H261" s="111"/>
      <c r="I261" s="146"/>
      <c r="J261" s="146"/>
      <c r="K261" s="113">
        <f t="shared" si="5"/>
        <v>1</v>
      </c>
      <c r="L261" s="113"/>
    </row>
    <row r="262" spans="1:12" s="145" customFormat="1" ht="27.6" customHeight="1" x14ac:dyDescent="0.25">
      <c r="A262" s="113"/>
      <c r="B262" s="115"/>
      <c r="C262" s="146"/>
      <c r="D262" s="147"/>
      <c r="E262" s="147"/>
      <c r="F262" s="112"/>
      <c r="G262" s="111"/>
      <c r="H262" s="111"/>
      <c r="I262" s="146"/>
      <c r="J262" s="146"/>
      <c r="K262" s="113">
        <f t="shared" si="5"/>
        <v>1</v>
      </c>
      <c r="L262" s="113"/>
    </row>
    <row r="263" spans="1:12" s="145" customFormat="1" ht="27.6" customHeight="1" x14ac:dyDescent="0.25">
      <c r="A263" s="113"/>
      <c r="B263" s="115"/>
      <c r="C263" s="146"/>
      <c r="D263" s="147"/>
      <c r="E263" s="147"/>
      <c r="F263" s="112"/>
      <c r="G263" s="111"/>
      <c r="H263" s="111"/>
      <c r="I263" s="146"/>
      <c r="J263" s="146"/>
      <c r="K263" s="113">
        <f t="shared" si="5"/>
        <v>1</v>
      </c>
      <c r="L263" s="113"/>
    </row>
    <row r="264" spans="1:12" s="145" customFormat="1" ht="27.6" customHeight="1" x14ac:dyDescent="0.25">
      <c r="A264" s="113"/>
      <c r="B264" s="115"/>
      <c r="C264" s="146"/>
      <c r="D264" s="147"/>
      <c r="E264" s="147"/>
      <c r="F264" s="112"/>
      <c r="G264" s="111"/>
      <c r="H264" s="111"/>
      <c r="I264" s="146"/>
      <c r="J264" s="146"/>
      <c r="K264" s="113">
        <f t="shared" si="5"/>
        <v>1</v>
      </c>
      <c r="L264" s="113"/>
    </row>
    <row r="265" spans="1:12" s="145" customFormat="1" ht="27.6" customHeight="1" x14ac:dyDescent="0.25">
      <c r="A265" s="113"/>
      <c r="B265" s="115"/>
      <c r="C265" s="146"/>
      <c r="D265" s="147"/>
      <c r="E265" s="147"/>
      <c r="F265" s="112"/>
      <c r="G265" s="111"/>
      <c r="H265" s="111"/>
      <c r="I265" s="146"/>
      <c r="J265" s="146"/>
      <c r="K265" s="113">
        <f t="shared" si="5"/>
        <v>1</v>
      </c>
      <c r="L265" s="113"/>
    </row>
    <row r="266" spans="1:12" s="145" customFormat="1" ht="27.6" customHeight="1" x14ac:dyDescent="0.25">
      <c r="A266" s="113"/>
      <c r="B266" s="115"/>
      <c r="C266" s="146"/>
      <c r="D266" s="147"/>
      <c r="E266" s="147"/>
      <c r="F266" s="112"/>
      <c r="G266" s="111"/>
      <c r="H266" s="111"/>
      <c r="I266" s="146"/>
      <c r="J266" s="146"/>
      <c r="K266" s="113">
        <f t="shared" si="5"/>
        <v>1</v>
      </c>
      <c r="L266" s="113"/>
    </row>
    <row r="267" spans="1:12" s="145" customFormat="1" ht="27.6" customHeight="1" x14ac:dyDescent="0.25">
      <c r="A267" s="113"/>
      <c r="B267" s="115"/>
      <c r="C267" s="146"/>
      <c r="D267" s="147"/>
      <c r="E267" s="147"/>
      <c r="F267" s="112"/>
      <c r="G267" s="111"/>
      <c r="H267" s="111"/>
      <c r="I267" s="146"/>
      <c r="J267" s="146"/>
      <c r="K267" s="113">
        <f t="shared" si="5"/>
        <v>1</v>
      </c>
      <c r="L267" s="113"/>
    </row>
    <row r="268" spans="1:12" s="145" customFormat="1" ht="27.6" customHeight="1" x14ac:dyDescent="0.25">
      <c r="A268" s="113"/>
      <c r="B268" s="115"/>
      <c r="C268" s="146"/>
      <c r="D268" s="147"/>
      <c r="E268" s="147"/>
      <c r="F268" s="112"/>
      <c r="G268" s="111"/>
      <c r="H268" s="111"/>
      <c r="I268" s="146"/>
      <c r="J268" s="146"/>
      <c r="K268" s="113">
        <f t="shared" si="5"/>
        <v>1</v>
      </c>
      <c r="L268" s="113"/>
    </row>
    <row r="269" spans="1:12" s="145" customFormat="1" ht="27.6" customHeight="1" x14ac:dyDescent="0.25">
      <c r="A269" s="113"/>
      <c r="B269" s="115"/>
      <c r="C269" s="146"/>
      <c r="D269" s="147"/>
      <c r="E269" s="147"/>
      <c r="F269" s="112"/>
      <c r="G269" s="111"/>
      <c r="H269" s="111"/>
      <c r="I269" s="146"/>
      <c r="J269" s="146"/>
      <c r="K269" s="113">
        <f t="shared" si="5"/>
        <v>1</v>
      </c>
      <c r="L269" s="113"/>
    </row>
    <row r="270" spans="1:12" s="145" customFormat="1" ht="27.6" customHeight="1" x14ac:dyDescent="0.25">
      <c r="A270" s="113"/>
      <c r="B270" s="115"/>
      <c r="C270" s="146"/>
      <c r="D270" s="147"/>
      <c r="E270" s="147"/>
      <c r="F270" s="112"/>
      <c r="G270" s="111"/>
      <c r="H270" s="111"/>
      <c r="I270" s="146"/>
      <c r="J270" s="146"/>
      <c r="K270" s="113">
        <f t="shared" si="5"/>
        <v>1</v>
      </c>
      <c r="L270" s="113"/>
    </row>
    <row r="271" spans="1:12" s="145" customFormat="1" ht="27.6" customHeight="1" x14ac:dyDescent="0.25">
      <c r="A271" s="113"/>
      <c r="B271" s="115"/>
      <c r="C271" s="146"/>
      <c r="D271" s="147"/>
      <c r="E271" s="147"/>
      <c r="F271" s="112"/>
      <c r="G271" s="111"/>
      <c r="H271" s="111"/>
      <c r="I271" s="146"/>
      <c r="J271" s="146"/>
      <c r="K271" s="113">
        <f t="shared" si="5"/>
        <v>1</v>
      </c>
      <c r="L271" s="113"/>
    </row>
    <row r="272" spans="1:12" s="145" customFormat="1" ht="27.6" customHeight="1" x14ac:dyDescent="0.25">
      <c r="A272" s="113"/>
      <c r="B272" s="115"/>
      <c r="C272" s="146"/>
      <c r="D272" s="147"/>
      <c r="E272" s="147"/>
      <c r="F272" s="112"/>
      <c r="G272" s="111"/>
      <c r="H272" s="111"/>
      <c r="I272" s="146"/>
      <c r="J272" s="146"/>
      <c r="K272" s="113">
        <f t="shared" si="5"/>
        <v>1</v>
      </c>
      <c r="L272" s="113"/>
    </row>
    <row r="273" spans="1:12" s="145" customFormat="1" ht="27.6" customHeight="1" x14ac:dyDescent="0.25">
      <c r="A273" s="113"/>
      <c r="B273" s="115"/>
      <c r="C273" s="146"/>
      <c r="D273" s="147"/>
      <c r="E273" s="147"/>
      <c r="F273" s="112"/>
      <c r="G273" s="111"/>
      <c r="H273" s="111"/>
      <c r="I273" s="146"/>
      <c r="J273" s="146"/>
      <c r="K273" s="113">
        <f t="shared" si="5"/>
        <v>1</v>
      </c>
      <c r="L273" s="113"/>
    </row>
    <row r="274" spans="1:12" s="145" customFormat="1" ht="27.6" customHeight="1" x14ac:dyDescent="0.25">
      <c r="A274" s="113"/>
      <c r="B274" s="115"/>
      <c r="C274" s="146"/>
      <c r="D274" s="147"/>
      <c r="E274" s="147"/>
      <c r="F274" s="112"/>
      <c r="G274" s="111"/>
      <c r="H274" s="111"/>
      <c r="I274" s="146"/>
      <c r="J274" s="146"/>
      <c r="K274" s="113">
        <f t="shared" si="5"/>
        <v>1</v>
      </c>
      <c r="L274" s="113"/>
    </row>
    <row r="275" spans="1:12" s="145" customFormat="1" ht="27.6" customHeight="1" x14ac:dyDescent="0.25">
      <c r="A275" s="113"/>
      <c r="B275" s="115"/>
      <c r="C275" s="146"/>
      <c r="D275" s="147"/>
      <c r="E275" s="147"/>
      <c r="F275" s="112"/>
      <c r="G275" s="111"/>
      <c r="H275" s="111"/>
      <c r="I275" s="146"/>
      <c r="J275" s="146"/>
      <c r="K275" s="113">
        <f t="shared" si="5"/>
        <v>1</v>
      </c>
      <c r="L275" s="113"/>
    </row>
    <row r="276" spans="1:12" s="145" customFormat="1" ht="27.6" customHeight="1" x14ac:dyDescent="0.25">
      <c r="A276" s="113"/>
      <c r="B276" s="115"/>
      <c r="C276" s="146"/>
      <c r="D276" s="147"/>
      <c r="E276" s="147"/>
      <c r="F276" s="112"/>
      <c r="G276" s="111"/>
      <c r="H276" s="111"/>
      <c r="I276" s="146"/>
      <c r="J276" s="146"/>
      <c r="K276" s="113">
        <f t="shared" si="5"/>
        <v>1</v>
      </c>
      <c r="L276" s="113"/>
    </row>
    <row r="277" spans="1:12" s="145" customFormat="1" ht="27.6" customHeight="1" x14ac:dyDescent="0.25">
      <c r="A277" s="113"/>
      <c r="B277" s="115"/>
      <c r="C277" s="146"/>
      <c r="D277" s="147"/>
      <c r="E277" s="147"/>
      <c r="F277" s="112"/>
      <c r="G277" s="111"/>
      <c r="H277" s="111"/>
      <c r="I277" s="146"/>
      <c r="J277" s="146"/>
      <c r="K277" s="113">
        <f t="shared" si="5"/>
        <v>1</v>
      </c>
      <c r="L277" s="113"/>
    </row>
    <row r="278" spans="1:12" s="145" customFormat="1" ht="27.6" customHeight="1" x14ac:dyDescent="0.25">
      <c r="A278" s="113"/>
      <c r="B278" s="115"/>
      <c r="C278" s="146"/>
      <c r="D278" s="147"/>
      <c r="E278" s="147"/>
      <c r="F278" s="112"/>
      <c r="G278" s="111"/>
      <c r="H278" s="111"/>
      <c r="I278" s="146"/>
      <c r="J278" s="146"/>
      <c r="K278" s="113">
        <f t="shared" si="5"/>
        <v>1</v>
      </c>
      <c r="L278" s="113"/>
    </row>
    <row r="279" spans="1:12" s="145" customFormat="1" ht="27.6" customHeight="1" x14ac:dyDescent="0.25">
      <c r="A279" s="113"/>
      <c r="B279" s="115"/>
      <c r="C279" s="146"/>
      <c r="D279" s="147"/>
      <c r="E279" s="147"/>
      <c r="F279" s="112"/>
      <c r="G279" s="111"/>
      <c r="H279" s="111"/>
      <c r="I279" s="146"/>
      <c r="J279" s="146"/>
      <c r="K279" s="113">
        <f t="shared" si="5"/>
        <v>1</v>
      </c>
      <c r="L279" s="113"/>
    </row>
    <row r="280" spans="1:12" s="145" customFormat="1" ht="27.6" customHeight="1" x14ac:dyDescent="0.25">
      <c r="A280" s="113"/>
      <c r="B280" s="115"/>
      <c r="C280" s="146"/>
      <c r="D280" s="147"/>
      <c r="E280" s="147"/>
      <c r="F280" s="112"/>
      <c r="G280" s="111"/>
      <c r="H280" s="111"/>
      <c r="I280" s="146"/>
      <c r="J280" s="146"/>
      <c r="K280" s="113">
        <f t="shared" si="5"/>
        <v>1</v>
      </c>
      <c r="L280" s="113"/>
    </row>
    <row r="281" spans="1:12" s="145" customFormat="1" ht="27.6" customHeight="1" x14ac:dyDescent="0.25">
      <c r="A281" s="113"/>
      <c r="B281" s="115"/>
      <c r="C281" s="146"/>
      <c r="D281" s="147"/>
      <c r="E281" s="147"/>
      <c r="F281" s="112"/>
      <c r="G281" s="111"/>
      <c r="H281" s="111"/>
      <c r="I281" s="146"/>
      <c r="J281" s="146"/>
      <c r="K281" s="113">
        <f t="shared" si="5"/>
        <v>1</v>
      </c>
      <c r="L281" s="113"/>
    </row>
    <row r="282" spans="1:12" s="145" customFormat="1" ht="27.6" customHeight="1" x14ac:dyDescent="0.25">
      <c r="A282" s="113"/>
      <c r="B282" s="115"/>
      <c r="C282" s="146"/>
      <c r="D282" s="147"/>
      <c r="E282" s="147"/>
      <c r="F282" s="112"/>
      <c r="G282" s="111"/>
      <c r="H282" s="111"/>
      <c r="I282" s="146"/>
      <c r="J282" s="146"/>
      <c r="K282" s="113">
        <f t="shared" si="5"/>
        <v>1</v>
      </c>
      <c r="L282" s="113"/>
    </row>
    <row r="283" spans="1:12" s="145" customFormat="1" ht="27.6" customHeight="1" x14ac:dyDescent="0.25">
      <c r="A283" s="113"/>
      <c r="B283" s="115"/>
      <c r="C283" s="146"/>
      <c r="D283" s="147"/>
      <c r="E283" s="147"/>
      <c r="F283" s="112"/>
      <c r="G283" s="111"/>
      <c r="H283" s="111"/>
      <c r="I283" s="146"/>
      <c r="J283" s="146"/>
      <c r="K283" s="113">
        <f t="shared" si="5"/>
        <v>1</v>
      </c>
      <c r="L283" s="113"/>
    </row>
    <row r="284" spans="1:12" s="145" customFormat="1" ht="27.6" customHeight="1" x14ac:dyDescent="0.25">
      <c r="A284" s="113"/>
      <c r="B284" s="115"/>
      <c r="C284" s="146"/>
      <c r="D284" s="147"/>
      <c r="E284" s="147"/>
      <c r="F284" s="112"/>
      <c r="G284" s="111"/>
      <c r="H284" s="111"/>
      <c r="I284" s="146"/>
      <c r="J284" s="146"/>
      <c r="K284" s="113">
        <f t="shared" si="5"/>
        <v>1</v>
      </c>
      <c r="L284" s="113"/>
    </row>
    <row r="285" spans="1:12" s="145" customFormat="1" ht="27.6" customHeight="1" x14ac:dyDescent="0.25">
      <c r="A285" s="113"/>
      <c r="B285" s="115"/>
      <c r="C285" s="146"/>
      <c r="D285" s="147"/>
      <c r="E285" s="147"/>
      <c r="F285" s="112"/>
      <c r="G285" s="111"/>
      <c r="H285" s="111"/>
      <c r="I285" s="146"/>
      <c r="J285" s="146"/>
      <c r="K285" s="113">
        <f t="shared" si="5"/>
        <v>1</v>
      </c>
      <c r="L285" s="113"/>
    </row>
    <row r="286" spans="1:12" s="145" customFormat="1" ht="27.6" customHeight="1" x14ac:dyDescent="0.25">
      <c r="A286" s="113"/>
      <c r="B286" s="115"/>
      <c r="C286" s="146"/>
      <c r="D286" s="147"/>
      <c r="E286" s="147"/>
      <c r="F286" s="112"/>
      <c r="G286" s="111"/>
      <c r="H286" s="111"/>
      <c r="I286" s="146"/>
      <c r="J286" s="146"/>
      <c r="K286" s="113">
        <f t="shared" si="5"/>
        <v>1</v>
      </c>
      <c r="L286" s="113"/>
    </row>
    <row r="287" spans="1:12" s="145" customFormat="1" ht="27.6" customHeight="1" x14ac:dyDescent="0.25">
      <c r="A287" s="113"/>
      <c r="B287" s="115"/>
      <c r="C287" s="146"/>
      <c r="D287" s="147"/>
      <c r="E287" s="147"/>
      <c r="F287" s="112"/>
      <c r="G287" s="111"/>
      <c r="H287" s="111"/>
      <c r="I287" s="146"/>
      <c r="J287" s="146"/>
      <c r="K287" s="113">
        <f t="shared" si="5"/>
        <v>1</v>
      </c>
      <c r="L287" s="113"/>
    </row>
    <row r="288" spans="1:12" s="145" customFormat="1" ht="27.6" customHeight="1" x14ac:dyDescent="0.25">
      <c r="A288" s="113"/>
      <c r="B288" s="115"/>
      <c r="C288" s="146"/>
      <c r="D288" s="147"/>
      <c r="E288" s="147"/>
      <c r="F288" s="112"/>
      <c r="G288" s="111"/>
      <c r="H288" s="111"/>
      <c r="I288" s="146"/>
      <c r="J288" s="146"/>
      <c r="K288" s="113">
        <f t="shared" si="5"/>
        <v>1</v>
      </c>
      <c r="L288" s="113"/>
    </row>
    <row r="289" spans="1:12" s="145" customFormat="1" ht="27.6" customHeight="1" x14ac:dyDescent="0.25">
      <c r="A289" s="113"/>
      <c r="B289" s="115"/>
      <c r="C289" s="146"/>
      <c r="D289" s="147"/>
      <c r="E289" s="147"/>
      <c r="F289" s="112"/>
      <c r="G289" s="111"/>
      <c r="H289" s="111"/>
      <c r="I289" s="146"/>
      <c r="J289" s="146"/>
      <c r="K289" s="113">
        <f t="shared" si="5"/>
        <v>1</v>
      </c>
      <c r="L289" s="113"/>
    </row>
    <row r="290" spans="1:12" s="145" customFormat="1" ht="27.6" customHeight="1" x14ac:dyDescent="0.25">
      <c r="A290" s="113"/>
      <c r="B290" s="115"/>
      <c r="C290" s="146"/>
      <c r="D290" s="147"/>
      <c r="E290" s="147"/>
      <c r="F290" s="112"/>
      <c r="G290" s="111"/>
      <c r="H290" s="111"/>
      <c r="I290" s="146"/>
      <c r="J290" s="146"/>
      <c r="K290" s="113">
        <f t="shared" si="5"/>
        <v>1</v>
      </c>
      <c r="L290" s="113"/>
    </row>
    <row r="291" spans="1:12" s="145" customFormat="1" ht="27.6" customHeight="1" x14ac:dyDescent="0.25">
      <c r="A291" s="113"/>
      <c r="B291" s="115"/>
      <c r="C291" s="146"/>
      <c r="D291" s="147"/>
      <c r="E291" s="147"/>
      <c r="F291" s="112"/>
      <c r="G291" s="111"/>
      <c r="H291" s="111"/>
      <c r="I291" s="146"/>
      <c r="J291" s="146"/>
      <c r="K291" s="113">
        <f t="shared" si="5"/>
        <v>1</v>
      </c>
      <c r="L291" s="113"/>
    </row>
    <row r="292" spans="1:12" s="145" customFormat="1" ht="27.6" customHeight="1" x14ac:dyDescent="0.25">
      <c r="A292" s="113"/>
      <c r="B292" s="115"/>
      <c r="C292" s="146"/>
      <c r="D292" s="147"/>
      <c r="E292" s="147"/>
      <c r="F292" s="112"/>
      <c r="G292" s="111"/>
      <c r="H292" s="111"/>
      <c r="I292" s="146"/>
      <c r="J292" s="146"/>
      <c r="K292" s="113">
        <f t="shared" si="5"/>
        <v>1</v>
      </c>
      <c r="L292" s="113"/>
    </row>
    <row r="293" spans="1:12" s="145" customFormat="1" ht="27.6" customHeight="1" x14ac:dyDescent="0.25">
      <c r="A293" s="113"/>
      <c r="B293" s="115"/>
      <c r="C293" s="146"/>
      <c r="D293" s="147"/>
      <c r="E293" s="147"/>
      <c r="F293" s="112"/>
      <c r="G293" s="111"/>
      <c r="H293" s="111"/>
      <c r="I293" s="146"/>
      <c r="J293" s="146"/>
      <c r="K293" s="113">
        <f t="shared" si="5"/>
        <v>1</v>
      </c>
      <c r="L293" s="113"/>
    </row>
    <row r="294" spans="1:12" s="145" customFormat="1" ht="27.6" customHeight="1" x14ac:dyDescent="0.25">
      <c r="A294" s="113"/>
      <c r="B294" s="115"/>
      <c r="C294" s="146"/>
      <c r="D294" s="147"/>
      <c r="E294" s="147"/>
      <c r="F294" s="112"/>
      <c r="G294" s="111"/>
      <c r="H294" s="111"/>
      <c r="I294" s="146"/>
      <c r="J294" s="146"/>
      <c r="K294" s="113">
        <f t="shared" si="5"/>
        <v>1</v>
      </c>
      <c r="L294" s="113"/>
    </row>
    <row r="295" spans="1:12" s="145" customFormat="1" ht="27.6" customHeight="1" x14ac:dyDescent="0.25">
      <c r="A295" s="113"/>
      <c r="B295" s="115"/>
      <c r="C295" s="146"/>
      <c r="D295" s="147"/>
      <c r="E295" s="147"/>
      <c r="F295" s="112"/>
      <c r="G295" s="111"/>
      <c r="H295" s="111"/>
      <c r="I295" s="146"/>
      <c r="J295" s="146"/>
      <c r="K295" s="113">
        <f t="shared" si="5"/>
        <v>1</v>
      </c>
      <c r="L295" s="113"/>
    </row>
    <row r="296" spans="1:12" s="145" customFormat="1" ht="27.6" customHeight="1" x14ac:dyDescent="0.25">
      <c r="A296" s="113"/>
      <c r="B296" s="115"/>
      <c r="C296" s="146"/>
      <c r="D296" s="147"/>
      <c r="E296" s="147"/>
      <c r="F296" s="112"/>
      <c r="G296" s="111"/>
      <c r="H296" s="111"/>
      <c r="I296" s="146"/>
      <c r="J296" s="146"/>
      <c r="K296" s="113">
        <f t="shared" si="5"/>
        <v>1</v>
      </c>
      <c r="L296" s="113"/>
    </row>
    <row r="297" spans="1:12" s="145" customFormat="1" ht="27.6" customHeight="1" x14ac:dyDescent="0.25">
      <c r="A297" s="113"/>
      <c r="B297" s="115"/>
      <c r="C297" s="146"/>
      <c r="D297" s="147"/>
      <c r="E297" s="147"/>
      <c r="F297" s="112"/>
      <c r="G297" s="111"/>
      <c r="H297" s="111"/>
      <c r="I297" s="146"/>
      <c r="J297" s="146"/>
      <c r="K297" s="113">
        <f t="shared" si="5"/>
        <v>1</v>
      </c>
      <c r="L297" s="113"/>
    </row>
    <row r="298" spans="1:12" s="145" customFormat="1" ht="27.6" customHeight="1" x14ac:dyDescent="0.25">
      <c r="A298" s="113"/>
      <c r="B298" s="115"/>
      <c r="C298" s="146"/>
      <c r="D298" s="147"/>
      <c r="E298" s="147"/>
      <c r="F298" s="112"/>
      <c r="G298" s="111"/>
      <c r="H298" s="111"/>
      <c r="I298" s="146"/>
      <c r="J298" s="146"/>
      <c r="K298" s="113">
        <f t="shared" si="5"/>
        <v>1</v>
      </c>
      <c r="L298" s="113"/>
    </row>
    <row r="299" spans="1:12" s="145" customFormat="1" ht="27.6" customHeight="1" x14ac:dyDescent="0.25">
      <c r="A299" s="113"/>
      <c r="B299" s="115"/>
      <c r="C299" s="146"/>
      <c r="D299" s="147"/>
      <c r="E299" s="147"/>
      <c r="F299" s="112"/>
      <c r="G299" s="111"/>
      <c r="H299" s="111"/>
      <c r="I299" s="146"/>
      <c r="J299" s="146"/>
      <c r="K299" s="113">
        <f t="shared" si="5"/>
        <v>1</v>
      </c>
      <c r="L299" s="113"/>
    </row>
    <row r="300" spans="1:12" s="145" customFormat="1" ht="27.6" customHeight="1" x14ac:dyDescent="0.25">
      <c r="A300" s="113"/>
      <c r="B300" s="115"/>
      <c r="C300" s="146"/>
      <c r="D300" s="147"/>
      <c r="E300" s="147"/>
      <c r="F300" s="112"/>
      <c r="G300" s="111"/>
      <c r="H300" s="111"/>
      <c r="I300" s="146"/>
      <c r="J300" s="146"/>
      <c r="K300" s="113">
        <f t="shared" si="5"/>
        <v>1</v>
      </c>
      <c r="L300" s="113"/>
    </row>
    <row r="301" spans="1:12" s="145" customFormat="1" ht="27.6" customHeight="1" x14ac:dyDescent="0.25">
      <c r="A301" s="113"/>
      <c r="B301" s="115"/>
      <c r="C301" s="146"/>
      <c r="D301" s="147"/>
      <c r="E301" s="147"/>
      <c r="F301" s="112"/>
      <c r="G301" s="111"/>
      <c r="H301" s="111"/>
      <c r="I301" s="146"/>
      <c r="J301" s="146"/>
      <c r="K301" s="113">
        <f t="shared" si="5"/>
        <v>1</v>
      </c>
      <c r="L301" s="113"/>
    </row>
    <row r="302" spans="1:12" s="145" customFormat="1" ht="27.6" customHeight="1" x14ac:dyDescent="0.25">
      <c r="A302" s="113"/>
      <c r="B302" s="115"/>
      <c r="C302" s="146"/>
      <c r="D302" s="147"/>
      <c r="E302" s="147"/>
      <c r="F302" s="112"/>
      <c r="G302" s="111"/>
      <c r="H302" s="111"/>
      <c r="I302" s="146"/>
      <c r="J302" s="146"/>
      <c r="K302" s="113">
        <f t="shared" si="5"/>
        <v>1</v>
      </c>
      <c r="L302" s="113"/>
    </row>
    <row r="303" spans="1:12" s="145" customFormat="1" ht="27.6" customHeight="1" x14ac:dyDescent="0.25">
      <c r="A303" s="113"/>
      <c r="B303" s="115"/>
      <c r="C303" s="146"/>
      <c r="D303" s="147"/>
      <c r="E303" s="147"/>
      <c r="F303" s="112"/>
      <c r="G303" s="111"/>
      <c r="H303" s="111"/>
      <c r="I303" s="146"/>
      <c r="J303" s="146"/>
      <c r="K303" s="113">
        <f t="shared" si="5"/>
        <v>1</v>
      </c>
      <c r="L303" s="113"/>
    </row>
    <row r="304" spans="1:12" s="145" customFormat="1" ht="27.6" customHeight="1" x14ac:dyDescent="0.25">
      <c r="A304" s="113"/>
      <c r="B304" s="115"/>
      <c r="C304" s="146"/>
      <c r="D304" s="147"/>
      <c r="E304" s="147"/>
      <c r="F304" s="112"/>
      <c r="G304" s="111"/>
      <c r="H304" s="111"/>
      <c r="I304" s="146"/>
      <c r="J304" s="146"/>
      <c r="K304" s="113">
        <f t="shared" si="5"/>
        <v>1</v>
      </c>
      <c r="L304" s="113"/>
    </row>
    <row r="305" spans="1:12" s="145" customFormat="1" ht="27.6" customHeight="1" x14ac:dyDescent="0.25">
      <c r="A305" s="113"/>
      <c r="B305" s="115"/>
      <c r="C305" s="146"/>
      <c r="D305" s="147"/>
      <c r="E305" s="147"/>
      <c r="F305" s="112"/>
      <c r="G305" s="111"/>
      <c r="H305" s="111"/>
      <c r="I305" s="146"/>
      <c r="J305" s="146"/>
      <c r="K305" s="113">
        <f t="shared" si="5"/>
        <v>1</v>
      </c>
      <c r="L305" s="113"/>
    </row>
    <row r="306" spans="1:12" s="145" customFormat="1" ht="27.6" customHeight="1" x14ac:dyDescent="0.25">
      <c r="A306" s="113"/>
      <c r="B306" s="115"/>
      <c r="C306" s="146"/>
      <c r="D306" s="147"/>
      <c r="E306" s="147"/>
      <c r="F306" s="112"/>
      <c r="G306" s="111"/>
      <c r="H306" s="111"/>
      <c r="I306" s="146"/>
      <c r="J306" s="146"/>
      <c r="K306" s="113">
        <f t="shared" si="5"/>
        <v>1</v>
      </c>
      <c r="L306" s="113"/>
    </row>
    <row r="307" spans="1:12" s="145" customFormat="1" ht="27.6" customHeight="1" x14ac:dyDescent="0.25">
      <c r="A307" s="113"/>
      <c r="B307" s="115"/>
      <c r="C307" s="146"/>
      <c r="D307" s="147"/>
      <c r="E307" s="147"/>
      <c r="F307" s="112"/>
      <c r="G307" s="111"/>
      <c r="H307" s="111"/>
      <c r="I307" s="146"/>
      <c r="J307" s="146"/>
      <c r="K307" s="113">
        <f t="shared" si="5"/>
        <v>1</v>
      </c>
      <c r="L307" s="113"/>
    </row>
    <row r="308" spans="1:12" s="145" customFormat="1" ht="27.6" customHeight="1" x14ac:dyDescent="0.25">
      <c r="A308" s="113"/>
      <c r="B308" s="115"/>
      <c r="C308" s="146"/>
      <c r="D308" s="147"/>
      <c r="E308" s="147"/>
      <c r="F308" s="112"/>
      <c r="G308" s="111"/>
      <c r="H308" s="111"/>
      <c r="I308" s="146"/>
      <c r="J308" s="146"/>
      <c r="K308" s="113">
        <f t="shared" si="5"/>
        <v>1</v>
      </c>
      <c r="L308" s="113"/>
    </row>
    <row r="309" spans="1:12" s="145" customFormat="1" ht="27.6" customHeight="1" x14ac:dyDescent="0.25">
      <c r="A309" s="113"/>
      <c r="B309" s="115"/>
      <c r="C309" s="146"/>
      <c r="D309" s="147"/>
      <c r="E309" s="147"/>
      <c r="F309" s="112"/>
      <c r="G309" s="111"/>
      <c r="H309" s="111"/>
      <c r="I309" s="146"/>
      <c r="J309" s="146"/>
      <c r="K309" s="113">
        <f t="shared" si="5"/>
        <v>1</v>
      </c>
      <c r="L309" s="113"/>
    </row>
    <row r="310" spans="1:12" s="145" customFormat="1" ht="27.6" customHeight="1" x14ac:dyDescent="0.25">
      <c r="A310" s="113"/>
      <c r="B310" s="115"/>
      <c r="C310" s="146"/>
      <c r="D310" s="147"/>
      <c r="E310" s="147"/>
      <c r="F310" s="112"/>
      <c r="G310" s="111"/>
      <c r="H310" s="111"/>
      <c r="I310" s="146"/>
      <c r="J310" s="146"/>
      <c r="K310" s="113">
        <f t="shared" si="5"/>
        <v>1</v>
      </c>
      <c r="L310" s="113"/>
    </row>
    <row r="311" spans="1:12" s="145" customFormat="1" ht="27.6" customHeight="1" x14ac:dyDescent="0.25">
      <c r="A311" s="113"/>
      <c r="B311" s="115"/>
      <c r="C311" s="146"/>
      <c r="D311" s="147"/>
      <c r="E311" s="147"/>
      <c r="F311" s="112"/>
      <c r="G311" s="111"/>
      <c r="H311" s="111"/>
      <c r="I311" s="146"/>
      <c r="J311" s="146"/>
      <c r="K311" s="113">
        <f t="shared" si="5"/>
        <v>1</v>
      </c>
      <c r="L311" s="113"/>
    </row>
    <row r="312" spans="1:12" s="145" customFormat="1" ht="27.6" customHeight="1" x14ac:dyDescent="0.25">
      <c r="A312" s="113"/>
      <c r="B312" s="115"/>
      <c r="C312" s="146"/>
      <c r="D312" s="147"/>
      <c r="E312" s="147"/>
      <c r="F312" s="112"/>
      <c r="G312" s="111"/>
      <c r="H312" s="111"/>
      <c r="I312" s="146"/>
      <c r="J312" s="146"/>
      <c r="K312" s="113">
        <f t="shared" si="5"/>
        <v>1</v>
      </c>
      <c r="L312" s="113"/>
    </row>
    <row r="313" spans="1:12" s="145" customFormat="1" ht="27.6" customHeight="1" x14ac:dyDescent="0.25">
      <c r="A313" s="113"/>
      <c r="B313" s="115"/>
      <c r="C313" s="146"/>
      <c r="D313" s="147"/>
      <c r="E313" s="147"/>
      <c r="F313" s="112"/>
      <c r="G313" s="111"/>
      <c r="H313" s="111"/>
      <c r="I313" s="146"/>
      <c r="J313" s="146"/>
      <c r="K313" s="113">
        <f t="shared" si="5"/>
        <v>1</v>
      </c>
      <c r="L313" s="113"/>
    </row>
    <row r="314" spans="1:12" s="145" customFormat="1" ht="27.6" customHeight="1" x14ac:dyDescent="0.25">
      <c r="A314" s="113"/>
      <c r="B314" s="115"/>
      <c r="C314" s="146"/>
      <c r="D314" s="147"/>
      <c r="E314" s="147"/>
      <c r="F314" s="112"/>
      <c r="G314" s="111"/>
      <c r="H314" s="111"/>
      <c r="I314" s="146"/>
      <c r="J314" s="146"/>
      <c r="K314" s="113">
        <f t="shared" si="5"/>
        <v>1</v>
      </c>
      <c r="L314" s="113"/>
    </row>
    <row r="315" spans="1:12" s="145" customFormat="1" ht="27.6" customHeight="1" x14ac:dyDescent="0.25">
      <c r="A315" s="113"/>
      <c r="B315" s="115"/>
      <c r="C315" s="146"/>
      <c r="D315" s="147"/>
      <c r="E315" s="147"/>
      <c r="F315" s="112"/>
      <c r="G315" s="111"/>
      <c r="H315" s="111"/>
      <c r="I315" s="146"/>
      <c r="J315" s="146"/>
      <c r="K315" s="113">
        <f t="shared" si="5"/>
        <v>1</v>
      </c>
      <c r="L315" s="113"/>
    </row>
    <row r="316" spans="1:12" s="145" customFormat="1" ht="27.6" customHeight="1" x14ac:dyDescent="0.25">
      <c r="A316" s="113"/>
      <c r="B316" s="115"/>
      <c r="C316" s="146"/>
      <c r="D316" s="147"/>
      <c r="E316" s="147"/>
      <c r="F316" s="112"/>
      <c r="G316" s="111"/>
      <c r="H316" s="111"/>
      <c r="I316" s="146"/>
      <c r="J316" s="146"/>
      <c r="K316" s="113">
        <f t="shared" ref="K316:K343" si="6">J316-I316+1</f>
        <v>1</v>
      </c>
      <c r="L316" s="113"/>
    </row>
    <row r="317" spans="1:12" s="145" customFormat="1" ht="27.6" customHeight="1" x14ac:dyDescent="0.25">
      <c r="A317" s="113"/>
      <c r="B317" s="115"/>
      <c r="C317" s="146"/>
      <c r="D317" s="147"/>
      <c r="E317" s="147"/>
      <c r="F317" s="112"/>
      <c r="G317" s="111"/>
      <c r="H317" s="111"/>
      <c r="I317" s="146"/>
      <c r="J317" s="146"/>
      <c r="K317" s="113">
        <f t="shared" si="6"/>
        <v>1</v>
      </c>
      <c r="L317" s="113"/>
    </row>
    <row r="318" spans="1:12" s="145" customFormat="1" ht="27.6" customHeight="1" x14ac:dyDescent="0.25">
      <c r="A318" s="113"/>
      <c r="B318" s="115"/>
      <c r="C318" s="146"/>
      <c r="D318" s="147"/>
      <c r="E318" s="147"/>
      <c r="F318" s="112"/>
      <c r="G318" s="111"/>
      <c r="H318" s="111"/>
      <c r="I318" s="146"/>
      <c r="J318" s="146"/>
      <c r="K318" s="113">
        <f t="shared" si="6"/>
        <v>1</v>
      </c>
      <c r="L318" s="113"/>
    </row>
    <row r="319" spans="1:12" s="145" customFormat="1" ht="27.6" customHeight="1" x14ac:dyDescent="0.25">
      <c r="A319" s="113"/>
      <c r="B319" s="115"/>
      <c r="C319" s="146"/>
      <c r="D319" s="147"/>
      <c r="E319" s="147"/>
      <c r="F319" s="112"/>
      <c r="G319" s="111"/>
      <c r="H319" s="111"/>
      <c r="I319" s="146"/>
      <c r="J319" s="146"/>
      <c r="K319" s="113">
        <f t="shared" si="6"/>
        <v>1</v>
      </c>
      <c r="L319" s="113"/>
    </row>
    <row r="320" spans="1:12" s="145" customFormat="1" ht="27.6" customHeight="1" x14ac:dyDescent="0.25">
      <c r="A320" s="113"/>
      <c r="B320" s="115"/>
      <c r="C320" s="146"/>
      <c r="D320" s="147"/>
      <c r="E320" s="147"/>
      <c r="F320" s="112"/>
      <c r="G320" s="111"/>
      <c r="H320" s="111"/>
      <c r="I320" s="146"/>
      <c r="J320" s="146"/>
      <c r="K320" s="113">
        <f t="shared" si="6"/>
        <v>1</v>
      </c>
      <c r="L320" s="113"/>
    </row>
    <row r="321" spans="1:12" s="145" customFormat="1" ht="27.6" customHeight="1" x14ac:dyDescent="0.25">
      <c r="A321" s="113"/>
      <c r="B321" s="115"/>
      <c r="C321" s="146"/>
      <c r="D321" s="147"/>
      <c r="E321" s="147"/>
      <c r="F321" s="112"/>
      <c r="G321" s="111"/>
      <c r="H321" s="111"/>
      <c r="I321" s="146"/>
      <c r="J321" s="146"/>
      <c r="K321" s="113">
        <f t="shared" si="6"/>
        <v>1</v>
      </c>
      <c r="L321" s="113"/>
    </row>
    <row r="322" spans="1:12" s="145" customFormat="1" ht="27.6" customHeight="1" x14ac:dyDescent="0.25">
      <c r="A322" s="113"/>
      <c r="B322" s="115"/>
      <c r="C322" s="146"/>
      <c r="D322" s="147"/>
      <c r="E322" s="147"/>
      <c r="F322" s="112"/>
      <c r="G322" s="111"/>
      <c r="H322" s="111"/>
      <c r="I322" s="146"/>
      <c r="J322" s="146"/>
      <c r="K322" s="113">
        <f t="shared" si="6"/>
        <v>1</v>
      </c>
      <c r="L322" s="113"/>
    </row>
    <row r="323" spans="1:12" s="145" customFormat="1" ht="27.6" customHeight="1" x14ac:dyDescent="0.25">
      <c r="A323" s="113"/>
      <c r="B323" s="115"/>
      <c r="C323" s="146"/>
      <c r="D323" s="147"/>
      <c r="E323" s="147"/>
      <c r="F323" s="112"/>
      <c r="G323" s="111"/>
      <c r="H323" s="111"/>
      <c r="I323" s="146"/>
      <c r="J323" s="146"/>
      <c r="K323" s="113">
        <f t="shared" si="6"/>
        <v>1</v>
      </c>
      <c r="L323" s="113"/>
    </row>
    <row r="324" spans="1:12" s="145" customFormat="1" ht="27.6" customHeight="1" x14ac:dyDescent="0.25">
      <c r="A324" s="113"/>
      <c r="B324" s="115"/>
      <c r="C324" s="146"/>
      <c r="D324" s="147"/>
      <c r="E324" s="147"/>
      <c r="F324" s="112"/>
      <c r="G324" s="111"/>
      <c r="H324" s="111"/>
      <c r="I324" s="146"/>
      <c r="J324" s="146"/>
      <c r="K324" s="113">
        <f t="shared" si="6"/>
        <v>1</v>
      </c>
      <c r="L324" s="113"/>
    </row>
    <row r="325" spans="1:12" s="145" customFormat="1" ht="27.6" customHeight="1" x14ac:dyDescent="0.25">
      <c r="A325" s="113"/>
      <c r="B325" s="115"/>
      <c r="C325" s="146"/>
      <c r="D325" s="147"/>
      <c r="E325" s="147"/>
      <c r="F325" s="112"/>
      <c r="G325" s="111"/>
      <c r="H325" s="111"/>
      <c r="I325" s="146"/>
      <c r="J325" s="146"/>
      <c r="K325" s="113">
        <f t="shared" si="6"/>
        <v>1</v>
      </c>
      <c r="L325" s="113"/>
    </row>
    <row r="326" spans="1:12" s="145" customFormat="1" ht="27.6" customHeight="1" x14ac:dyDescent="0.25">
      <c r="A326" s="113"/>
      <c r="B326" s="115"/>
      <c r="C326" s="146"/>
      <c r="D326" s="147"/>
      <c r="E326" s="147"/>
      <c r="F326" s="112"/>
      <c r="G326" s="111"/>
      <c r="H326" s="111"/>
      <c r="I326" s="146"/>
      <c r="J326" s="146"/>
      <c r="K326" s="113">
        <f t="shared" si="6"/>
        <v>1</v>
      </c>
      <c r="L326" s="113"/>
    </row>
    <row r="327" spans="1:12" s="145" customFormat="1" ht="27.6" customHeight="1" x14ac:dyDescent="0.25">
      <c r="A327" s="113"/>
      <c r="B327" s="115"/>
      <c r="C327" s="146"/>
      <c r="D327" s="147"/>
      <c r="E327" s="147"/>
      <c r="F327" s="112"/>
      <c r="G327" s="111"/>
      <c r="H327" s="111"/>
      <c r="I327" s="146"/>
      <c r="J327" s="146"/>
      <c r="K327" s="113">
        <f t="shared" si="6"/>
        <v>1</v>
      </c>
      <c r="L327" s="113"/>
    </row>
    <row r="328" spans="1:12" s="145" customFormat="1" ht="27.6" customHeight="1" x14ac:dyDescent="0.25">
      <c r="A328" s="113"/>
      <c r="B328" s="115"/>
      <c r="C328" s="146"/>
      <c r="D328" s="147"/>
      <c r="E328" s="147"/>
      <c r="F328" s="112"/>
      <c r="G328" s="111"/>
      <c r="H328" s="111"/>
      <c r="I328" s="146"/>
      <c r="J328" s="146"/>
      <c r="K328" s="113">
        <f t="shared" si="6"/>
        <v>1</v>
      </c>
      <c r="L328" s="113"/>
    </row>
    <row r="329" spans="1:12" s="145" customFormat="1" ht="27.6" customHeight="1" x14ac:dyDescent="0.25">
      <c r="A329" s="113"/>
      <c r="B329" s="115"/>
      <c r="C329" s="146"/>
      <c r="D329" s="147"/>
      <c r="E329" s="147"/>
      <c r="F329" s="112"/>
      <c r="G329" s="111"/>
      <c r="H329" s="111"/>
      <c r="I329" s="146"/>
      <c r="J329" s="146"/>
      <c r="K329" s="113">
        <f t="shared" si="6"/>
        <v>1</v>
      </c>
      <c r="L329" s="113"/>
    </row>
    <row r="330" spans="1:12" s="145" customFormat="1" ht="27.6" customHeight="1" x14ac:dyDescent="0.25">
      <c r="A330" s="113"/>
      <c r="B330" s="115"/>
      <c r="C330" s="146"/>
      <c r="D330" s="147"/>
      <c r="E330" s="147"/>
      <c r="F330" s="112"/>
      <c r="G330" s="111"/>
      <c r="H330" s="111"/>
      <c r="I330" s="146"/>
      <c r="J330" s="146"/>
      <c r="K330" s="113">
        <f t="shared" si="6"/>
        <v>1</v>
      </c>
      <c r="L330" s="113"/>
    </row>
    <row r="331" spans="1:12" ht="27.6" customHeight="1" x14ac:dyDescent="0.25">
      <c r="A331" s="110"/>
      <c r="B331" s="115"/>
      <c r="C331" s="111"/>
      <c r="D331" s="117"/>
      <c r="E331" s="117"/>
      <c r="F331" s="112"/>
      <c r="G331" s="111"/>
      <c r="H331" s="111"/>
      <c r="I331" s="118"/>
      <c r="J331" s="118"/>
      <c r="K331" s="113">
        <f t="shared" si="6"/>
        <v>1</v>
      </c>
      <c r="L331" s="113"/>
    </row>
    <row r="332" spans="1:12" ht="27.6" customHeight="1" x14ac:dyDescent="0.25">
      <c r="A332" s="110"/>
      <c r="B332" s="115"/>
      <c r="C332" s="111"/>
      <c r="D332" s="117"/>
      <c r="E332" s="117"/>
      <c r="F332" s="112"/>
      <c r="G332" s="111"/>
      <c r="H332" s="111"/>
      <c r="I332" s="118"/>
      <c r="J332" s="118"/>
      <c r="K332" s="113">
        <f t="shared" si="6"/>
        <v>1</v>
      </c>
      <c r="L332" s="113"/>
    </row>
    <row r="333" spans="1:12" ht="36" customHeight="1" x14ac:dyDescent="0.25">
      <c r="A333" s="110"/>
      <c r="B333" s="115"/>
      <c r="C333" s="111"/>
      <c r="D333" s="117"/>
      <c r="E333" s="117"/>
      <c r="F333" s="112"/>
      <c r="G333" s="111"/>
      <c r="H333" s="111"/>
      <c r="I333" s="118"/>
      <c r="J333" s="118"/>
      <c r="K333" s="113">
        <f t="shared" si="6"/>
        <v>1</v>
      </c>
      <c r="L333" s="113"/>
    </row>
    <row r="334" spans="1:12" ht="30.75" customHeight="1" x14ac:dyDescent="0.25">
      <c r="A334" s="110"/>
      <c r="B334" s="115"/>
      <c r="C334" s="111"/>
      <c r="D334" s="117"/>
      <c r="E334" s="117"/>
      <c r="F334" s="112"/>
      <c r="G334" s="111"/>
      <c r="H334" s="111"/>
      <c r="I334" s="118"/>
      <c r="J334" s="118"/>
      <c r="K334" s="113">
        <f t="shared" si="6"/>
        <v>1</v>
      </c>
      <c r="L334" s="113"/>
    </row>
    <row r="335" spans="1:12" ht="27.6" customHeight="1" x14ac:dyDescent="0.25">
      <c r="A335" s="110"/>
      <c r="B335" s="115"/>
      <c r="C335" s="111"/>
      <c r="D335" s="117"/>
      <c r="E335" s="117"/>
      <c r="F335" s="112"/>
      <c r="G335" s="111"/>
      <c r="H335" s="111"/>
      <c r="I335" s="118"/>
      <c r="J335" s="118"/>
      <c r="K335" s="113">
        <f t="shared" si="6"/>
        <v>1</v>
      </c>
      <c r="L335" s="113"/>
    </row>
    <row r="336" spans="1:12" ht="27.6" customHeight="1" x14ac:dyDescent="0.25">
      <c r="A336" s="110"/>
      <c r="B336" s="115"/>
      <c r="C336" s="111"/>
      <c r="D336" s="117"/>
      <c r="E336" s="117"/>
      <c r="F336" s="112"/>
      <c r="G336" s="111"/>
      <c r="H336" s="111"/>
      <c r="I336" s="118"/>
      <c r="J336" s="118"/>
      <c r="K336" s="113">
        <f t="shared" si="6"/>
        <v>1</v>
      </c>
      <c r="L336" s="113"/>
    </row>
    <row r="337" spans="1:12" ht="27.6" customHeight="1" x14ac:dyDescent="0.25">
      <c r="A337" s="110"/>
      <c r="B337" s="115"/>
      <c r="C337" s="111"/>
      <c r="D337" s="117"/>
      <c r="E337" s="117"/>
      <c r="F337" s="112"/>
      <c r="G337" s="111"/>
      <c r="H337" s="111"/>
      <c r="I337" s="118"/>
      <c r="J337" s="118"/>
      <c r="K337" s="113">
        <f t="shared" si="6"/>
        <v>1</v>
      </c>
      <c r="L337" s="113"/>
    </row>
    <row r="338" spans="1:12" ht="27.6" customHeight="1" x14ac:dyDescent="0.25">
      <c r="A338" s="110"/>
      <c r="B338" s="115"/>
      <c r="C338" s="111"/>
      <c r="D338" s="117"/>
      <c r="E338" s="117"/>
      <c r="F338" s="112"/>
      <c r="G338" s="111"/>
      <c r="H338" s="111"/>
      <c r="I338" s="118"/>
      <c r="J338" s="118"/>
      <c r="K338" s="113">
        <f t="shared" si="6"/>
        <v>1</v>
      </c>
      <c r="L338" s="113"/>
    </row>
    <row r="339" spans="1:12" ht="27.6" customHeight="1" x14ac:dyDescent="0.25">
      <c r="A339" s="110"/>
      <c r="B339" s="115"/>
      <c r="C339" s="111"/>
      <c r="D339" s="117"/>
      <c r="E339" s="117"/>
      <c r="F339" s="112"/>
      <c r="G339" s="111"/>
      <c r="H339" s="111"/>
      <c r="I339" s="118"/>
      <c r="J339" s="118"/>
      <c r="K339" s="113">
        <f t="shared" si="6"/>
        <v>1</v>
      </c>
      <c r="L339" s="113"/>
    </row>
    <row r="340" spans="1:12" ht="27.6" customHeight="1" x14ac:dyDescent="0.25">
      <c r="A340" s="110"/>
      <c r="B340" s="115"/>
      <c r="C340" s="111"/>
      <c r="D340" s="117"/>
      <c r="E340" s="117"/>
      <c r="F340" s="112"/>
      <c r="G340" s="111"/>
      <c r="H340" s="111"/>
      <c r="I340" s="118"/>
      <c r="J340" s="118"/>
      <c r="K340" s="113">
        <f t="shared" si="6"/>
        <v>1</v>
      </c>
      <c r="L340" s="113"/>
    </row>
    <row r="341" spans="1:12" ht="27.6" customHeight="1" x14ac:dyDescent="0.25">
      <c r="A341" s="110"/>
      <c r="B341" s="115"/>
      <c r="C341" s="111"/>
      <c r="D341" s="117"/>
      <c r="E341" s="117"/>
      <c r="F341" s="112"/>
      <c r="G341" s="111"/>
      <c r="H341" s="111"/>
      <c r="I341" s="118"/>
      <c r="J341" s="118"/>
      <c r="K341" s="113">
        <f t="shared" si="6"/>
        <v>1</v>
      </c>
      <c r="L341" s="113"/>
    </row>
    <row r="342" spans="1:12" ht="27.6" customHeight="1" x14ac:dyDescent="0.25">
      <c r="A342" s="110"/>
      <c r="B342" s="115"/>
      <c r="C342" s="111"/>
      <c r="D342" s="117"/>
      <c r="E342" s="117"/>
      <c r="F342" s="112"/>
      <c r="G342" s="111"/>
      <c r="H342" s="111"/>
      <c r="I342" s="118"/>
      <c r="J342" s="118"/>
      <c r="K342" s="113">
        <f t="shared" si="6"/>
        <v>1</v>
      </c>
      <c r="L342" s="113"/>
    </row>
    <row r="343" spans="1:12" ht="27.6" customHeight="1" x14ac:dyDescent="0.25">
      <c r="A343" s="110"/>
      <c r="B343" s="115"/>
      <c r="C343" s="111"/>
      <c r="D343" s="117"/>
      <c r="E343" s="117"/>
      <c r="F343" s="112"/>
      <c r="G343" s="111"/>
      <c r="H343" s="111"/>
      <c r="I343" s="118"/>
      <c r="J343" s="118"/>
      <c r="K343" s="113">
        <f t="shared" si="6"/>
        <v>1</v>
      </c>
      <c r="L343" s="113"/>
    </row>
  </sheetData>
  <sheetProtection selectLockedCells="1" selectUnlockedCells="1"/>
  <autoFilter ref="A2:L343"/>
  <dataValidations count="5">
    <dataValidation type="list" allowBlank="1" showErrorMessage="1" sqref="L3:L19">
      <formula1>Вид_занятости</formula1>
      <formula2>0</formula2>
    </dataValidation>
    <dataValidation type="list" allowBlank="1" showInputMessage="1" showErrorMessage="1" sqref="B3:B67 B232:B343">
      <formula1>Компания</formula1>
    </dataValidation>
    <dataValidation type="list" allowBlank="1" showErrorMessage="1" sqref="A3:A343">
      <formula1>Город</formula1>
      <formula2>0</formula2>
    </dataValidation>
    <dataValidation type="list" allowBlank="1" showInputMessage="1" showErrorMessage="1" sqref="G3:H343">
      <formula1>Месяц</formula1>
    </dataValidation>
    <dataValidation type="list" allowBlank="1" showInputMessage="1" showErrorMessage="1" sqref="F3:F343">
      <formula1>Причина_нетрудоспособности</formula1>
    </dataValidation>
  </dataValidations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5" tint="0.39997558519241921"/>
  </sheetPr>
  <dimension ref="A1:H19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5.85546875" customWidth="1"/>
    <col min="3" max="3" width="41" customWidth="1"/>
    <col min="4" max="4" width="40.42578125" customWidth="1"/>
    <col min="5" max="5" width="29.7109375" customWidth="1"/>
    <col min="6" max="6" width="7.5703125" customWidth="1"/>
    <col min="8" max="8" width="19.85546875" customWidth="1"/>
  </cols>
  <sheetData>
    <row r="1" spans="1:8" s="176" customFormat="1" ht="25.5" x14ac:dyDescent="0.25">
      <c r="A1" s="174" t="s">
        <v>238</v>
      </c>
      <c r="B1" s="174" t="s">
        <v>24</v>
      </c>
      <c r="C1" s="174" t="s">
        <v>1006</v>
      </c>
      <c r="D1" s="174" t="s">
        <v>26</v>
      </c>
      <c r="E1" s="174" t="s">
        <v>28</v>
      </c>
      <c r="F1" s="175" t="s">
        <v>75</v>
      </c>
      <c r="G1" s="175" t="s">
        <v>1009</v>
      </c>
      <c r="H1" s="175" t="s">
        <v>1007</v>
      </c>
    </row>
    <row r="2" spans="1:8" s="33" customFormat="1" ht="19.5" hidden="1" customHeight="1" x14ac:dyDescent="0.25">
      <c r="A2" s="33" t="s">
        <v>424</v>
      </c>
      <c r="B2" s="179" t="s">
        <v>931</v>
      </c>
      <c r="C2" s="177" t="s">
        <v>915</v>
      </c>
      <c r="D2" s="177" t="s">
        <v>177</v>
      </c>
      <c r="E2" s="177" t="s">
        <v>178</v>
      </c>
      <c r="F2" s="137" t="str">
        <f t="shared" ref="F2:F19" si="0">IF(ISBLANK(C2),"-",IF(ISERROR(FIND("вич",C2,1)),"ж","м"))</f>
        <v>ж</v>
      </c>
      <c r="G2" s="55">
        <v>59</v>
      </c>
      <c r="H2" s="180">
        <v>46316</v>
      </c>
    </row>
    <row r="3" spans="1:8" s="33" customFormat="1" hidden="1" x14ac:dyDescent="0.25">
      <c r="A3" s="33" t="s">
        <v>1008</v>
      </c>
      <c r="B3" s="186">
        <v>25061</v>
      </c>
      <c r="C3" s="177" t="s">
        <v>916</v>
      </c>
      <c r="D3" s="177" t="s">
        <v>144</v>
      </c>
      <c r="E3" s="177" t="s">
        <v>122</v>
      </c>
      <c r="F3" s="137" t="str">
        <f t="shared" si="0"/>
        <v>ж</v>
      </c>
      <c r="G3" s="55">
        <v>60</v>
      </c>
      <c r="H3" s="180">
        <v>46976</v>
      </c>
    </row>
    <row r="4" spans="1:8" s="33" customFormat="1" hidden="1" x14ac:dyDescent="0.25">
      <c r="A4" s="33" t="s">
        <v>1008</v>
      </c>
      <c r="B4" s="186">
        <v>25032</v>
      </c>
      <c r="C4" s="177" t="s">
        <v>917</v>
      </c>
      <c r="D4" s="177" t="s">
        <v>201</v>
      </c>
      <c r="E4" s="177" t="s">
        <v>122</v>
      </c>
      <c r="F4" s="137" t="str">
        <f t="shared" si="0"/>
        <v>ж</v>
      </c>
      <c r="G4" s="55">
        <v>60</v>
      </c>
      <c r="H4" s="180">
        <v>46947</v>
      </c>
    </row>
    <row r="5" spans="1:8" s="33" customFormat="1" hidden="1" x14ac:dyDescent="0.25">
      <c r="A5" s="33" t="s">
        <v>1008</v>
      </c>
      <c r="B5" s="186">
        <v>23099</v>
      </c>
      <c r="C5" s="177" t="s">
        <v>984</v>
      </c>
      <c r="D5" s="177" t="s">
        <v>932</v>
      </c>
      <c r="E5" s="177" t="s">
        <v>137</v>
      </c>
      <c r="F5" s="137" t="str">
        <f t="shared" si="0"/>
        <v>м</v>
      </c>
      <c r="G5" s="55">
        <v>65</v>
      </c>
      <c r="H5" s="180">
        <v>46841</v>
      </c>
    </row>
    <row r="6" spans="1:8" s="33" customFormat="1" hidden="1" x14ac:dyDescent="0.25">
      <c r="A6" s="33" t="s">
        <v>712</v>
      </c>
      <c r="B6" s="186">
        <v>24230</v>
      </c>
      <c r="C6" s="178" t="s">
        <v>918</v>
      </c>
      <c r="D6" s="178" t="s">
        <v>722</v>
      </c>
      <c r="E6" s="178" t="s">
        <v>206</v>
      </c>
      <c r="F6" s="137" t="str">
        <f t="shared" si="0"/>
        <v>м</v>
      </c>
      <c r="G6" s="55">
        <v>65</v>
      </c>
      <c r="H6" s="180">
        <v>47971</v>
      </c>
    </row>
    <row r="7" spans="1:8" s="33" customFormat="1" x14ac:dyDescent="0.25">
      <c r="A7" s="181" t="s">
        <v>712</v>
      </c>
      <c r="B7" s="187">
        <v>22529</v>
      </c>
      <c r="C7" s="182" t="s">
        <v>919</v>
      </c>
      <c r="D7" s="182" t="s">
        <v>222</v>
      </c>
      <c r="E7" s="182" t="s">
        <v>723</v>
      </c>
      <c r="F7" s="183" t="str">
        <f t="shared" si="0"/>
        <v>м</v>
      </c>
      <c r="G7" s="184">
        <v>63</v>
      </c>
      <c r="H7" s="185">
        <v>45540</v>
      </c>
    </row>
    <row r="8" spans="1:8" s="33" customFormat="1" x14ac:dyDescent="0.25">
      <c r="A8" s="181" t="s">
        <v>712</v>
      </c>
      <c r="B8" s="187">
        <v>22646</v>
      </c>
      <c r="C8" s="182" t="s">
        <v>920</v>
      </c>
      <c r="D8" s="182" t="s">
        <v>222</v>
      </c>
      <c r="E8" s="182" t="s">
        <v>723</v>
      </c>
      <c r="F8" s="183" t="str">
        <f t="shared" si="0"/>
        <v>м</v>
      </c>
      <c r="G8" s="184">
        <v>63</v>
      </c>
      <c r="H8" s="185">
        <v>45657</v>
      </c>
    </row>
    <row r="9" spans="1:8" s="33" customFormat="1" hidden="1" x14ac:dyDescent="0.25">
      <c r="A9" s="33" t="s">
        <v>712</v>
      </c>
      <c r="B9" s="186">
        <v>23031</v>
      </c>
      <c r="C9" s="178" t="s">
        <v>921</v>
      </c>
      <c r="D9" s="178" t="s">
        <v>222</v>
      </c>
      <c r="E9" s="178" t="s">
        <v>723</v>
      </c>
      <c r="F9" s="137" t="str">
        <f t="shared" si="0"/>
        <v>м</v>
      </c>
      <c r="G9" s="55">
        <v>65</v>
      </c>
      <c r="H9" s="180">
        <v>46772</v>
      </c>
    </row>
    <row r="10" spans="1:8" s="33" customFormat="1" hidden="1" x14ac:dyDescent="0.25">
      <c r="A10" s="33" t="s">
        <v>712</v>
      </c>
      <c r="B10" s="186">
        <v>23337</v>
      </c>
      <c r="C10" s="178" t="s">
        <v>922</v>
      </c>
      <c r="D10" s="178" t="s">
        <v>933</v>
      </c>
      <c r="E10" s="178" t="s">
        <v>156</v>
      </c>
      <c r="F10" s="137" t="str">
        <f t="shared" si="0"/>
        <v>м</v>
      </c>
      <c r="G10" s="55">
        <v>65</v>
      </c>
      <c r="H10" s="180">
        <v>47079</v>
      </c>
    </row>
    <row r="11" spans="1:8" s="33" customFormat="1" x14ac:dyDescent="0.25">
      <c r="A11" s="181" t="s">
        <v>712</v>
      </c>
      <c r="B11" s="187">
        <v>24287</v>
      </c>
      <c r="C11" s="182" t="s">
        <v>991</v>
      </c>
      <c r="D11" s="182" t="s">
        <v>947</v>
      </c>
      <c r="E11" s="182" t="s">
        <v>184</v>
      </c>
      <c r="F11" s="183" t="str">
        <f t="shared" si="0"/>
        <v>ж</v>
      </c>
      <c r="G11" s="184">
        <v>58</v>
      </c>
      <c r="H11" s="185">
        <v>45472</v>
      </c>
    </row>
    <row r="12" spans="1:8" s="33" customFormat="1" hidden="1" x14ac:dyDescent="0.25">
      <c r="A12" s="33" t="s">
        <v>712</v>
      </c>
      <c r="B12" s="186">
        <v>25160</v>
      </c>
      <c r="C12" s="178" t="s">
        <v>923</v>
      </c>
      <c r="D12" s="178" t="s">
        <v>935</v>
      </c>
      <c r="E12" s="178" t="s">
        <v>549</v>
      </c>
      <c r="F12" s="137" t="str">
        <f t="shared" si="0"/>
        <v>ж</v>
      </c>
      <c r="G12" s="55">
        <v>60</v>
      </c>
      <c r="H12" s="180">
        <v>47075</v>
      </c>
    </row>
    <row r="13" spans="1:8" s="33" customFormat="1" hidden="1" x14ac:dyDescent="0.25">
      <c r="A13" s="33" t="s">
        <v>712</v>
      </c>
      <c r="B13" s="186">
        <v>24630</v>
      </c>
      <c r="C13" s="178" t="s">
        <v>924</v>
      </c>
      <c r="D13" s="178" t="s">
        <v>415</v>
      </c>
      <c r="E13" s="178" t="s">
        <v>936</v>
      </c>
      <c r="F13" s="137" t="str">
        <f t="shared" si="0"/>
        <v>ж</v>
      </c>
      <c r="G13" s="55">
        <v>59</v>
      </c>
      <c r="H13" s="180">
        <v>46180</v>
      </c>
    </row>
    <row r="14" spans="1:8" s="33" customFormat="1" hidden="1" x14ac:dyDescent="0.25">
      <c r="A14" s="33" t="s">
        <v>712</v>
      </c>
      <c r="B14" s="186">
        <v>22670</v>
      </c>
      <c r="C14" s="178" t="s">
        <v>926</v>
      </c>
      <c r="D14" s="178" t="s">
        <v>727</v>
      </c>
      <c r="E14" s="178" t="s">
        <v>729</v>
      </c>
      <c r="F14" s="137" t="str">
        <f t="shared" si="0"/>
        <v>м</v>
      </c>
      <c r="G14" s="55">
        <v>64</v>
      </c>
      <c r="H14" s="180">
        <v>46046</v>
      </c>
    </row>
    <row r="15" spans="1:8" s="33" customFormat="1" x14ac:dyDescent="0.25">
      <c r="A15" s="181" t="s">
        <v>712</v>
      </c>
      <c r="B15" s="187">
        <v>22635</v>
      </c>
      <c r="C15" s="182" t="s">
        <v>927</v>
      </c>
      <c r="D15" s="182" t="s">
        <v>485</v>
      </c>
      <c r="E15" s="182" t="s">
        <v>586</v>
      </c>
      <c r="F15" s="183" t="str">
        <f t="shared" si="0"/>
        <v>м</v>
      </c>
      <c r="G15" s="184">
        <v>63</v>
      </c>
      <c r="H15" s="185">
        <v>45646</v>
      </c>
    </row>
    <row r="16" spans="1:8" s="33" customFormat="1" x14ac:dyDescent="0.25">
      <c r="A16" s="181" t="s">
        <v>712</v>
      </c>
      <c r="B16" s="188">
        <v>24257</v>
      </c>
      <c r="C16" s="182" t="s">
        <v>928</v>
      </c>
      <c r="D16" s="182" t="s">
        <v>219</v>
      </c>
      <c r="E16" s="182" t="s">
        <v>563</v>
      </c>
      <c r="F16" s="183" t="str">
        <f t="shared" si="0"/>
        <v>ж</v>
      </c>
      <c r="G16" s="184">
        <v>58</v>
      </c>
      <c r="H16" s="185">
        <v>45442</v>
      </c>
    </row>
    <row r="17" spans="1:8" s="33" customFormat="1" hidden="1" x14ac:dyDescent="0.25">
      <c r="A17" s="33" t="s">
        <v>712</v>
      </c>
      <c r="B17" s="189">
        <v>24486</v>
      </c>
      <c r="C17" s="178" t="s">
        <v>941</v>
      </c>
      <c r="D17" s="178" t="s">
        <v>128</v>
      </c>
      <c r="E17" s="178" t="s">
        <v>483</v>
      </c>
      <c r="F17" s="137" t="str">
        <f t="shared" si="0"/>
        <v>ж</v>
      </c>
      <c r="G17" s="55">
        <v>59</v>
      </c>
      <c r="H17" s="180">
        <v>46036</v>
      </c>
    </row>
    <row r="18" spans="1:8" s="33" customFormat="1" hidden="1" x14ac:dyDescent="0.25">
      <c r="A18" s="33" t="s">
        <v>712</v>
      </c>
      <c r="B18" s="189">
        <v>25172</v>
      </c>
      <c r="C18" s="178" t="s">
        <v>929</v>
      </c>
      <c r="D18" s="178" t="s">
        <v>128</v>
      </c>
      <c r="E18" s="178" t="s">
        <v>483</v>
      </c>
      <c r="F18" s="137" t="str">
        <f t="shared" si="0"/>
        <v>ж</v>
      </c>
      <c r="G18" s="55">
        <v>60</v>
      </c>
      <c r="H18" s="180">
        <v>47087</v>
      </c>
    </row>
    <row r="19" spans="1:8" s="33" customFormat="1" hidden="1" x14ac:dyDescent="0.25">
      <c r="A19" s="33" t="s">
        <v>712</v>
      </c>
      <c r="B19" s="189">
        <v>25089</v>
      </c>
      <c r="C19" s="178" t="s">
        <v>930</v>
      </c>
      <c r="D19" s="178" t="s">
        <v>524</v>
      </c>
      <c r="E19" s="178" t="s">
        <v>510</v>
      </c>
      <c r="F19" s="137" t="str">
        <f t="shared" si="0"/>
        <v>ж</v>
      </c>
      <c r="G19" s="55">
        <v>60</v>
      </c>
      <c r="H19" s="180">
        <v>47004</v>
      </c>
    </row>
  </sheetData>
  <autoFilter ref="A1:H19">
    <filterColumn colId="7">
      <colorFilter dxfId="38"/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</sheetPr>
  <dimension ref="A1:G98"/>
  <sheetViews>
    <sheetView workbookViewId="0">
      <pane xSplit="1" ySplit="2" topLeftCell="B81" activePane="bottomRight" state="frozen"/>
      <selection activeCell="A6" sqref="A6:IV6"/>
      <selection pane="topRight" activeCell="A6" sqref="A6:IV6"/>
      <selection pane="bottomLeft" activeCell="A6" sqref="A6:IV6"/>
      <selection pane="bottomRight" activeCell="E88" sqref="E88"/>
    </sheetView>
  </sheetViews>
  <sheetFormatPr defaultRowHeight="15" x14ac:dyDescent="0.25"/>
  <cols>
    <col min="1" max="1" width="5" customWidth="1"/>
    <col min="2" max="2" width="28.85546875" customWidth="1"/>
    <col min="3" max="3" width="25.7109375" customWidth="1"/>
    <col min="4" max="4" width="26.42578125" customWidth="1"/>
    <col min="5" max="5" width="38.7109375" customWidth="1"/>
    <col min="6" max="6" width="23.7109375" customWidth="1"/>
  </cols>
  <sheetData>
    <row r="1" spans="1:6" x14ac:dyDescent="0.25">
      <c r="A1" s="631" t="s">
        <v>583</v>
      </c>
      <c r="B1" s="631" t="s">
        <v>18</v>
      </c>
      <c r="C1" s="631" t="s">
        <v>26</v>
      </c>
      <c r="D1" s="631" t="s">
        <v>28</v>
      </c>
      <c r="E1" s="631" t="s">
        <v>445</v>
      </c>
      <c r="F1" s="631" t="s">
        <v>444</v>
      </c>
    </row>
    <row r="2" spans="1:6" x14ac:dyDescent="0.25">
      <c r="A2" s="631"/>
      <c r="B2" s="631"/>
      <c r="C2" s="631"/>
      <c r="D2" s="631"/>
      <c r="E2" s="631"/>
      <c r="F2" s="631"/>
    </row>
    <row r="3" spans="1:6" s="172" customFormat="1" x14ac:dyDescent="0.25">
      <c r="A3" s="170">
        <v>1</v>
      </c>
      <c r="B3" s="171" t="s">
        <v>764</v>
      </c>
      <c r="C3" s="171" t="s">
        <v>547</v>
      </c>
      <c r="D3" s="171" t="s">
        <v>895</v>
      </c>
      <c r="E3" s="171" t="s">
        <v>765</v>
      </c>
      <c r="F3" s="171" t="s">
        <v>253</v>
      </c>
    </row>
    <row r="4" spans="1:6" x14ac:dyDescent="0.25">
      <c r="A4" s="57">
        <v>2</v>
      </c>
      <c r="B4" s="163" t="s">
        <v>753</v>
      </c>
      <c r="C4" s="163" t="s">
        <v>219</v>
      </c>
      <c r="D4" s="163" t="s">
        <v>777</v>
      </c>
      <c r="E4" s="163" t="s">
        <v>732</v>
      </c>
      <c r="F4" s="164" t="s">
        <v>253</v>
      </c>
    </row>
    <row r="5" spans="1:6" s="172" customFormat="1" x14ac:dyDescent="0.25">
      <c r="A5" s="170">
        <v>3</v>
      </c>
      <c r="B5" s="171" t="s">
        <v>752</v>
      </c>
      <c r="C5" s="171" t="s">
        <v>766</v>
      </c>
      <c r="D5" s="171" t="s">
        <v>497</v>
      </c>
      <c r="E5" s="171" t="s">
        <v>732</v>
      </c>
      <c r="F5" s="171" t="s">
        <v>253</v>
      </c>
    </row>
    <row r="6" spans="1:6" x14ac:dyDescent="0.25">
      <c r="A6" s="57">
        <v>4</v>
      </c>
      <c r="B6" s="163" t="s">
        <v>768</v>
      </c>
      <c r="C6" s="163" t="s">
        <v>415</v>
      </c>
      <c r="D6" s="163" t="s">
        <v>769</v>
      </c>
      <c r="E6" s="163" t="s">
        <v>732</v>
      </c>
      <c r="F6" s="164" t="s">
        <v>253</v>
      </c>
    </row>
    <row r="7" spans="1:6" s="172" customFormat="1" x14ac:dyDescent="0.25">
      <c r="A7" s="170">
        <v>5</v>
      </c>
      <c r="B7" s="171" t="s">
        <v>770</v>
      </c>
      <c r="C7" s="171" t="s">
        <v>658</v>
      </c>
      <c r="D7" s="171" t="s">
        <v>771</v>
      </c>
      <c r="E7" s="171" t="s">
        <v>602</v>
      </c>
      <c r="F7" s="171" t="s">
        <v>253</v>
      </c>
    </row>
    <row r="8" spans="1:6" s="172" customFormat="1" x14ac:dyDescent="0.25">
      <c r="A8" s="170">
        <v>6</v>
      </c>
      <c r="B8" s="171" t="s">
        <v>773</v>
      </c>
      <c r="C8" s="171" t="s">
        <v>219</v>
      </c>
      <c r="D8" s="171" t="s">
        <v>774</v>
      </c>
      <c r="E8" s="171" t="s">
        <v>732</v>
      </c>
      <c r="F8" s="171" t="s">
        <v>253</v>
      </c>
    </row>
    <row r="9" spans="1:6" s="172" customFormat="1" x14ac:dyDescent="0.25">
      <c r="A9" s="170">
        <v>7</v>
      </c>
      <c r="B9" s="171" t="s">
        <v>775</v>
      </c>
      <c r="C9" s="171" t="s">
        <v>776</v>
      </c>
      <c r="D9" s="171" t="s">
        <v>695</v>
      </c>
      <c r="E9" s="171" t="s">
        <v>732</v>
      </c>
      <c r="F9" s="171" t="s">
        <v>253</v>
      </c>
    </row>
    <row r="10" spans="1:6" s="172" customFormat="1" x14ac:dyDescent="0.25">
      <c r="A10" s="170">
        <v>8</v>
      </c>
      <c r="B10" s="171" t="s">
        <v>782</v>
      </c>
      <c r="C10" s="171" t="s">
        <v>783</v>
      </c>
      <c r="D10" s="171" t="s">
        <v>629</v>
      </c>
      <c r="E10" s="171" t="s">
        <v>765</v>
      </c>
      <c r="F10" s="171" t="s">
        <v>253</v>
      </c>
    </row>
    <row r="11" spans="1:6" s="172" customFormat="1" x14ac:dyDescent="0.25">
      <c r="A11" s="170">
        <v>9</v>
      </c>
      <c r="B11" s="171" t="s">
        <v>784</v>
      </c>
      <c r="C11" s="171" t="s">
        <v>785</v>
      </c>
      <c r="D11" s="171" t="s">
        <v>184</v>
      </c>
      <c r="E11" s="171" t="s">
        <v>602</v>
      </c>
      <c r="F11" s="171" t="s">
        <v>253</v>
      </c>
    </row>
    <row r="12" spans="1:6" x14ac:dyDescent="0.25">
      <c r="A12" s="57">
        <v>10</v>
      </c>
      <c r="B12" s="163" t="s">
        <v>780</v>
      </c>
      <c r="C12" s="163" t="s">
        <v>786</v>
      </c>
      <c r="D12" s="163" t="s">
        <v>757</v>
      </c>
      <c r="E12" s="163" t="s">
        <v>765</v>
      </c>
      <c r="F12" s="163" t="s">
        <v>253</v>
      </c>
    </row>
    <row r="13" spans="1:6" x14ac:dyDescent="0.25">
      <c r="A13" s="57">
        <v>11</v>
      </c>
      <c r="B13" s="163" t="s">
        <v>778</v>
      </c>
      <c r="C13" s="163" t="s">
        <v>787</v>
      </c>
      <c r="D13" s="163" t="s">
        <v>763</v>
      </c>
      <c r="E13" s="163" t="s">
        <v>731</v>
      </c>
      <c r="F13" s="163" t="s">
        <v>253</v>
      </c>
    </row>
    <row r="14" spans="1:6" x14ac:dyDescent="0.25">
      <c r="A14" s="57">
        <v>12</v>
      </c>
      <c r="B14" s="165" t="s">
        <v>782</v>
      </c>
      <c r="C14" s="163" t="s">
        <v>786</v>
      </c>
      <c r="D14" s="163" t="s">
        <v>757</v>
      </c>
      <c r="E14" s="163" t="s">
        <v>765</v>
      </c>
      <c r="F14" s="163" t="s">
        <v>253</v>
      </c>
    </row>
    <row r="15" spans="1:6" s="172" customFormat="1" x14ac:dyDescent="0.25">
      <c r="A15" s="170">
        <v>13</v>
      </c>
      <c r="B15" s="171" t="s">
        <v>779</v>
      </c>
      <c r="C15" s="171" t="s">
        <v>183</v>
      </c>
      <c r="D15" s="171" t="s">
        <v>585</v>
      </c>
      <c r="E15" s="171" t="s">
        <v>732</v>
      </c>
      <c r="F15" s="171" t="s">
        <v>253</v>
      </c>
    </row>
    <row r="16" spans="1:6" s="172" customFormat="1" x14ac:dyDescent="0.25">
      <c r="A16" s="170">
        <v>14</v>
      </c>
      <c r="B16" s="171" t="s">
        <v>789</v>
      </c>
      <c r="C16" s="171" t="s">
        <v>191</v>
      </c>
      <c r="D16" s="171" t="s">
        <v>603</v>
      </c>
      <c r="E16" s="171" t="s">
        <v>732</v>
      </c>
      <c r="F16" s="171" t="s">
        <v>253</v>
      </c>
    </row>
    <row r="17" spans="1:7" x14ac:dyDescent="0.25">
      <c r="A17" s="57">
        <v>15</v>
      </c>
      <c r="B17" s="57" t="s">
        <v>790</v>
      </c>
      <c r="C17" s="57" t="s">
        <v>791</v>
      </c>
      <c r="D17" s="57" t="s">
        <v>725</v>
      </c>
      <c r="E17" s="163" t="s">
        <v>732</v>
      </c>
      <c r="F17" s="163" t="s">
        <v>253</v>
      </c>
    </row>
    <row r="18" spans="1:7" x14ac:dyDescent="0.25">
      <c r="A18" s="57">
        <v>16</v>
      </c>
      <c r="B18" s="56" t="s">
        <v>792</v>
      </c>
      <c r="C18" s="56" t="s">
        <v>695</v>
      </c>
      <c r="D18" s="56" t="s">
        <v>793</v>
      </c>
      <c r="E18" s="163" t="s">
        <v>732</v>
      </c>
      <c r="F18" s="163" t="s">
        <v>253</v>
      </c>
    </row>
    <row r="19" spans="1:7" s="172" customFormat="1" x14ac:dyDescent="0.25">
      <c r="A19" s="170">
        <v>17</v>
      </c>
      <c r="B19" s="171" t="s">
        <v>794</v>
      </c>
      <c r="C19" s="171" t="s">
        <v>159</v>
      </c>
      <c r="D19" s="171" t="s">
        <v>795</v>
      </c>
      <c r="E19" s="171" t="s">
        <v>732</v>
      </c>
      <c r="F19" s="171" t="s">
        <v>253</v>
      </c>
    </row>
    <row r="20" spans="1:7" s="172" customFormat="1" x14ac:dyDescent="0.25">
      <c r="A20" s="170">
        <v>18</v>
      </c>
      <c r="B20" s="171" t="s">
        <v>798</v>
      </c>
      <c r="C20" s="171" t="s">
        <v>799</v>
      </c>
      <c r="D20" s="171" t="s">
        <v>800</v>
      </c>
      <c r="E20" s="171" t="s">
        <v>732</v>
      </c>
      <c r="F20" s="171" t="s">
        <v>253</v>
      </c>
    </row>
    <row r="21" spans="1:7" x14ac:dyDescent="0.25">
      <c r="A21" s="56">
        <v>19</v>
      </c>
      <c r="B21" s="56" t="s">
        <v>796</v>
      </c>
      <c r="C21" s="56" t="s">
        <v>760</v>
      </c>
      <c r="D21" s="56" t="s">
        <v>801</v>
      </c>
      <c r="E21" s="165" t="s">
        <v>788</v>
      </c>
      <c r="F21" s="163" t="s">
        <v>253</v>
      </c>
    </row>
    <row r="22" spans="1:7" x14ac:dyDescent="0.25">
      <c r="A22" s="56">
        <v>20</v>
      </c>
      <c r="B22" s="56" t="s">
        <v>778</v>
      </c>
      <c r="C22" s="56" t="s">
        <v>122</v>
      </c>
      <c r="D22" s="56" t="s">
        <v>802</v>
      </c>
      <c r="E22" s="165" t="s">
        <v>731</v>
      </c>
      <c r="F22" s="163" t="s">
        <v>803</v>
      </c>
    </row>
    <row r="23" spans="1:7" x14ac:dyDescent="0.25">
      <c r="A23" s="56">
        <v>21</v>
      </c>
      <c r="B23" s="56" t="s">
        <v>804</v>
      </c>
      <c r="C23" s="56" t="s">
        <v>757</v>
      </c>
      <c r="D23" s="56" t="s">
        <v>805</v>
      </c>
      <c r="E23" s="165" t="s">
        <v>765</v>
      </c>
      <c r="F23" s="163" t="s">
        <v>253</v>
      </c>
    </row>
    <row r="24" spans="1:7" x14ac:dyDescent="0.25">
      <c r="A24" s="56">
        <v>22</v>
      </c>
      <c r="B24" s="56" t="s">
        <v>797</v>
      </c>
      <c r="C24" s="56" t="s">
        <v>629</v>
      </c>
      <c r="D24" s="56" t="s">
        <v>786</v>
      </c>
      <c r="E24" s="165" t="s">
        <v>765</v>
      </c>
      <c r="F24" s="163" t="s">
        <v>253</v>
      </c>
    </row>
    <row r="25" spans="1:7" x14ac:dyDescent="0.25">
      <c r="A25" s="57">
        <v>23</v>
      </c>
      <c r="B25" s="56" t="s">
        <v>894</v>
      </c>
      <c r="C25" s="56" t="s">
        <v>893</v>
      </c>
      <c r="D25" s="56" t="s">
        <v>415</v>
      </c>
      <c r="E25" s="163" t="s">
        <v>732</v>
      </c>
      <c r="F25" s="163" t="s">
        <v>253</v>
      </c>
    </row>
    <row r="26" spans="1:7" s="172" customFormat="1" x14ac:dyDescent="0.25">
      <c r="A26" s="170">
        <v>24</v>
      </c>
      <c r="B26" s="171" t="s">
        <v>892</v>
      </c>
      <c r="C26" s="171" t="s">
        <v>891</v>
      </c>
      <c r="D26" s="171" t="s">
        <v>890</v>
      </c>
      <c r="E26" s="171" t="s">
        <v>602</v>
      </c>
      <c r="F26" s="171" t="s">
        <v>253</v>
      </c>
    </row>
    <row r="27" spans="1:7" s="172" customFormat="1" x14ac:dyDescent="0.25">
      <c r="A27" s="170">
        <v>25</v>
      </c>
      <c r="B27" s="171" t="s">
        <v>889</v>
      </c>
      <c r="C27" s="171" t="s">
        <v>199</v>
      </c>
      <c r="D27" s="171" t="s">
        <v>888</v>
      </c>
      <c r="E27" s="171" t="s">
        <v>602</v>
      </c>
      <c r="F27" s="171" t="s">
        <v>253</v>
      </c>
    </row>
    <row r="28" spans="1:7" x14ac:dyDescent="0.25">
      <c r="A28" s="57">
        <v>26</v>
      </c>
      <c r="B28" s="56" t="s">
        <v>887</v>
      </c>
      <c r="C28" s="56" t="s">
        <v>886</v>
      </c>
      <c r="D28" s="56" t="s">
        <v>885</v>
      </c>
      <c r="E28" s="163" t="s">
        <v>732</v>
      </c>
      <c r="F28" s="163" t="s">
        <v>253</v>
      </c>
    </row>
    <row r="29" spans="1:7" s="172" customFormat="1" x14ac:dyDescent="0.25">
      <c r="A29" s="170">
        <v>27</v>
      </c>
      <c r="B29" s="171" t="s">
        <v>884</v>
      </c>
      <c r="C29" s="171" t="s">
        <v>723</v>
      </c>
      <c r="D29" s="171" t="s">
        <v>855</v>
      </c>
      <c r="E29" s="171" t="s">
        <v>732</v>
      </c>
      <c r="F29" s="171" t="s">
        <v>253</v>
      </c>
      <c r="G29" s="172" t="s">
        <v>447</v>
      </c>
    </row>
    <row r="30" spans="1:7" x14ac:dyDescent="0.25">
      <c r="A30" s="57">
        <v>28</v>
      </c>
      <c r="B30" s="57" t="s">
        <v>883</v>
      </c>
      <c r="C30" s="56" t="s">
        <v>882</v>
      </c>
      <c r="D30" s="57" t="s">
        <v>881</v>
      </c>
      <c r="E30" s="163" t="s">
        <v>732</v>
      </c>
      <c r="F30" s="163" t="s">
        <v>253</v>
      </c>
    </row>
    <row r="31" spans="1:7" x14ac:dyDescent="0.25">
      <c r="A31" s="57">
        <v>29</v>
      </c>
      <c r="B31" s="57" t="s">
        <v>721</v>
      </c>
      <c r="C31" s="56" t="s">
        <v>880</v>
      </c>
      <c r="D31" s="57" t="s">
        <v>835</v>
      </c>
      <c r="E31" s="163" t="s">
        <v>732</v>
      </c>
      <c r="F31" s="163" t="s">
        <v>253</v>
      </c>
    </row>
    <row r="32" spans="1:7" s="172" customFormat="1" x14ac:dyDescent="0.25">
      <c r="A32" s="170">
        <v>30</v>
      </c>
      <c r="B32" s="171" t="s">
        <v>879</v>
      </c>
      <c r="C32" s="171" t="s">
        <v>577</v>
      </c>
      <c r="D32" s="171" t="s">
        <v>878</v>
      </c>
      <c r="E32" s="171" t="s">
        <v>732</v>
      </c>
      <c r="F32" s="171" t="s">
        <v>253</v>
      </c>
    </row>
    <row r="33" spans="1:6" s="172" customFormat="1" x14ac:dyDescent="0.25">
      <c r="A33" s="170">
        <v>31</v>
      </c>
      <c r="B33" s="171" t="s">
        <v>877</v>
      </c>
      <c r="C33" s="171" t="s">
        <v>822</v>
      </c>
      <c r="D33" s="171" t="s">
        <v>876</v>
      </c>
      <c r="E33" s="171" t="s">
        <v>732</v>
      </c>
      <c r="F33" s="171" t="s">
        <v>253</v>
      </c>
    </row>
    <row r="34" spans="1:6" x14ac:dyDescent="0.25">
      <c r="A34" s="57">
        <v>32</v>
      </c>
      <c r="B34" s="57" t="s">
        <v>875</v>
      </c>
      <c r="C34" s="56" t="s">
        <v>181</v>
      </c>
      <c r="D34" s="57" t="s">
        <v>844</v>
      </c>
      <c r="E34" s="163" t="s">
        <v>732</v>
      </c>
      <c r="F34" s="163" t="s">
        <v>253</v>
      </c>
    </row>
    <row r="35" spans="1:6" x14ac:dyDescent="0.25">
      <c r="A35" s="57">
        <v>33</v>
      </c>
      <c r="B35" s="57" t="s">
        <v>874</v>
      </c>
      <c r="C35" s="56" t="s">
        <v>873</v>
      </c>
      <c r="D35" s="57" t="s">
        <v>872</v>
      </c>
      <c r="E35" s="163" t="s">
        <v>732</v>
      </c>
      <c r="F35" s="163" t="s">
        <v>253</v>
      </c>
    </row>
    <row r="36" spans="1:6" s="172" customFormat="1" x14ac:dyDescent="0.25">
      <c r="A36" s="170">
        <v>34</v>
      </c>
      <c r="B36" s="171" t="s">
        <v>871</v>
      </c>
      <c r="C36" s="171" t="s">
        <v>577</v>
      </c>
      <c r="D36" s="171" t="s">
        <v>870</v>
      </c>
      <c r="E36" s="171" t="s">
        <v>732</v>
      </c>
      <c r="F36" s="171" t="s">
        <v>253</v>
      </c>
    </row>
    <row r="37" spans="1:6" x14ac:dyDescent="0.25">
      <c r="A37" s="57">
        <v>35</v>
      </c>
      <c r="B37" s="57" t="s">
        <v>869</v>
      </c>
      <c r="C37" s="56" t="s">
        <v>178</v>
      </c>
      <c r="D37" s="57" t="s">
        <v>868</v>
      </c>
      <c r="E37" s="163" t="s">
        <v>732</v>
      </c>
      <c r="F37" s="163" t="s">
        <v>253</v>
      </c>
    </row>
    <row r="38" spans="1:6" x14ac:dyDescent="0.25">
      <c r="A38" s="57">
        <v>36</v>
      </c>
      <c r="B38" s="57" t="s">
        <v>720</v>
      </c>
      <c r="C38" s="56" t="s">
        <v>867</v>
      </c>
      <c r="D38" s="57" t="s">
        <v>866</v>
      </c>
      <c r="E38" s="163" t="s">
        <v>781</v>
      </c>
      <c r="F38" s="163" t="s">
        <v>666</v>
      </c>
    </row>
    <row r="39" spans="1:6" s="172" customFormat="1" x14ac:dyDescent="0.25">
      <c r="A39" s="170">
        <v>37</v>
      </c>
      <c r="B39" s="171" t="s">
        <v>865</v>
      </c>
      <c r="C39" s="171" t="s">
        <v>864</v>
      </c>
      <c r="D39" s="171" t="s">
        <v>863</v>
      </c>
      <c r="E39" s="171" t="s">
        <v>602</v>
      </c>
      <c r="F39" s="171" t="s">
        <v>253</v>
      </c>
    </row>
    <row r="40" spans="1:6" x14ac:dyDescent="0.25">
      <c r="A40" s="57">
        <v>38</v>
      </c>
      <c r="B40" s="57" t="s">
        <v>925</v>
      </c>
      <c r="C40" s="56" t="s">
        <v>603</v>
      </c>
      <c r="D40" s="57" t="s">
        <v>862</v>
      </c>
      <c r="E40" s="163" t="s">
        <v>732</v>
      </c>
      <c r="F40" s="163" t="s">
        <v>253</v>
      </c>
    </row>
    <row r="41" spans="1:6" x14ac:dyDescent="0.25">
      <c r="A41" s="57">
        <v>39</v>
      </c>
      <c r="B41" s="57" t="s">
        <v>861</v>
      </c>
      <c r="C41" s="56" t="s">
        <v>618</v>
      </c>
      <c r="D41" s="57" t="s">
        <v>549</v>
      </c>
      <c r="E41" s="163" t="s">
        <v>732</v>
      </c>
      <c r="F41" s="163" t="s">
        <v>253</v>
      </c>
    </row>
    <row r="42" spans="1:6" s="172" customFormat="1" x14ac:dyDescent="0.25">
      <c r="A42" s="170">
        <v>40</v>
      </c>
      <c r="B42" s="171" t="s">
        <v>860</v>
      </c>
      <c r="C42" s="171" t="s">
        <v>800</v>
      </c>
      <c r="D42" s="171" t="s">
        <v>859</v>
      </c>
      <c r="E42" s="171" t="s">
        <v>732</v>
      </c>
      <c r="F42" s="171" t="s">
        <v>253</v>
      </c>
    </row>
    <row r="43" spans="1:6" s="172" customFormat="1" x14ac:dyDescent="0.25">
      <c r="A43" s="170">
        <v>41</v>
      </c>
      <c r="B43" s="171" t="s">
        <v>858</v>
      </c>
      <c r="C43" s="171" t="s">
        <v>857</v>
      </c>
      <c r="D43" s="171" t="s">
        <v>156</v>
      </c>
      <c r="E43" s="171" t="s">
        <v>732</v>
      </c>
      <c r="F43" s="171" t="s">
        <v>253</v>
      </c>
    </row>
    <row r="44" spans="1:6" x14ac:dyDescent="0.25">
      <c r="A44" s="57">
        <v>42</v>
      </c>
      <c r="B44" s="57" t="s">
        <v>856</v>
      </c>
      <c r="C44" s="56" t="s">
        <v>855</v>
      </c>
      <c r="D44" s="57" t="s">
        <v>723</v>
      </c>
      <c r="E44" s="163" t="s">
        <v>732</v>
      </c>
      <c r="F44" s="163" t="s">
        <v>253</v>
      </c>
    </row>
    <row r="45" spans="1:6" x14ac:dyDescent="0.25">
      <c r="A45" s="57">
        <v>43</v>
      </c>
      <c r="B45" s="57" t="s">
        <v>854</v>
      </c>
      <c r="C45" s="56" t="s">
        <v>853</v>
      </c>
      <c r="D45" s="57" t="s">
        <v>749</v>
      </c>
      <c r="E45" s="163" t="s">
        <v>732</v>
      </c>
      <c r="F45" s="163" t="s">
        <v>253</v>
      </c>
    </row>
    <row r="46" spans="1:6" x14ac:dyDescent="0.25">
      <c r="A46" s="57">
        <v>44</v>
      </c>
      <c r="B46" s="57" t="s">
        <v>852</v>
      </c>
      <c r="C46" s="56" t="s">
        <v>851</v>
      </c>
      <c r="D46" s="57" t="s">
        <v>577</v>
      </c>
      <c r="E46" s="163" t="s">
        <v>732</v>
      </c>
      <c r="F46" s="163" t="s">
        <v>253</v>
      </c>
    </row>
    <row r="47" spans="1:6" x14ac:dyDescent="0.25">
      <c r="A47" s="57">
        <v>45</v>
      </c>
      <c r="B47" s="57" t="s">
        <v>850</v>
      </c>
      <c r="C47" s="56" t="s">
        <v>849</v>
      </c>
      <c r="D47" s="57" t="s">
        <v>848</v>
      </c>
      <c r="E47" s="163" t="s">
        <v>732</v>
      </c>
      <c r="F47" s="163" t="s">
        <v>253</v>
      </c>
    </row>
    <row r="48" spans="1:6" x14ac:dyDescent="0.25">
      <c r="A48" s="57">
        <v>46</v>
      </c>
      <c r="B48" s="57" t="s">
        <v>847</v>
      </c>
      <c r="C48" s="56" t="s">
        <v>846</v>
      </c>
      <c r="D48" s="57" t="s">
        <v>578</v>
      </c>
      <c r="E48" s="163" t="s">
        <v>732</v>
      </c>
      <c r="F48" s="163" t="s">
        <v>253</v>
      </c>
    </row>
    <row r="49" spans="1:6" x14ac:dyDescent="0.25">
      <c r="A49" s="57">
        <v>47</v>
      </c>
      <c r="B49" s="57" t="s">
        <v>845</v>
      </c>
      <c r="C49" s="56" t="s">
        <v>844</v>
      </c>
      <c r="D49" s="57" t="s">
        <v>843</v>
      </c>
      <c r="E49" s="163" t="s">
        <v>732</v>
      </c>
      <c r="F49" s="163" t="s">
        <v>253</v>
      </c>
    </row>
    <row r="50" spans="1:6" x14ac:dyDescent="0.25">
      <c r="A50" s="57">
        <v>48</v>
      </c>
      <c r="B50" s="56" t="s">
        <v>842</v>
      </c>
      <c r="C50" s="56" t="s">
        <v>841</v>
      </c>
      <c r="D50" s="56" t="s">
        <v>840</v>
      </c>
      <c r="E50" s="163" t="s">
        <v>732</v>
      </c>
      <c r="F50" s="163" t="s">
        <v>253</v>
      </c>
    </row>
    <row r="51" spans="1:6" x14ac:dyDescent="0.25">
      <c r="A51" s="57">
        <v>49</v>
      </c>
      <c r="B51" s="57" t="s">
        <v>839</v>
      </c>
      <c r="C51" s="57" t="s">
        <v>838</v>
      </c>
      <c r="D51" s="57" t="s">
        <v>837</v>
      </c>
      <c r="E51" s="163" t="s">
        <v>732</v>
      </c>
      <c r="F51" s="163" t="s">
        <v>253</v>
      </c>
    </row>
    <row r="52" spans="1:6" x14ac:dyDescent="0.25">
      <c r="A52" s="57">
        <v>50</v>
      </c>
      <c r="B52" s="57" t="s">
        <v>836</v>
      </c>
      <c r="C52" s="57" t="s">
        <v>835</v>
      </c>
      <c r="D52" s="57" t="s">
        <v>834</v>
      </c>
      <c r="E52" s="163" t="s">
        <v>732</v>
      </c>
      <c r="F52" s="163" t="s">
        <v>253</v>
      </c>
    </row>
    <row r="53" spans="1:6" x14ac:dyDescent="0.25">
      <c r="A53" s="57">
        <v>51</v>
      </c>
      <c r="B53" s="57" t="s">
        <v>833</v>
      </c>
      <c r="C53" s="57" t="s">
        <v>832</v>
      </c>
      <c r="D53" s="57" t="s">
        <v>178</v>
      </c>
      <c r="E53" s="163" t="s">
        <v>732</v>
      </c>
      <c r="F53" s="163" t="s">
        <v>253</v>
      </c>
    </row>
    <row r="54" spans="1:6" x14ac:dyDescent="0.25">
      <c r="A54" s="57">
        <v>52</v>
      </c>
      <c r="B54" s="57" t="s">
        <v>831</v>
      </c>
      <c r="C54" s="57" t="s">
        <v>629</v>
      </c>
      <c r="D54" s="57" t="s">
        <v>786</v>
      </c>
      <c r="E54" s="163" t="s">
        <v>765</v>
      </c>
      <c r="F54" s="163" t="s">
        <v>253</v>
      </c>
    </row>
    <row r="55" spans="1:6" x14ac:dyDescent="0.25">
      <c r="A55" s="57">
        <v>53</v>
      </c>
      <c r="B55" s="57" t="s">
        <v>830</v>
      </c>
      <c r="C55" s="57" t="s">
        <v>829</v>
      </c>
      <c r="D55" s="57" t="s">
        <v>718</v>
      </c>
      <c r="E55" s="163" t="s">
        <v>732</v>
      </c>
      <c r="F55" s="163" t="s">
        <v>253</v>
      </c>
    </row>
    <row r="56" spans="1:6" x14ac:dyDescent="0.25">
      <c r="A56" s="57">
        <v>54</v>
      </c>
      <c r="B56" s="57" t="s">
        <v>828</v>
      </c>
      <c r="C56" s="57" t="s">
        <v>629</v>
      </c>
      <c r="D56" s="57" t="s">
        <v>786</v>
      </c>
      <c r="E56" s="163" t="s">
        <v>765</v>
      </c>
      <c r="F56" s="163" t="s">
        <v>253</v>
      </c>
    </row>
    <row r="57" spans="1:6" x14ac:dyDescent="0.25">
      <c r="A57" s="168">
        <v>55</v>
      </c>
      <c r="B57" s="168" t="s">
        <v>827</v>
      </c>
      <c r="C57" s="168" t="s">
        <v>826</v>
      </c>
      <c r="D57" s="168" t="s">
        <v>640</v>
      </c>
      <c r="E57" s="163" t="s">
        <v>732</v>
      </c>
      <c r="F57" s="163" t="s">
        <v>253</v>
      </c>
    </row>
    <row r="58" spans="1:6" x14ac:dyDescent="0.25">
      <c r="A58" s="168">
        <v>56</v>
      </c>
      <c r="B58" s="168" t="s">
        <v>825</v>
      </c>
      <c r="C58" s="168" t="s">
        <v>824</v>
      </c>
      <c r="D58" s="168" t="s">
        <v>823</v>
      </c>
      <c r="E58" s="163" t="s">
        <v>732</v>
      </c>
      <c r="F58" s="163" t="s">
        <v>253</v>
      </c>
    </row>
    <row r="59" spans="1:6" x14ac:dyDescent="0.25">
      <c r="A59" s="57">
        <v>57</v>
      </c>
      <c r="B59" s="57" t="s">
        <v>900</v>
      </c>
      <c r="C59" s="57" t="s">
        <v>901</v>
      </c>
      <c r="D59" s="57" t="s">
        <v>484</v>
      </c>
      <c r="E59" s="163" t="s">
        <v>765</v>
      </c>
      <c r="F59" s="163" t="s">
        <v>253</v>
      </c>
    </row>
    <row r="60" spans="1:6" x14ac:dyDescent="0.25">
      <c r="A60" s="57">
        <v>58</v>
      </c>
      <c r="B60" s="57" t="s">
        <v>902</v>
      </c>
      <c r="C60" s="57" t="s">
        <v>903</v>
      </c>
      <c r="D60" s="57" t="s">
        <v>904</v>
      </c>
      <c r="E60" s="163" t="s">
        <v>765</v>
      </c>
      <c r="F60" s="163" t="s">
        <v>253</v>
      </c>
    </row>
    <row r="61" spans="1:6" x14ac:dyDescent="0.25">
      <c r="A61" s="57">
        <v>59</v>
      </c>
      <c r="B61" s="57" t="s">
        <v>905</v>
      </c>
      <c r="C61" s="57" t="s">
        <v>906</v>
      </c>
      <c r="D61" s="57" t="s">
        <v>907</v>
      </c>
      <c r="E61" s="163" t="s">
        <v>732</v>
      </c>
      <c r="F61" s="163" t="s">
        <v>253</v>
      </c>
    </row>
    <row r="62" spans="1:6" x14ac:dyDescent="0.25">
      <c r="A62" s="57">
        <v>60</v>
      </c>
      <c r="B62" s="57" t="s">
        <v>908</v>
      </c>
      <c r="C62" s="57" t="s">
        <v>909</v>
      </c>
      <c r="D62" s="57" t="s">
        <v>910</v>
      </c>
      <c r="E62" s="163" t="s">
        <v>732</v>
      </c>
      <c r="F62" s="163" t="s">
        <v>253</v>
      </c>
    </row>
    <row r="63" spans="1:6" x14ac:dyDescent="0.25">
      <c r="A63" s="57">
        <v>61</v>
      </c>
      <c r="B63" s="57" t="s">
        <v>911</v>
      </c>
      <c r="C63" s="57" t="s">
        <v>912</v>
      </c>
      <c r="D63" s="57" t="s">
        <v>913</v>
      </c>
      <c r="E63" s="163" t="s">
        <v>732</v>
      </c>
      <c r="F63" s="163" t="s">
        <v>253</v>
      </c>
    </row>
    <row r="64" spans="1:6" x14ac:dyDescent="0.25">
      <c r="A64" s="57">
        <v>62</v>
      </c>
      <c r="B64" s="57" t="s">
        <v>914</v>
      </c>
      <c r="C64" s="57" t="s">
        <v>195</v>
      </c>
      <c r="D64" s="57" t="s">
        <v>885</v>
      </c>
      <c r="E64" s="163" t="s">
        <v>732</v>
      </c>
      <c r="F64" s="163" t="s">
        <v>253</v>
      </c>
    </row>
    <row r="65" spans="1:6" x14ac:dyDescent="0.25">
      <c r="A65" s="57">
        <v>63</v>
      </c>
      <c r="B65" s="57" t="s">
        <v>937</v>
      </c>
      <c r="C65" s="57" t="s">
        <v>503</v>
      </c>
      <c r="D65" s="57" t="s">
        <v>938</v>
      </c>
      <c r="E65" s="163" t="s">
        <v>732</v>
      </c>
      <c r="F65" s="163" t="s">
        <v>253</v>
      </c>
    </row>
    <row r="66" spans="1:6" x14ac:dyDescent="0.25">
      <c r="A66" s="57">
        <v>64</v>
      </c>
      <c r="B66" s="57" t="s">
        <v>939</v>
      </c>
      <c r="C66" s="57" t="s">
        <v>940</v>
      </c>
      <c r="D66" s="57"/>
      <c r="E66" s="163" t="s">
        <v>765</v>
      </c>
      <c r="F66" s="163" t="s">
        <v>253</v>
      </c>
    </row>
    <row r="67" spans="1:6" x14ac:dyDescent="0.25">
      <c r="A67" s="57">
        <v>65</v>
      </c>
      <c r="B67" s="57" t="s">
        <v>951</v>
      </c>
      <c r="C67" s="57" t="s">
        <v>955</v>
      </c>
      <c r="D67" s="57" t="s">
        <v>899</v>
      </c>
      <c r="E67" s="163" t="s">
        <v>953</v>
      </c>
      <c r="F67" s="163" t="s">
        <v>253</v>
      </c>
    </row>
    <row r="68" spans="1:6" x14ac:dyDescent="0.25">
      <c r="A68" s="57">
        <v>66</v>
      </c>
      <c r="B68" t="s">
        <v>952</v>
      </c>
      <c r="C68" s="168" t="s">
        <v>954</v>
      </c>
      <c r="D68" s="168" t="s">
        <v>899</v>
      </c>
      <c r="E68" s="163" t="s">
        <v>953</v>
      </c>
      <c r="F68" s="163" t="s">
        <v>253</v>
      </c>
    </row>
    <row r="69" spans="1:6" x14ac:dyDescent="0.25">
      <c r="A69" s="57">
        <v>67</v>
      </c>
      <c r="B69" t="s">
        <v>956</v>
      </c>
      <c r="C69" s="57" t="s">
        <v>955</v>
      </c>
      <c r="D69" s="57" t="s">
        <v>899</v>
      </c>
      <c r="E69" s="163" t="s">
        <v>953</v>
      </c>
      <c r="F69" s="163" t="s">
        <v>253</v>
      </c>
    </row>
    <row r="70" spans="1:6" x14ac:dyDescent="0.25">
      <c r="B70" t="s">
        <v>944</v>
      </c>
      <c r="C70" s="168" t="s">
        <v>957</v>
      </c>
      <c r="D70" t="s">
        <v>493</v>
      </c>
      <c r="E70" s="163" t="s">
        <v>602</v>
      </c>
      <c r="F70" s="163" t="s">
        <v>253</v>
      </c>
    </row>
    <row r="71" spans="1:6" s="172" customFormat="1" x14ac:dyDescent="0.25">
      <c r="A71" s="170"/>
      <c r="B71" s="171" t="s">
        <v>945</v>
      </c>
      <c r="C71" s="171"/>
      <c r="D71" s="171"/>
      <c r="E71" s="171" t="s">
        <v>602</v>
      </c>
      <c r="F71" s="163" t="s">
        <v>253</v>
      </c>
    </row>
    <row r="72" spans="1:6" x14ac:dyDescent="0.25">
      <c r="B72" t="s">
        <v>943</v>
      </c>
      <c r="C72" s="168" t="s">
        <v>958</v>
      </c>
      <c r="D72" t="s">
        <v>863</v>
      </c>
      <c r="E72" s="171" t="s">
        <v>602</v>
      </c>
      <c r="F72" s="163" t="s">
        <v>253</v>
      </c>
    </row>
    <row r="73" spans="1:6" x14ac:dyDescent="0.25">
      <c r="B73" t="s">
        <v>946</v>
      </c>
      <c r="C73" s="168" t="s">
        <v>771</v>
      </c>
      <c r="D73" t="s">
        <v>959</v>
      </c>
      <c r="E73" s="163" t="s">
        <v>602</v>
      </c>
      <c r="F73" s="163" t="s">
        <v>253</v>
      </c>
    </row>
    <row r="74" spans="1:6" x14ac:dyDescent="0.25">
      <c r="B74" t="s">
        <v>960</v>
      </c>
      <c r="C74" t="s">
        <v>961</v>
      </c>
      <c r="D74" t="s">
        <v>962</v>
      </c>
      <c r="E74" s="163" t="s">
        <v>602</v>
      </c>
      <c r="F74" s="163" t="s">
        <v>253</v>
      </c>
    </row>
    <row r="75" spans="1:6" x14ac:dyDescent="0.25">
      <c r="B75" t="s">
        <v>963</v>
      </c>
      <c r="C75" t="s">
        <v>964</v>
      </c>
      <c r="D75" t="s">
        <v>965</v>
      </c>
      <c r="E75" s="163" t="s">
        <v>602</v>
      </c>
      <c r="F75" s="163" t="s">
        <v>253</v>
      </c>
    </row>
    <row r="76" spans="1:6" x14ac:dyDescent="0.25">
      <c r="B76" t="s">
        <v>966</v>
      </c>
      <c r="C76" t="s">
        <v>771</v>
      </c>
      <c r="D76" t="s">
        <v>959</v>
      </c>
      <c r="E76" s="163" t="s">
        <v>602</v>
      </c>
      <c r="F76" s="163" t="s">
        <v>253</v>
      </c>
    </row>
    <row r="77" spans="1:6" x14ac:dyDescent="0.25">
      <c r="B77" t="s">
        <v>967</v>
      </c>
      <c r="C77" t="s">
        <v>958</v>
      </c>
      <c r="D77" t="s">
        <v>863</v>
      </c>
      <c r="E77" s="163" t="s">
        <v>602</v>
      </c>
      <c r="F77" s="163" t="s">
        <v>253</v>
      </c>
    </row>
    <row r="78" spans="1:6" x14ac:dyDescent="0.25">
      <c r="B78" t="s">
        <v>968</v>
      </c>
      <c r="C78" t="s">
        <v>891</v>
      </c>
      <c r="D78" t="s">
        <v>969</v>
      </c>
      <c r="E78" s="163" t="s">
        <v>602</v>
      </c>
      <c r="F78" s="163" t="s">
        <v>253</v>
      </c>
    </row>
    <row r="79" spans="1:6" x14ac:dyDescent="0.25">
      <c r="B79" t="s">
        <v>973</v>
      </c>
      <c r="C79" t="s">
        <v>971</v>
      </c>
      <c r="D79" t="s">
        <v>970</v>
      </c>
      <c r="E79" s="163" t="s">
        <v>732</v>
      </c>
      <c r="F79" s="163" t="s">
        <v>253</v>
      </c>
    </row>
    <row r="80" spans="1:6" x14ac:dyDescent="0.25">
      <c r="B80" t="s">
        <v>972</v>
      </c>
      <c r="C80" t="s">
        <v>975</v>
      </c>
      <c r="D80" t="s">
        <v>974</v>
      </c>
      <c r="E80" s="163" t="s">
        <v>732</v>
      </c>
      <c r="F80" s="163" t="s">
        <v>253</v>
      </c>
    </row>
    <row r="81" spans="2:6" x14ac:dyDescent="0.25">
      <c r="B81" t="s">
        <v>976</v>
      </c>
      <c r="C81" t="s">
        <v>837</v>
      </c>
      <c r="D81" t="s">
        <v>838</v>
      </c>
      <c r="E81" s="163" t="s">
        <v>732</v>
      </c>
      <c r="F81" s="163" t="s">
        <v>253</v>
      </c>
    </row>
    <row r="82" spans="2:6" x14ac:dyDescent="0.25">
      <c r="B82" t="s">
        <v>977</v>
      </c>
      <c r="C82" t="s">
        <v>978</v>
      </c>
      <c r="D82" t="s">
        <v>979</v>
      </c>
      <c r="E82" s="163" t="s">
        <v>732</v>
      </c>
      <c r="F82" s="163" t="s">
        <v>253</v>
      </c>
    </row>
    <row r="83" spans="2:6" x14ac:dyDescent="0.25">
      <c r="B83" s="163" t="s">
        <v>981</v>
      </c>
      <c r="C83" t="s">
        <v>122</v>
      </c>
      <c r="D83" t="s">
        <v>980</v>
      </c>
      <c r="E83" s="173" t="s">
        <v>781</v>
      </c>
      <c r="F83" s="163" t="s">
        <v>949</v>
      </c>
    </row>
    <row r="84" spans="2:6" x14ac:dyDescent="0.25">
      <c r="B84" t="s">
        <v>982</v>
      </c>
      <c r="C84" t="s">
        <v>826</v>
      </c>
      <c r="D84" t="s">
        <v>983</v>
      </c>
      <c r="E84" s="163" t="s">
        <v>732</v>
      </c>
      <c r="F84" s="163" t="s">
        <v>253</v>
      </c>
    </row>
    <row r="85" spans="2:6" x14ac:dyDescent="0.25">
      <c r="B85" t="s">
        <v>986</v>
      </c>
      <c r="C85" t="s">
        <v>987</v>
      </c>
      <c r="E85" s="173" t="s">
        <v>571</v>
      </c>
      <c r="F85" s="163" t="s">
        <v>253</v>
      </c>
    </row>
    <row r="86" spans="2:6" x14ac:dyDescent="0.25">
      <c r="B86" t="s">
        <v>986</v>
      </c>
      <c r="C86" t="s">
        <v>988</v>
      </c>
      <c r="E86" s="163" t="s">
        <v>732</v>
      </c>
      <c r="F86" s="163" t="s">
        <v>253</v>
      </c>
    </row>
    <row r="87" spans="2:6" x14ac:dyDescent="0.25">
      <c r="B87" t="s">
        <v>995</v>
      </c>
      <c r="C87" t="s">
        <v>997</v>
      </c>
      <c r="E87" s="163" t="s">
        <v>732</v>
      </c>
      <c r="F87" s="163" t="s">
        <v>253</v>
      </c>
    </row>
    <row r="88" spans="2:6" x14ac:dyDescent="0.25">
      <c r="B88" t="s">
        <v>993</v>
      </c>
      <c r="C88" t="s">
        <v>998</v>
      </c>
      <c r="E88" s="163" t="s">
        <v>732</v>
      </c>
      <c r="F88" s="163" t="s">
        <v>253</v>
      </c>
    </row>
    <row r="89" spans="2:6" x14ac:dyDescent="0.25">
      <c r="B89" t="s">
        <v>990</v>
      </c>
      <c r="C89" t="s">
        <v>999</v>
      </c>
      <c r="E89" s="163" t="s">
        <v>732</v>
      </c>
    </row>
    <row r="90" spans="2:6" x14ac:dyDescent="0.25">
      <c r="B90" t="s">
        <v>994</v>
      </c>
      <c r="C90" t="s">
        <v>1000</v>
      </c>
      <c r="E90" s="163" t="s">
        <v>732</v>
      </c>
    </row>
    <row r="91" spans="2:6" x14ac:dyDescent="0.25">
      <c r="B91" t="s">
        <v>989</v>
      </c>
      <c r="C91" t="s">
        <v>999</v>
      </c>
      <c r="E91" s="163" t="s">
        <v>732</v>
      </c>
    </row>
    <row r="92" spans="2:6" x14ac:dyDescent="0.25">
      <c r="B92" t="s">
        <v>992</v>
      </c>
      <c r="C92" t="s">
        <v>1001</v>
      </c>
      <c r="E92" s="163" t="s">
        <v>732</v>
      </c>
    </row>
    <row r="93" spans="2:6" x14ac:dyDescent="0.25">
      <c r="B93" t="s">
        <v>1002</v>
      </c>
      <c r="C93" t="s">
        <v>999</v>
      </c>
      <c r="E93" s="163" t="s">
        <v>732</v>
      </c>
    </row>
    <row r="94" spans="2:6" x14ac:dyDescent="0.25">
      <c r="B94" t="s">
        <v>1003</v>
      </c>
      <c r="C94" t="s">
        <v>1001</v>
      </c>
      <c r="E94" s="163" t="s">
        <v>732</v>
      </c>
    </row>
    <row r="95" spans="2:6" x14ac:dyDescent="0.25">
      <c r="B95" t="s">
        <v>996</v>
      </c>
      <c r="C95" t="s">
        <v>1004</v>
      </c>
      <c r="E95" s="163" t="s">
        <v>602</v>
      </c>
    </row>
    <row r="96" spans="2:6" x14ac:dyDescent="0.25">
      <c r="B96" t="s">
        <v>985</v>
      </c>
      <c r="C96" t="s">
        <v>1005</v>
      </c>
      <c r="E96" s="173" t="s">
        <v>571</v>
      </c>
    </row>
    <row r="97" spans="2:5" x14ac:dyDescent="0.25">
      <c r="B97" t="s">
        <v>948</v>
      </c>
      <c r="C97" t="s">
        <v>1005</v>
      </c>
      <c r="E97" s="173" t="s">
        <v>571</v>
      </c>
    </row>
    <row r="98" spans="2:5" x14ac:dyDescent="0.25">
      <c r="B98" t="s">
        <v>986</v>
      </c>
      <c r="C98" t="s">
        <v>988</v>
      </c>
      <c r="E98" s="173" t="s">
        <v>571</v>
      </c>
    </row>
  </sheetData>
  <autoFilter ref="A1:G49"/>
  <mergeCells count="6">
    <mergeCell ref="E1:E2"/>
    <mergeCell ref="A1:A2"/>
    <mergeCell ref="B1:B2"/>
    <mergeCell ref="C1:C2"/>
    <mergeCell ref="D1:D2"/>
    <mergeCell ref="F1:F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0"/>
    <pageSetUpPr fitToPage="1"/>
  </sheetPr>
  <dimension ref="A1:U267"/>
  <sheetViews>
    <sheetView zoomScale="110" zoomScaleNormal="110" workbookViewId="0">
      <pane xSplit="7" ySplit="7" topLeftCell="L75" activePane="bottomRight" state="frozen"/>
      <selection activeCell="U235" sqref="U235"/>
      <selection pane="topRight" activeCell="U235" sqref="U235"/>
      <selection pane="bottomLeft" activeCell="U235" sqref="U235"/>
      <selection pane="bottomRight" activeCell="P83" sqref="P83:P86"/>
    </sheetView>
  </sheetViews>
  <sheetFormatPr defaultRowHeight="15" x14ac:dyDescent="0.25"/>
  <cols>
    <col min="1" max="1" width="12" style="225" customWidth="1"/>
    <col min="2" max="2" width="5.5703125" style="225" customWidth="1"/>
    <col min="3" max="3" width="8.7109375" style="225" customWidth="1"/>
    <col min="4" max="4" width="10.140625" style="225" customWidth="1"/>
    <col min="5" max="5" width="11.5703125" style="225" customWidth="1"/>
    <col min="6" max="6" width="18.85546875" style="225" customWidth="1"/>
    <col min="7" max="7" width="33.28515625" style="225" customWidth="1"/>
    <col min="8" max="8" width="11.5703125" style="225" customWidth="1"/>
    <col min="9" max="9" width="11.5703125" style="230" customWidth="1"/>
    <col min="10" max="10" width="10.85546875" style="225" customWidth="1"/>
    <col min="11" max="11" width="13.140625" style="229" customWidth="1"/>
    <col min="12" max="12" width="11.28515625" style="225" customWidth="1"/>
    <col min="13" max="13" width="11.140625" style="229" customWidth="1"/>
    <col min="14" max="14" width="12.140625" style="225" customWidth="1"/>
    <col min="15" max="15" width="11.5703125" style="225" customWidth="1"/>
    <col min="16" max="16" width="12" style="225" customWidth="1"/>
    <col min="17" max="17" width="15.7109375" style="224" customWidth="1"/>
    <col min="18" max="19" width="12.28515625" style="224" customWidth="1"/>
    <col min="20" max="20" width="19.42578125" style="224" customWidth="1"/>
    <col min="21" max="21" width="14" style="224" customWidth="1"/>
    <col min="22" max="16384" width="9.140625" style="225"/>
  </cols>
  <sheetData>
    <row r="1" spans="1:21" x14ac:dyDescent="0.25">
      <c r="C1" s="234" t="s">
        <v>460</v>
      </c>
      <c r="D1" s="234"/>
      <c r="F1" s="234"/>
      <c r="G1" s="234" t="s">
        <v>710</v>
      </c>
      <c r="J1" s="234" t="s">
        <v>531</v>
      </c>
      <c r="O1" s="234" t="s">
        <v>719</v>
      </c>
    </row>
    <row r="2" spans="1:21" x14ac:dyDescent="0.25">
      <c r="C2" s="73" t="s">
        <v>461</v>
      </c>
      <c r="D2" s="73" t="s">
        <v>462</v>
      </c>
      <c r="G2" s="225" t="s">
        <v>605</v>
      </c>
      <c r="H2" s="230"/>
      <c r="I2" s="121" t="s">
        <v>532</v>
      </c>
      <c r="J2" s="229"/>
      <c r="K2" s="225"/>
      <c r="L2" s="190" t="s">
        <v>1010</v>
      </c>
      <c r="M2" s="225"/>
      <c r="O2" s="225" t="s">
        <v>1060</v>
      </c>
      <c r="P2" s="224"/>
      <c r="T2" s="229"/>
      <c r="U2" s="233"/>
    </row>
    <row r="3" spans="1:21" x14ac:dyDescent="0.25">
      <c r="C3" s="73" t="s">
        <v>463</v>
      </c>
      <c r="D3" s="73" t="s">
        <v>464</v>
      </c>
      <c r="F3" s="233"/>
      <c r="G3" s="233" t="s">
        <v>632</v>
      </c>
      <c r="H3" s="230"/>
      <c r="I3" s="122" t="s">
        <v>533</v>
      </c>
      <c r="J3" s="229"/>
      <c r="K3" s="225"/>
      <c r="L3" s="229"/>
      <c r="M3" s="225"/>
      <c r="P3" s="224"/>
      <c r="T3" s="229"/>
      <c r="U3" s="233"/>
    </row>
    <row r="4" spans="1:21" x14ac:dyDescent="0.25">
      <c r="C4" s="73" t="s">
        <v>465</v>
      </c>
      <c r="D4" s="73" t="s">
        <v>535</v>
      </c>
      <c r="H4" s="230"/>
      <c r="I4" s="123" t="s">
        <v>534</v>
      </c>
      <c r="J4" s="229"/>
      <c r="K4" s="225"/>
      <c r="L4" s="229"/>
      <c r="M4" s="225"/>
      <c r="P4" s="224"/>
      <c r="T4" s="229"/>
      <c r="U4" s="233"/>
    </row>
    <row r="5" spans="1:21" x14ac:dyDescent="0.25">
      <c r="C5" s="73" t="s">
        <v>530</v>
      </c>
      <c r="D5" s="73" t="s">
        <v>709</v>
      </c>
      <c r="H5" s="230"/>
      <c r="I5" s="124" t="s">
        <v>548</v>
      </c>
      <c r="J5" s="229"/>
      <c r="K5" s="225"/>
      <c r="L5" s="229"/>
      <c r="M5" s="225"/>
      <c r="P5" s="224"/>
      <c r="T5" s="229"/>
      <c r="U5" s="233"/>
    </row>
    <row r="6" spans="1:21" s="230" customFormat="1" ht="60" customHeight="1" x14ac:dyDescent="0.25">
      <c r="C6" s="237" t="s">
        <v>34</v>
      </c>
      <c r="D6" s="237" t="s">
        <v>34</v>
      </c>
      <c r="E6" s="237" t="s">
        <v>34</v>
      </c>
      <c r="F6" s="232"/>
      <c r="H6" s="237" t="s">
        <v>34</v>
      </c>
      <c r="I6" s="237" t="s">
        <v>34</v>
      </c>
      <c r="J6" s="237" t="s">
        <v>34</v>
      </c>
      <c r="K6" s="229"/>
      <c r="M6" s="229"/>
      <c r="N6" s="140" t="s">
        <v>31</v>
      </c>
      <c r="P6" s="140" t="s">
        <v>31</v>
      </c>
      <c r="Q6" s="229"/>
      <c r="R6" s="229"/>
      <c r="S6" s="229"/>
      <c r="T6" s="229"/>
      <c r="U6" s="224"/>
    </row>
    <row r="7" spans="1:21" ht="41.25" customHeight="1" x14ac:dyDescent="0.25">
      <c r="A7" s="142" t="s">
        <v>1015</v>
      </c>
      <c r="B7" s="142" t="s">
        <v>1016</v>
      </c>
      <c r="C7" s="142" t="s">
        <v>444</v>
      </c>
      <c r="D7" s="142" t="s">
        <v>696</v>
      </c>
      <c r="E7" s="142" t="s">
        <v>238</v>
      </c>
      <c r="F7" s="142" t="s">
        <v>26</v>
      </c>
      <c r="G7" s="142" t="s">
        <v>466</v>
      </c>
      <c r="H7" s="142" t="s">
        <v>467</v>
      </c>
      <c r="I7" s="142" t="s">
        <v>621</v>
      </c>
      <c r="J7" s="142" t="s">
        <v>622</v>
      </c>
      <c r="K7" s="142" t="s">
        <v>468</v>
      </c>
      <c r="L7" s="142" t="s">
        <v>469</v>
      </c>
      <c r="M7" s="142" t="s">
        <v>470</v>
      </c>
      <c r="N7" s="142" t="s">
        <v>471</v>
      </c>
      <c r="O7" s="142" t="s">
        <v>472</v>
      </c>
      <c r="P7" s="142" t="s">
        <v>473</v>
      </c>
      <c r="Q7" s="142" t="s">
        <v>711</v>
      </c>
      <c r="R7" s="142" t="s">
        <v>58</v>
      </c>
      <c r="S7" s="142" t="s">
        <v>1058</v>
      </c>
      <c r="T7" s="142" t="s">
        <v>248</v>
      </c>
      <c r="U7" s="231" t="s">
        <v>446</v>
      </c>
    </row>
    <row r="8" spans="1:21" ht="15" customHeight="1" x14ac:dyDescent="0.25">
      <c r="A8" s="214" t="s">
        <v>1018</v>
      </c>
      <c r="B8" s="214" t="s">
        <v>1019</v>
      </c>
      <c r="C8" s="214" t="s">
        <v>253</v>
      </c>
      <c r="D8" s="214" t="s">
        <v>821</v>
      </c>
      <c r="E8" s="214" t="s">
        <v>279</v>
      </c>
      <c r="F8" s="214" t="s">
        <v>1025</v>
      </c>
      <c r="G8" s="240" t="s">
        <v>549</v>
      </c>
      <c r="H8" s="216" t="s">
        <v>249</v>
      </c>
      <c r="I8" s="217" t="s">
        <v>309</v>
      </c>
      <c r="J8" s="216" t="s">
        <v>249</v>
      </c>
      <c r="K8" s="218">
        <v>46034</v>
      </c>
      <c r="L8" s="219">
        <f t="shared" ref="L8:L14" si="0">K8+O8</f>
        <v>46076</v>
      </c>
      <c r="M8" s="219">
        <v>46016</v>
      </c>
      <c r="N8" s="220">
        <f t="shared" ref="N8:N50" si="1">(M8-K8)</f>
        <v>-18</v>
      </c>
      <c r="O8" s="221">
        <v>42</v>
      </c>
      <c r="P8" s="222">
        <f>O8-N8</f>
        <v>60</v>
      </c>
      <c r="Q8" s="223" t="s">
        <v>1093</v>
      </c>
      <c r="R8" s="223"/>
      <c r="S8" s="239">
        <f t="shared" ref="S8:S50" si="2">R8-M8</f>
        <v>-46016</v>
      </c>
      <c r="T8" s="207" t="s">
        <v>1052</v>
      </c>
      <c r="U8" s="223"/>
    </row>
    <row r="9" spans="1:21" ht="15" customHeight="1" x14ac:dyDescent="0.25">
      <c r="A9" s="214" t="s">
        <v>1018</v>
      </c>
      <c r="B9" s="214" t="s">
        <v>1019</v>
      </c>
      <c r="C9" s="214" t="s">
        <v>253</v>
      </c>
      <c r="D9" s="214" t="s">
        <v>817</v>
      </c>
      <c r="E9" s="214" t="s">
        <v>279</v>
      </c>
      <c r="F9" s="214" t="s">
        <v>223</v>
      </c>
      <c r="G9" s="240" t="s">
        <v>1083</v>
      </c>
      <c r="H9" s="216" t="s">
        <v>249</v>
      </c>
      <c r="I9" s="217" t="s">
        <v>311</v>
      </c>
      <c r="J9" s="216" t="s">
        <v>249</v>
      </c>
      <c r="K9" s="218">
        <v>46034</v>
      </c>
      <c r="L9" s="219">
        <f t="shared" si="0"/>
        <v>46076</v>
      </c>
      <c r="M9" s="219">
        <v>46034</v>
      </c>
      <c r="N9" s="220">
        <f t="shared" si="1"/>
        <v>0</v>
      </c>
      <c r="O9" s="221">
        <v>42</v>
      </c>
      <c r="P9" s="321">
        <f t="shared" ref="P9:P60" si="3">O9-N9</f>
        <v>42</v>
      </c>
      <c r="Q9" s="223" t="s">
        <v>1092</v>
      </c>
      <c r="R9" s="207"/>
      <c r="S9" s="242">
        <f t="shared" si="2"/>
        <v>-46034</v>
      </c>
      <c r="T9" s="207" t="s">
        <v>1031</v>
      </c>
      <c r="U9" s="223"/>
    </row>
    <row r="10" spans="1:21" ht="15" customHeight="1" x14ac:dyDescent="0.25">
      <c r="A10" s="214" t="s">
        <v>1018</v>
      </c>
      <c r="B10" s="214" t="s">
        <v>1019</v>
      </c>
      <c r="C10" s="214" t="s">
        <v>253</v>
      </c>
      <c r="D10" s="214" t="s">
        <v>896</v>
      </c>
      <c r="E10" s="214" t="s">
        <v>279</v>
      </c>
      <c r="F10" s="214" t="s">
        <v>1033</v>
      </c>
      <c r="G10" s="240" t="s">
        <v>578</v>
      </c>
      <c r="H10" s="216" t="s">
        <v>249</v>
      </c>
      <c r="I10" s="217" t="s">
        <v>311</v>
      </c>
      <c r="J10" s="216" t="s">
        <v>249</v>
      </c>
      <c r="K10" s="218">
        <v>46034</v>
      </c>
      <c r="L10" s="219">
        <f t="shared" si="0"/>
        <v>46076</v>
      </c>
      <c r="M10" s="219">
        <v>46007</v>
      </c>
      <c r="N10" s="220">
        <f t="shared" si="1"/>
        <v>-27</v>
      </c>
      <c r="O10" s="221">
        <v>42</v>
      </c>
      <c r="P10" s="243">
        <f t="shared" si="3"/>
        <v>69</v>
      </c>
      <c r="Q10" s="207" t="s">
        <v>1085</v>
      </c>
      <c r="R10" s="226"/>
      <c r="S10" s="238">
        <f t="shared" si="2"/>
        <v>-46007</v>
      </c>
      <c r="T10" s="223" t="s">
        <v>1031</v>
      </c>
      <c r="U10" s="217"/>
    </row>
    <row r="11" spans="1:21" ht="15" customHeight="1" x14ac:dyDescent="0.25">
      <c r="A11" s="214" t="s">
        <v>1018</v>
      </c>
      <c r="B11" s="214" t="s">
        <v>1019</v>
      </c>
      <c r="C11" s="214" t="s">
        <v>253</v>
      </c>
      <c r="D11" s="214" t="s">
        <v>807</v>
      </c>
      <c r="E11" s="214" t="s">
        <v>279</v>
      </c>
      <c r="F11" s="214" t="s">
        <v>1022</v>
      </c>
      <c r="G11" s="240" t="s">
        <v>195</v>
      </c>
      <c r="H11" s="216" t="s">
        <v>249</v>
      </c>
      <c r="I11" s="217" t="s">
        <v>261</v>
      </c>
      <c r="J11" s="216" t="s">
        <v>249</v>
      </c>
      <c r="K11" s="218">
        <v>46034</v>
      </c>
      <c r="L11" s="219">
        <f t="shared" si="0"/>
        <v>46076</v>
      </c>
      <c r="M11" s="219">
        <v>46036</v>
      </c>
      <c r="N11" s="220">
        <f t="shared" si="1"/>
        <v>2</v>
      </c>
      <c r="O11" s="221">
        <v>42</v>
      </c>
      <c r="P11" s="220">
        <f t="shared" si="3"/>
        <v>40</v>
      </c>
      <c r="Q11" s="223" t="s">
        <v>1094</v>
      </c>
      <c r="R11" s="223"/>
      <c r="S11" s="239">
        <f t="shared" si="2"/>
        <v>-46036</v>
      </c>
      <c r="T11" s="207" t="s">
        <v>1030</v>
      </c>
      <c r="U11" s="223"/>
    </row>
    <row r="12" spans="1:21" ht="15" customHeight="1" x14ac:dyDescent="0.25">
      <c r="A12" s="214" t="s">
        <v>1018</v>
      </c>
      <c r="B12" s="214" t="s">
        <v>1019</v>
      </c>
      <c r="C12" s="214" t="s">
        <v>253</v>
      </c>
      <c r="D12" s="214" t="s">
        <v>815</v>
      </c>
      <c r="E12" s="214" t="s">
        <v>279</v>
      </c>
      <c r="F12" s="214" t="s">
        <v>1053</v>
      </c>
      <c r="G12" s="240" t="s">
        <v>1054</v>
      </c>
      <c r="H12" s="216" t="s">
        <v>249</v>
      </c>
      <c r="I12" s="217" t="s">
        <v>261</v>
      </c>
      <c r="J12" s="236" t="s">
        <v>261</v>
      </c>
      <c r="K12" s="218">
        <v>46034</v>
      </c>
      <c r="L12" s="219">
        <f t="shared" si="0"/>
        <v>46069</v>
      </c>
      <c r="M12" s="219">
        <v>46069</v>
      </c>
      <c r="N12" s="220">
        <f t="shared" si="1"/>
        <v>35</v>
      </c>
      <c r="O12" s="244">
        <v>35</v>
      </c>
      <c r="P12" s="321">
        <f t="shared" si="3"/>
        <v>0</v>
      </c>
      <c r="Q12" s="223" t="s">
        <v>1149</v>
      </c>
      <c r="R12" s="223"/>
      <c r="S12" s="242">
        <f t="shared" si="2"/>
        <v>-46069</v>
      </c>
      <c r="T12" s="207" t="s">
        <v>1044</v>
      </c>
      <c r="U12" s="223"/>
    </row>
    <row r="13" spans="1:21" ht="15" customHeight="1" x14ac:dyDescent="0.25">
      <c r="A13" s="214" t="s">
        <v>1018</v>
      </c>
      <c r="B13" s="214" t="s">
        <v>1019</v>
      </c>
      <c r="C13" s="214" t="s">
        <v>253</v>
      </c>
      <c r="D13" s="214" t="s">
        <v>812</v>
      </c>
      <c r="E13" s="214" t="s">
        <v>279</v>
      </c>
      <c r="F13" s="214" t="s">
        <v>139</v>
      </c>
      <c r="G13" s="240" t="s">
        <v>140</v>
      </c>
      <c r="H13" s="216" t="s">
        <v>249</v>
      </c>
      <c r="I13" s="217" t="s">
        <v>309</v>
      </c>
      <c r="J13" s="216" t="s">
        <v>249</v>
      </c>
      <c r="K13" s="218">
        <v>46034</v>
      </c>
      <c r="L13" s="219">
        <f t="shared" si="0"/>
        <v>46076</v>
      </c>
      <c r="M13" s="219">
        <v>46035</v>
      </c>
      <c r="N13" s="220">
        <f t="shared" si="1"/>
        <v>1</v>
      </c>
      <c r="O13" s="221">
        <v>42</v>
      </c>
      <c r="P13" s="222">
        <f t="shared" si="3"/>
        <v>41</v>
      </c>
      <c r="Q13" s="223" t="s">
        <v>1095</v>
      </c>
      <c r="R13" s="223"/>
      <c r="S13" s="239">
        <f t="shared" ref="S13:S19" si="4">R13-M13</f>
        <v>-46035</v>
      </c>
      <c r="T13" s="207" t="s">
        <v>1030</v>
      </c>
      <c r="U13" s="223"/>
    </row>
    <row r="14" spans="1:21" ht="15" customHeight="1" x14ac:dyDescent="0.25">
      <c r="A14" s="214" t="s">
        <v>1018</v>
      </c>
      <c r="B14" s="214" t="s">
        <v>1019</v>
      </c>
      <c r="C14" s="214" t="s">
        <v>253</v>
      </c>
      <c r="D14" s="149" t="s">
        <v>762</v>
      </c>
      <c r="E14" s="214" t="s">
        <v>571</v>
      </c>
      <c r="F14" s="214" t="s">
        <v>524</v>
      </c>
      <c r="G14" s="240" t="s">
        <v>1055</v>
      </c>
      <c r="H14" s="216" t="s">
        <v>249</v>
      </c>
      <c r="I14" s="217" t="s">
        <v>261</v>
      </c>
      <c r="J14" s="216" t="s">
        <v>249</v>
      </c>
      <c r="K14" s="218">
        <v>46034</v>
      </c>
      <c r="L14" s="219">
        <f t="shared" si="0"/>
        <v>46076</v>
      </c>
      <c r="M14" s="219">
        <v>46041</v>
      </c>
      <c r="N14" s="220">
        <f t="shared" si="1"/>
        <v>7</v>
      </c>
      <c r="O14" s="221">
        <v>42</v>
      </c>
      <c r="P14" s="321">
        <f t="shared" si="3"/>
        <v>35</v>
      </c>
      <c r="Q14" s="207" t="s">
        <v>1100</v>
      </c>
      <c r="R14" s="241"/>
      <c r="S14" s="242">
        <f t="shared" si="4"/>
        <v>-46041</v>
      </c>
      <c r="T14" s="241" t="s">
        <v>1030</v>
      </c>
      <c r="U14" s="223"/>
    </row>
    <row r="15" spans="1:21" ht="14.25" customHeight="1" x14ac:dyDescent="0.25">
      <c r="A15" s="214" t="s">
        <v>1018</v>
      </c>
      <c r="B15" s="214" t="s">
        <v>1019</v>
      </c>
      <c r="C15" s="214" t="s">
        <v>253</v>
      </c>
      <c r="D15" s="214" t="s">
        <v>819</v>
      </c>
      <c r="E15" s="214" t="s">
        <v>279</v>
      </c>
      <c r="F15" s="214" t="s">
        <v>219</v>
      </c>
      <c r="G15" s="214" t="s">
        <v>159</v>
      </c>
      <c r="H15" s="216" t="s">
        <v>249</v>
      </c>
      <c r="I15" s="217" t="s">
        <v>261</v>
      </c>
      <c r="J15" s="216" t="s">
        <v>249</v>
      </c>
      <c r="K15" s="218">
        <v>46034</v>
      </c>
      <c r="L15" s="219">
        <f t="shared" ref="L15:L20" si="5">K15+O15</f>
        <v>46069</v>
      </c>
      <c r="M15" s="219">
        <v>46045</v>
      </c>
      <c r="N15" s="220">
        <f t="shared" si="1"/>
        <v>11</v>
      </c>
      <c r="O15" s="221">
        <v>35</v>
      </c>
      <c r="P15" s="220">
        <f t="shared" si="3"/>
        <v>24</v>
      </c>
      <c r="Q15" s="223" t="s">
        <v>1102</v>
      </c>
      <c r="R15" s="241"/>
      <c r="S15" s="242">
        <f t="shared" si="4"/>
        <v>-46045</v>
      </c>
      <c r="T15" s="207" t="s">
        <v>1030</v>
      </c>
      <c r="U15" s="223"/>
    </row>
    <row r="16" spans="1:21" ht="15" customHeight="1" x14ac:dyDescent="0.25">
      <c r="A16" s="214" t="s">
        <v>1018</v>
      </c>
      <c r="B16" s="214" t="s">
        <v>1019</v>
      </c>
      <c r="C16" s="214" t="s">
        <v>253</v>
      </c>
      <c r="D16" s="214" t="s">
        <v>813</v>
      </c>
      <c r="E16" s="214" t="s">
        <v>279</v>
      </c>
      <c r="F16" s="214" t="s">
        <v>225</v>
      </c>
      <c r="G16" s="214" t="s">
        <v>1086</v>
      </c>
      <c r="H16" s="216" t="s">
        <v>249</v>
      </c>
      <c r="I16" s="217" t="s">
        <v>271</v>
      </c>
      <c r="J16" s="216" t="s">
        <v>261</v>
      </c>
      <c r="K16" s="218">
        <v>46034</v>
      </c>
      <c r="L16" s="219">
        <f t="shared" si="5"/>
        <v>46118</v>
      </c>
      <c r="M16" s="219">
        <v>46055</v>
      </c>
      <c r="N16" s="220">
        <f>(M16-K16)</f>
        <v>21</v>
      </c>
      <c r="O16" s="221">
        <v>84</v>
      </c>
      <c r="P16" s="222">
        <f t="shared" si="3"/>
        <v>63</v>
      </c>
      <c r="Q16" s="207" t="s">
        <v>1115</v>
      </c>
      <c r="R16" s="241"/>
      <c r="S16" s="242">
        <f t="shared" si="4"/>
        <v>-46055</v>
      </c>
      <c r="T16" s="241" t="s">
        <v>1052</v>
      </c>
      <c r="U16" s="223"/>
    </row>
    <row r="17" spans="1:21" ht="15" customHeight="1" x14ac:dyDescent="0.25">
      <c r="A17" s="214" t="s">
        <v>1018</v>
      </c>
      <c r="B17" s="214" t="s">
        <v>1019</v>
      </c>
      <c r="C17" s="214" t="s">
        <v>253</v>
      </c>
      <c r="D17" s="214" t="s">
        <v>821</v>
      </c>
      <c r="E17" s="214" t="s">
        <v>279</v>
      </c>
      <c r="F17" s="214" t="s">
        <v>1084</v>
      </c>
      <c r="G17" s="214" t="s">
        <v>584</v>
      </c>
      <c r="H17" s="216" t="s">
        <v>249</v>
      </c>
      <c r="I17" s="217" t="s">
        <v>261</v>
      </c>
      <c r="J17" s="216" t="s">
        <v>261</v>
      </c>
      <c r="K17" s="218">
        <v>46034</v>
      </c>
      <c r="L17" s="219">
        <f t="shared" si="5"/>
        <v>46076</v>
      </c>
      <c r="M17" s="219">
        <v>46055</v>
      </c>
      <c r="N17" s="220">
        <f>(M17-K17)</f>
        <v>21</v>
      </c>
      <c r="O17" s="221">
        <v>42</v>
      </c>
      <c r="P17" s="321">
        <f t="shared" si="3"/>
        <v>21</v>
      </c>
      <c r="Q17" s="223" t="s">
        <v>1146</v>
      </c>
      <c r="R17" s="217"/>
      <c r="S17" s="242">
        <f t="shared" si="4"/>
        <v>-46055</v>
      </c>
      <c r="T17" s="207" t="s">
        <v>1052</v>
      </c>
      <c r="U17" s="223"/>
    </row>
    <row r="18" spans="1:21" ht="15" customHeight="1" x14ac:dyDescent="0.25">
      <c r="A18" s="214" t="s">
        <v>1018</v>
      </c>
      <c r="B18" s="214" t="s">
        <v>1019</v>
      </c>
      <c r="C18" s="214" t="s">
        <v>253</v>
      </c>
      <c r="D18" s="214" t="s">
        <v>821</v>
      </c>
      <c r="E18" s="214" t="s">
        <v>279</v>
      </c>
      <c r="F18" s="214" t="s">
        <v>1084</v>
      </c>
      <c r="G18" s="214" t="s">
        <v>178</v>
      </c>
      <c r="H18" s="216" t="s">
        <v>249</v>
      </c>
      <c r="I18" s="217" t="s">
        <v>261</v>
      </c>
      <c r="J18" s="216" t="s">
        <v>249</v>
      </c>
      <c r="K18" s="218">
        <v>46034</v>
      </c>
      <c r="L18" s="219">
        <f t="shared" si="5"/>
        <v>46076</v>
      </c>
      <c r="M18" s="219">
        <v>46051</v>
      </c>
      <c r="N18" s="220">
        <f>(M18-K18)</f>
        <v>17</v>
      </c>
      <c r="O18" s="221">
        <v>42</v>
      </c>
      <c r="P18" s="321">
        <f t="shared" si="3"/>
        <v>25</v>
      </c>
      <c r="Q18" s="223" t="s">
        <v>1114</v>
      </c>
      <c r="R18" s="217"/>
      <c r="S18" s="242">
        <f t="shared" si="4"/>
        <v>-46051</v>
      </c>
      <c r="T18" s="207" t="s">
        <v>1052</v>
      </c>
      <c r="U18" s="223"/>
    </row>
    <row r="19" spans="1:21" ht="15" customHeight="1" x14ac:dyDescent="0.25">
      <c r="A19" s="214" t="s">
        <v>1023</v>
      </c>
      <c r="B19" s="214" t="s">
        <v>1019</v>
      </c>
      <c r="C19" s="214" t="s">
        <v>253</v>
      </c>
      <c r="D19" s="214" t="s">
        <v>821</v>
      </c>
      <c r="E19" s="214" t="s">
        <v>279</v>
      </c>
      <c r="F19" s="214" t="s">
        <v>1025</v>
      </c>
      <c r="G19" s="240" t="s">
        <v>178</v>
      </c>
      <c r="H19" s="216" t="s">
        <v>249</v>
      </c>
      <c r="I19" s="217" t="s">
        <v>261</v>
      </c>
      <c r="J19" s="216" t="s">
        <v>271</v>
      </c>
      <c r="K19" s="218">
        <v>46034</v>
      </c>
      <c r="L19" s="219">
        <f t="shared" si="5"/>
        <v>46076</v>
      </c>
      <c r="M19" s="219">
        <v>46084</v>
      </c>
      <c r="N19" s="220">
        <f>(M19-K19)</f>
        <v>50</v>
      </c>
      <c r="O19" s="221">
        <v>42</v>
      </c>
      <c r="P19" s="321">
        <f t="shared" si="3"/>
        <v>-8</v>
      </c>
      <c r="Q19" s="223" t="s">
        <v>1165</v>
      </c>
      <c r="R19" s="223"/>
      <c r="S19" s="242">
        <f t="shared" si="4"/>
        <v>-46084</v>
      </c>
      <c r="T19" s="207" t="s">
        <v>1052</v>
      </c>
      <c r="U19" s="223"/>
    </row>
    <row r="20" spans="1:21" ht="15" customHeight="1" x14ac:dyDescent="0.25">
      <c r="A20" s="214" t="s">
        <v>1018</v>
      </c>
      <c r="B20" s="214" t="s">
        <v>1019</v>
      </c>
      <c r="C20" s="214" t="s">
        <v>253</v>
      </c>
      <c r="D20" s="214" t="s">
        <v>821</v>
      </c>
      <c r="E20" s="214" t="s">
        <v>279</v>
      </c>
      <c r="F20" s="214" t="s">
        <v>1024</v>
      </c>
      <c r="G20" s="240" t="s">
        <v>178</v>
      </c>
      <c r="H20" s="216" t="s">
        <v>249</v>
      </c>
      <c r="I20" s="217" t="s">
        <v>261</v>
      </c>
      <c r="J20" s="216" t="s">
        <v>271</v>
      </c>
      <c r="K20" s="218">
        <v>46034</v>
      </c>
      <c r="L20" s="219">
        <f t="shared" si="5"/>
        <v>46076</v>
      </c>
      <c r="M20" s="219">
        <v>46111</v>
      </c>
      <c r="N20" s="220">
        <f t="shared" si="1"/>
        <v>77</v>
      </c>
      <c r="O20" s="221">
        <v>42</v>
      </c>
      <c r="P20" s="321">
        <f t="shared" si="3"/>
        <v>-35</v>
      </c>
      <c r="Q20" s="223" t="s">
        <v>1194</v>
      </c>
      <c r="R20" s="223"/>
      <c r="S20" s="239">
        <f t="shared" si="2"/>
        <v>-46111</v>
      </c>
      <c r="T20" s="207" t="s">
        <v>1052</v>
      </c>
      <c r="U20" s="223"/>
    </row>
    <row r="21" spans="1:21" ht="15" customHeight="1" x14ac:dyDescent="0.25">
      <c r="A21" s="214" t="s">
        <v>1018</v>
      </c>
      <c r="B21" s="214" t="s">
        <v>1019</v>
      </c>
      <c r="C21" s="214" t="s">
        <v>253</v>
      </c>
      <c r="D21" s="214" t="s">
        <v>815</v>
      </c>
      <c r="E21" s="214" t="s">
        <v>279</v>
      </c>
      <c r="F21" s="214" t="s">
        <v>222</v>
      </c>
      <c r="G21" s="240" t="s">
        <v>738</v>
      </c>
      <c r="H21" s="216" t="s">
        <v>249</v>
      </c>
      <c r="I21" s="217" t="s">
        <v>261</v>
      </c>
      <c r="J21" s="216" t="s">
        <v>249</v>
      </c>
      <c r="K21" s="218">
        <v>46034</v>
      </c>
      <c r="L21" s="219">
        <f>K21+O21+12</f>
        <v>46067</v>
      </c>
      <c r="M21" s="219">
        <v>46045</v>
      </c>
      <c r="N21" s="220">
        <f t="shared" si="1"/>
        <v>11</v>
      </c>
      <c r="O21" s="221">
        <v>21</v>
      </c>
      <c r="P21" s="222">
        <f t="shared" si="3"/>
        <v>10</v>
      </c>
      <c r="Q21" s="223" t="s">
        <v>1101</v>
      </c>
      <c r="R21" s="223"/>
      <c r="S21" s="242">
        <f t="shared" si="2"/>
        <v>-46045</v>
      </c>
      <c r="T21" s="207" t="s">
        <v>1030</v>
      </c>
      <c r="U21" s="223"/>
    </row>
    <row r="22" spans="1:21" ht="15" customHeight="1" x14ac:dyDescent="0.25">
      <c r="A22" s="214" t="s">
        <v>1018</v>
      </c>
      <c r="B22" s="214" t="s">
        <v>1019</v>
      </c>
      <c r="C22" s="214" t="s">
        <v>253</v>
      </c>
      <c r="D22" s="214" t="s">
        <v>815</v>
      </c>
      <c r="E22" s="214" t="s">
        <v>279</v>
      </c>
      <c r="F22" s="214" t="s">
        <v>222</v>
      </c>
      <c r="G22" s="240" t="s">
        <v>738</v>
      </c>
      <c r="H22" s="216" t="s">
        <v>249</v>
      </c>
      <c r="I22" s="217" t="s">
        <v>261</v>
      </c>
      <c r="J22" s="216" t="s">
        <v>271</v>
      </c>
      <c r="K22" s="218">
        <v>46034</v>
      </c>
      <c r="L22" s="219">
        <f>K22+O22+12</f>
        <v>46067</v>
      </c>
      <c r="M22" s="219">
        <v>46084</v>
      </c>
      <c r="N22" s="220">
        <f t="shared" si="1"/>
        <v>50</v>
      </c>
      <c r="O22" s="221">
        <v>21</v>
      </c>
      <c r="P22" s="222">
        <f t="shared" si="3"/>
        <v>-29</v>
      </c>
      <c r="Q22" s="223" t="s">
        <v>1164</v>
      </c>
      <c r="R22" s="223"/>
      <c r="S22" s="242">
        <f t="shared" si="2"/>
        <v>-46084</v>
      </c>
      <c r="T22" s="207" t="s">
        <v>1030</v>
      </c>
      <c r="U22" s="223"/>
    </row>
    <row r="23" spans="1:21" ht="15" customHeight="1" x14ac:dyDescent="0.25">
      <c r="A23" s="214" t="s">
        <v>1023</v>
      </c>
      <c r="B23" s="214" t="s">
        <v>1019</v>
      </c>
      <c r="C23" s="214" t="s">
        <v>253</v>
      </c>
      <c r="D23" s="214" t="s">
        <v>807</v>
      </c>
      <c r="E23" s="214" t="s">
        <v>279</v>
      </c>
      <c r="F23" s="214" t="s">
        <v>501</v>
      </c>
      <c r="G23" s="240" t="s">
        <v>184</v>
      </c>
      <c r="H23" s="216" t="s">
        <v>249</v>
      </c>
      <c r="I23" s="217" t="s">
        <v>311</v>
      </c>
      <c r="J23" s="216" t="s">
        <v>249</v>
      </c>
      <c r="K23" s="218">
        <v>46034</v>
      </c>
      <c r="L23" s="219">
        <f>K23+O23+12</f>
        <v>46088</v>
      </c>
      <c r="M23" s="219">
        <v>46034</v>
      </c>
      <c r="N23" s="220">
        <f>(M23-K23)</f>
        <v>0</v>
      </c>
      <c r="O23" s="221">
        <v>42</v>
      </c>
      <c r="P23" s="222">
        <f t="shared" si="3"/>
        <v>42</v>
      </c>
      <c r="Q23" s="223" t="s">
        <v>1087</v>
      </c>
      <c r="R23" s="223"/>
      <c r="S23" s="242">
        <f>R23-M23</f>
        <v>-46034</v>
      </c>
      <c r="T23" s="207" t="s">
        <v>1030</v>
      </c>
      <c r="U23" s="223"/>
    </row>
    <row r="24" spans="1:21" ht="15" customHeight="1" x14ac:dyDescent="0.25">
      <c r="A24" s="214" t="s">
        <v>1018</v>
      </c>
      <c r="B24" s="214" t="s">
        <v>1019</v>
      </c>
      <c r="C24" s="214" t="s">
        <v>253</v>
      </c>
      <c r="D24" s="214" t="s">
        <v>819</v>
      </c>
      <c r="E24" s="214" t="s">
        <v>1096</v>
      </c>
      <c r="F24" s="214" t="s">
        <v>899</v>
      </c>
      <c r="G24" s="214" t="s">
        <v>549</v>
      </c>
      <c r="H24" s="216" t="s">
        <v>249</v>
      </c>
      <c r="I24" s="217" t="s">
        <v>271</v>
      </c>
      <c r="J24" s="216" t="s">
        <v>249</v>
      </c>
      <c r="K24" s="218">
        <v>46036</v>
      </c>
      <c r="L24" s="219">
        <f>K24+O24+12</f>
        <v>46090</v>
      </c>
      <c r="M24" s="219">
        <v>46055</v>
      </c>
      <c r="N24" s="220">
        <f t="shared" si="1"/>
        <v>19</v>
      </c>
      <c r="O24" s="221">
        <v>42</v>
      </c>
      <c r="P24" s="220">
        <f t="shared" si="3"/>
        <v>23</v>
      </c>
      <c r="Q24" s="223" t="s">
        <v>1112</v>
      </c>
      <c r="R24" s="223"/>
      <c r="S24" s="239">
        <f t="shared" si="2"/>
        <v>-46055</v>
      </c>
      <c r="T24" s="207" t="s">
        <v>1030</v>
      </c>
      <c r="U24" s="223"/>
    </row>
    <row r="25" spans="1:21" ht="15" customHeight="1" x14ac:dyDescent="0.25">
      <c r="A25" s="214" t="s">
        <v>1018</v>
      </c>
      <c r="B25" s="214" t="s">
        <v>1019</v>
      </c>
      <c r="C25" s="214" t="s">
        <v>253</v>
      </c>
      <c r="D25" s="214" t="s">
        <v>821</v>
      </c>
      <c r="E25" s="214" t="s">
        <v>279</v>
      </c>
      <c r="F25" s="214" t="s">
        <v>1039</v>
      </c>
      <c r="G25" s="214" t="s">
        <v>1090</v>
      </c>
      <c r="H25" s="216" t="s">
        <v>249</v>
      </c>
      <c r="I25" s="217" t="s">
        <v>271</v>
      </c>
      <c r="J25" s="216" t="s">
        <v>261</v>
      </c>
      <c r="K25" s="218">
        <v>46041</v>
      </c>
      <c r="L25" s="219">
        <f t="shared" ref="L25:L50" si="6">K25+O25</f>
        <v>46083</v>
      </c>
      <c r="M25" s="219">
        <v>46077</v>
      </c>
      <c r="N25" s="220">
        <f t="shared" si="1"/>
        <v>36</v>
      </c>
      <c r="O25" s="221">
        <v>42</v>
      </c>
      <c r="P25" s="220">
        <f t="shared" si="3"/>
        <v>6</v>
      </c>
      <c r="Q25" s="223" t="s">
        <v>1153</v>
      </c>
      <c r="R25" s="223"/>
      <c r="S25" s="239">
        <f t="shared" si="2"/>
        <v>-46077</v>
      </c>
      <c r="T25" s="207" t="s">
        <v>1031</v>
      </c>
      <c r="U25" s="223"/>
    </row>
    <row r="26" spans="1:21" ht="15" customHeight="1" x14ac:dyDescent="0.25">
      <c r="A26" s="214" t="s">
        <v>1018</v>
      </c>
      <c r="B26" s="214" t="s">
        <v>1019</v>
      </c>
      <c r="C26" s="214" t="s">
        <v>253</v>
      </c>
      <c r="D26" s="214" t="s">
        <v>811</v>
      </c>
      <c r="E26" s="214" t="s">
        <v>279</v>
      </c>
      <c r="F26" s="322" t="s">
        <v>415</v>
      </c>
      <c r="G26" s="322" t="s">
        <v>1110</v>
      </c>
      <c r="H26" s="216" t="s">
        <v>249</v>
      </c>
      <c r="I26" s="217" t="s">
        <v>271</v>
      </c>
      <c r="J26" s="216" t="s">
        <v>271</v>
      </c>
      <c r="K26" s="218">
        <v>46041</v>
      </c>
      <c r="L26" s="219">
        <f t="shared" si="6"/>
        <v>46083</v>
      </c>
      <c r="M26" s="219">
        <v>46113</v>
      </c>
      <c r="N26" s="220">
        <f t="shared" si="1"/>
        <v>72</v>
      </c>
      <c r="O26" s="221">
        <v>42</v>
      </c>
      <c r="P26" s="220">
        <f t="shared" si="3"/>
        <v>-30</v>
      </c>
      <c r="Q26" s="223" t="s">
        <v>1171</v>
      </c>
      <c r="R26" s="223"/>
      <c r="S26" s="239">
        <f t="shared" si="2"/>
        <v>-46113</v>
      </c>
      <c r="T26" s="207" t="s">
        <v>1031</v>
      </c>
      <c r="U26" s="223"/>
    </row>
    <row r="27" spans="1:21" ht="15" customHeight="1" x14ac:dyDescent="0.25">
      <c r="A27" s="214" t="s">
        <v>1018</v>
      </c>
      <c r="B27" s="214" t="s">
        <v>1019</v>
      </c>
      <c r="C27" s="214" t="s">
        <v>253</v>
      </c>
      <c r="D27" s="214" t="s">
        <v>762</v>
      </c>
      <c r="E27" s="214" t="s">
        <v>571</v>
      </c>
      <c r="F27" s="214" t="s">
        <v>1111</v>
      </c>
      <c r="G27" s="214" t="s">
        <v>1014</v>
      </c>
      <c r="H27" s="216" t="s">
        <v>249</v>
      </c>
      <c r="I27" s="217" t="s">
        <v>261</v>
      </c>
      <c r="J27" s="216" t="s">
        <v>261</v>
      </c>
      <c r="K27" s="218">
        <v>46045</v>
      </c>
      <c r="L27" s="219">
        <f t="shared" si="6"/>
        <v>46080</v>
      </c>
      <c r="M27" s="219">
        <v>46057</v>
      </c>
      <c r="N27" s="220">
        <f t="shared" si="1"/>
        <v>12</v>
      </c>
      <c r="O27" s="221">
        <v>35</v>
      </c>
      <c r="P27" s="220">
        <f t="shared" si="3"/>
        <v>23</v>
      </c>
      <c r="Q27" s="223" t="s">
        <v>1127</v>
      </c>
      <c r="R27" s="223"/>
      <c r="S27" s="239">
        <f t="shared" si="2"/>
        <v>-46057</v>
      </c>
      <c r="T27" s="207" t="s">
        <v>1030</v>
      </c>
      <c r="U27" s="223"/>
    </row>
    <row r="28" spans="1:21" ht="15" customHeight="1" x14ac:dyDescent="0.25">
      <c r="A28" s="214" t="s">
        <v>1018</v>
      </c>
      <c r="B28" s="214" t="s">
        <v>1019</v>
      </c>
      <c r="C28" s="214" t="s">
        <v>253</v>
      </c>
      <c r="D28" s="214" t="s">
        <v>762</v>
      </c>
      <c r="E28" s="214" t="s">
        <v>571</v>
      </c>
      <c r="F28" s="214" t="s">
        <v>524</v>
      </c>
      <c r="G28" s="214" t="s">
        <v>903</v>
      </c>
      <c r="H28" s="216" t="s">
        <v>249</v>
      </c>
      <c r="I28" s="217" t="s">
        <v>271</v>
      </c>
      <c r="J28" s="216" t="s">
        <v>261</v>
      </c>
      <c r="K28" s="218">
        <v>46049</v>
      </c>
      <c r="L28" s="219">
        <f t="shared" si="6"/>
        <v>46084</v>
      </c>
      <c r="M28" s="219">
        <v>46062</v>
      </c>
      <c r="N28" s="220">
        <f t="shared" si="1"/>
        <v>13</v>
      </c>
      <c r="O28" s="221">
        <v>35</v>
      </c>
      <c r="P28" s="220">
        <f t="shared" si="3"/>
        <v>22</v>
      </c>
      <c r="Q28" s="223" t="s">
        <v>1116</v>
      </c>
      <c r="R28" s="223"/>
      <c r="S28" s="239">
        <f t="shared" si="2"/>
        <v>-46062</v>
      </c>
      <c r="T28" s="207" t="s">
        <v>1030</v>
      </c>
      <c r="U28" s="223"/>
    </row>
    <row r="29" spans="1:21" ht="15" customHeight="1" x14ac:dyDescent="0.25">
      <c r="A29" s="214" t="s">
        <v>1018</v>
      </c>
      <c r="B29" s="214" t="s">
        <v>1019</v>
      </c>
      <c r="C29" s="214" t="s">
        <v>253</v>
      </c>
      <c r="D29" s="214" t="s">
        <v>762</v>
      </c>
      <c r="E29" s="214" t="s">
        <v>571</v>
      </c>
      <c r="F29" s="214" t="s">
        <v>153</v>
      </c>
      <c r="G29" s="214" t="s">
        <v>1113</v>
      </c>
      <c r="H29" s="216" t="s">
        <v>249</v>
      </c>
      <c r="I29" s="217" t="s">
        <v>271</v>
      </c>
      <c r="J29" s="216" t="s">
        <v>261</v>
      </c>
      <c r="K29" s="218">
        <v>46049</v>
      </c>
      <c r="L29" s="219">
        <f t="shared" si="6"/>
        <v>46084</v>
      </c>
      <c r="M29" s="219">
        <v>46064</v>
      </c>
      <c r="N29" s="220">
        <f t="shared" si="1"/>
        <v>15</v>
      </c>
      <c r="O29" s="221">
        <v>35</v>
      </c>
      <c r="P29" s="220">
        <f t="shared" si="3"/>
        <v>20</v>
      </c>
      <c r="Q29" s="223" t="s">
        <v>1155</v>
      </c>
      <c r="R29" s="223"/>
      <c r="S29" s="239">
        <f t="shared" si="2"/>
        <v>-46064</v>
      </c>
      <c r="T29" s="207" t="s">
        <v>1030</v>
      </c>
      <c r="U29" s="223"/>
    </row>
    <row r="30" spans="1:21" ht="15" customHeight="1" x14ac:dyDescent="0.25">
      <c r="A30" s="214" t="s">
        <v>1023</v>
      </c>
      <c r="B30" s="214" t="s">
        <v>1019</v>
      </c>
      <c r="C30" s="214" t="s">
        <v>253</v>
      </c>
      <c r="D30" s="214" t="s">
        <v>813</v>
      </c>
      <c r="E30" s="214" t="s">
        <v>279</v>
      </c>
      <c r="F30" s="214" t="s">
        <v>225</v>
      </c>
      <c r="G30" s="214" t="s">
        <v>1086</v>
      </c>
      <c r="H30" s="216" t="s">
        <v>249</v>
      </c>
      <c r="I30" s="217" t="s">
        <v>278</v>
      </c>
      <c r="J30" s="216" t="s">
        <v>261</v>
      </c>
      <c r="K30" s="218">
        <v>46050</v>
      </c>
      <c r="L30" s="219">
        <f t="shared" si="6"/>
        <v>46134</v>
      </c>
      <c r="M30" s="219">
        <v>46065</v>
      </c>
      <c r="N30" s="220">
        <f t="shared" si="1"/>
        <v>15</v>
      </c>
      <c r="O30" s="221">
        <v>84</v>
      </c>
      <c r="P30" s="220">
        <f t="shared" si="3"/>
        <v>69</v>
      </c>
      <c r="Q30" s="223" t="s">
        <v>1154</v>
      </c>
      <c r="R30" s="223"/>
      <c r="S30" s="239">
        <f t="shared" si="2"/>
        <v>-46065</v>
      </c>
      <c r="T30" s="207" t="s">
        <v>1052</v>
      </c>
      <c r="U30" s="223"/>
    </row>
    <row r="31" spans="1:21" ht="15" customHeight="1" x14ac:dyDescent="0.25">
      <c r="A31" s="214" t="s">
        <v>1018</v>
      </c>
      <c r="B31" s="214" t="s">
        <v>1019</v>
      </c>
      <c r="C31" s="214" t="s">
        <v>253</v>
      </c>
      <c r="D31" s="214" t="s">
        <v>762</v>
      </c>
      <c r="E31" s="214" t="s">
        <v>571</v>
      </c>
      <c r="F31" s="214" t="s">
        <v>754</v>
      </c>
      <c r="G31" s="214" t="s">
        <v>549</v>
      </c>
      <c r="H31" s="216" t="s">
        <v>261</v>
      </c>
      <c r="I31" s="217" t="s">
        <v>271</v>
      </c>
      <c r="J31" s="216" t="s">
        <v>261</v>
      </c>
      <c r="K31" s="218">
        <v>46055</v>
      </c>
      <c r="L31" s="219">
        <f t="shared" si="6"/>
        <v>46090</v>
      </c>
      <c r="M31" s="219">
        <v>46062</v>
      </c>
      <c r="N31" s="220">
        <f t="shared" ref="N31:N36" si="7">(M31-K31)</f>
        <v>7</v>
      </c>
      <c r="O31" s="221">
        <v>35</v>
      </c>
      <c r="P31" s="220">
        <f t="shared" si="3"/>
        <v>28</v>
      </c>
      <c r="Q31" s="223" t="s">
        <v>1128</v>
      </c>
      <c r="R31" s="223"/>
      <c r="S31" s="239">
        <f t="shared" ref="S31:S36" si="8">R31-M31</f>
        <v>-46062</v>
      </c>
      <c r="T31" s="207" t="s">
        <v>1030</v>
      </c>
      <c r="U31" s="223"/>
    </row>
    <row r="32" spans="1:21" ht="14.25" customHeight="1" x14ac:dyDescent="0.25">
      <c r="A32" s="214" t="s">
        <v>1018</v>
      </c>
      <c r="B32" s="214" t="s">
        <v>1019</v>
      </c>
      <c r="C32" s="214" t="s">
        <v>253</v>
      </c>
      <c r="D32" s="214" t="s">
        <v>821</v>
      </c>
      <c r="E32" s="214" t="s">
        <v>279</v>
      </c>
      <c r="F32" s="214" t="s">
        <v>674</v>
      </c>
      <c r="G32" s="214" t="s">
        <v>592</v>
      </c>
      <c r="H32" s="216" t="s">
        <v>261</v>
      </c>
      <c r="I32" s="217" t="s">
        <v>278</v>
      </c>
      <c r="J32" s="216"/>
      <c r="K32" s="218">
        <v>46055</v>
      </c>
      <c r="L32" s="219">
        <f t="shared" si="6"/>
        <v>46139</v>
      </c>
      <c r="M32" s="219"/>
      <c r="N32" s="220">
        <f t="shared" si="7"/>
        <v>-46055</v>
      </c>
      <c r="O32" s="221">
        <v>84</v>
      </c>
      <c r="P32" s="220">
        <v>0</v>
      </c>
      <c r="Q32" s="223"/>
      <c r="R32" s="241"/>
      <c r="S32" s="242">
        <f t="shared" si="8"/>
        <v>0</v>
      </c>
      <c r="T32" s="207" t="s">
        <v>1159</v>
      </c>
      <c r="U32" s="223"/>
    </row>
    <row r="33" spans="1:21" ht="15" customHeight="1" x14ac:dyDescent="0.25">
      <c r="A33" s="214" t="s">
        <v>1018</v>
      </c>
      <c r="B33" s="214" t="s">
        <v>1019</v>
      </c>
      <c r="C33" s="214" t="s">
        <v>253</v>
      </c>
      <c r="D33" s="214" t="s">
        <v>762</v>
      </c>
      <c r="E33" s="214" t="s">
        <v>571</v>
      </c>
      <c r="F33" s="214" t="s">
        <v>1111</v>
      </c>
      <c r="G33" s="214" t="s">
        <v>1014</v>
      </c>
      <c r="H33" s="216" t="s">
        <v>261</v>
      </c>
      <c r="I33" s="217" t="s">
        <v>271</v>
      </c>
      <c r="J33" s="216" t="s">
        <v>261</v>
      </c>
      <c r="K33" s="218">
        <v>46062</v>
      </c>
      <c r="L33" s="219">
        <f t="shared" si="6"/>
        <v>46097</v>
      </c>
      <c r="M33" s="219">
        <v>46066</v>
      </c>
      <c r="N33" s="220">
        <f t="shared" si="7"/>
        <v>4</v>
      </c>
      <c r="O33" s="221">
        <v>35</v>
      </c>
      <c r="P33" s="220">
        <f t="shared" si="3"/>
        <v>31</v>
      </c>
      <c r="Q33" s="223" t="s">
        <v>1162</v>
      </c>
      <c r="R33" s="223"/>
      <c r="S33" s="239">
        <f t="shared" si="8"/>
        <v>-46066</v>
      </c>
      <c r="T33" s="207" t="s">
        <v>1030</v>
      </c>
      <c r="U33" s="223"/>
    </row>
    <row r="34" spans="1:21" ht="15" customHeight="1" x14ac:dyDescent="0.25">
      <c r="A34" s="214" t="s">
        <v>1018</v>
      </c>
      <c r="B34" s="214" t="s">
        <v>1019</v>
      </c>
      <c r="C34" s="214" t="s">
        <v>253</v>
      </c>
      <c r="D34" s="214" t="s">
        <v>821</v>
      </c>
      <c r="E34" s="214" t="s">
        <v>279</v>
      </c>
      <c r="F34" s="214" t="s">
        <v>718</v>
      </c>
      <c r="G34" s="214" t="s">
        <v>584</v>
      </c>
      <c r="H34" s="216" t="s">
        <v>261</v>
      </c>
      <c r="I34" s="217" t="s">
        <v>271</v>
      </c>
      <c r="J34" s="216"/>
      <c r="K34" s="218">
        <v>46062</v>
      </c>
      <c r="L34" s="219">
        <f t="shared" si="6"/>
        <v>46104</v>
      </c>
      <c r="M34" s="219"/>
      <c r="N34" s="220">
        <f t="shared" si="7"/>
        <v>-46062</v>
      </c>
      <c r="O34" s="221">
        <v>42</v>
      </c>
      <c r="P34" s="321">
        <f t="shared" si="3"/>
        <v>46104</v>
      </c>
      <c r="Q34" s="223"/>
      <c r="R34" s="217"/>
      <c r="S34" s="242">
        <f t="shared" si="8"/>
        <v>0</v>
      </c>
      <c r="T34" s="207" t="s">
        <v>1052</v>
      </c>
      <c r="U34" s="223"/>
    </row>
    <row r="35" spans="1:21" ht="15" customHeight="1" x14ac:dyDescent="0.25">
      <c r="A35" s="214" t="s">
        <v>1018</v>
      </c>
      <c r="B35" s="214" t="s">
        <v>1019</v>
      </c>
      <c r="C35" s="214" t="s">
        <v>253</v>
      </c>
      <c r="D35" s="214" t="s">
        <v>1147</v>
      </c>
      <c r="E35" s="214" t="s">
        <v>279</v>
      </c>
      <c r="F35" s="214" t="s">
        <v>1148</v>
      </c>
      <c r="G35" s="214" t="s">
        <v>1013</v>
      </c>
      <c r="H35" s="216" t="s">
        <v>261</v>
      </c>
      <c r="I35" s="217" t="s">
        <v>271</v>
      </c>
      <c r="J35" s="216" t="s">
        <v>261</v>
      </c>
      <c r="K35" s="218">
        <v>46063</v>
      </c>
      <c r="L35" s="219">
        <f t="shared" si="6"/>
        <v>46105</v>
      </c>
      <c r="M35" s="219">
        <v>46069</v>
      </c>
      <c r="N35" s="220">
        <f t="shared" si="7"/>
        <v>6</v>
      </c>
      <c r="O35" s="221">
        <v>42</v>
      </c>
      <c r="P35" s="321">
        <f t="shared" si="3"/>
        <v>36</v>
      </c>
      <c r="Q35" s="223" t="s">
        <v>1152</v>
      </c>
      <c r="R35" s="217"/>
      <c r="S35" s="242">
        <f t="shared" si="8"/>
        <v>-46069</v>
      </c>
      <c r="T35" s="207" t="s">
        <v>1030</v>
      </c>
      <c r="U35" s="223"/>
    </row>
    <row r="36" spans="1:21" ht="15" customHeight="1" x14ac:dyDescent="0.25">
      <c r="A36" s="214" t="s">
        <v>1018</v>
      </c>
      <c r="B36" s="214" t="s">
        <v>1019</v>
      </c>
      <c r="C36" s="214" t="s">
        <v>253</v>
      </c>
      <c r="D36" s="214" t="s">
        <v>762</v>
      </c>
      <c r="E36" s="214" t="s">
        <v>571</v>
      </c>
      <c r="F36" s="214" t="s">
        <v>524</v>
      </c>
      <c r="G36" s="214" t="s">
        <v>903</v>
      </c>
      <c r="H36" s="216" t="s">
        <v>261</v>
      </c>
      <c r="I36" s="217" t="s">
        <v>271</v>
      </c>
      <c r="J36" s="216" t="s">
        <v>271</v>
      </c>
      <c r="K36" s="218">
        <v>46063</v>
      </c>
      <c r="L36" s="219">
        <f t="shared" si="6"/>
        <v>46098</v>
      </c>
      <c r="M36" s="219">
        <v>46099</v>
      </c>
      <c r="N36" s="220">
        <f t="shared" si="7"/>
        <v>36</v>
      </c>
      <c r="O36" s="221">
        <v>35</v>
      </c>
      <c r="P36" s="220">
        <f t="shared" si="3"/>
        <v>-1</v>
      </c>
      <c r="Q36" s="223" t="s">
        <v>1170</v>
      </c>
      <c r="R36" s="223"/>
      <c r="S36" s="239">
        <f t="shared" si="8"/>
        <v>-46099</v>
      </c>
      <c r="T36" s="207" t="s">
        <v>1030</v>
      </c>
      <c r="U36" s="223"/>
    </row>
    <row r="37" spans="1:21" ht="15" customHeight="1" x14ac:dyDescent="0.25">
      <c r="A37" s="214" t="s">
        <v>1023</v>
      </c>
      <c r="B37" s="214" t="s">
        <v>1150</v>
      </c>
      <c r="C37" s="214" t="s">
        <v>253</v>
      </c>
      <c r="D37" s="214" t="s">
        <v>819</v>
      </c>
      <c r="E37" s="214" t="s">
        <v>279</v>
      </c>
      <c r="F37" s="214" t="s">
        <v>1038</v>
      </c>
      <c r="G37" s="240" t="s">
        <v>1151</v>
      </c>
      <c r="H37" s="216" t="s">
        <v>261</v>
      </c>
      <c r="I37" s="217" t="s">
        <v>271</v>
      </c>
      <c r="J37" s="216" t="s">
        <v>271</v>
      </c>
      <c r="K37" s="218">
        <v>46064</v>
      </c>
      <c r="L37" s="219">
        <f t="shared" si="6"/>
        <v>46106</v>
      </c>
      <c r="M37" s="219">
        <v>46126</v>
      </c>
      <c r="N37" s="220">
        <f t="shared" si="1"/>
        <v>62</v>
      </c>
      <c r="O37" s="221">
        <v>42</v>
      </c>
      <c r="P37" s="220">
        <f t="shared" si="3"/>
        <v>-20</v>
      </c>
      <c r="Q37" s="223" t="s">
        <v>1175</v>
      </c>
      <c r="R37" s="223"/>
      <c r="S37" s="239">
        <f t="shared" si="2"/>
        <v>-46126</v>
      </c>
      <c r="T37" s="207" t="s">
        <v>1031</v>
      </c>
      <c r="U37" s="223"/>
    </row>
    <row r="38" spans="1:21" ht="15" customHeight="1" x14ac:dyDescent="0.25">
      <c r="A38" s="214" t="s">
        <v>1018</v>
      </c>
      <c r="B38" s="214" t="s">
        <v>1019</v>
      </c>
      <c r="C38" s="214" t="s">
        <v>253</v>
      </c>
      <c r="D38" s="214" t="s">
        <v>821</v>
      </c>
      <c r="E38" s="214" t="s">
        <v>279</v>
      </c>
      <c r="F38" s="214" t="s">
        <v>1068</v>
      </c>
      <c r="G38" s="214" t="s">
        <v>178</v>
      </c>
      <c r="H38" s="216" t="s">
        <v>261</v>
      </c>
      <c r="I38" s="217" t="s">
        <v>271</v>
      </c>
      <c r="J38" s="216" t="s">
        <v>261</v>
      </c>
      <c r="K38" s="218">
        <v>46064</v>
      </c>
      <c r="L38" s="219">
        <f t="shared" si="6"/>
        <v>46106</v>
      </c>
      <c r="M38" s="219">
        <v>46077</v>
      </c>
      <c r="N38" s="220">
        <f>(M38-K38)</f>
        <v>13</v>
      </c>
      <c r="O38" s="221">
        <v>42</v>
      </c>
      <c r="P38" s="220">
        <f t="shared" si="3"/>
        <v>29</v>
      </c>
      <c r="Q38" s="223" t="s">
        <v>1157</v>
      </c>
      <c r="R38" s="223"/>
      <c r="S38" s="239">
        <f>R38-M38</f>
        <v>-46077</v>
      </c>
      <c r="T38" s="207" t="s">
        <v>1030</v>
      </c>
      <c r="U38" s="223"/>
    </row>
    <row r="39" spans="1:21" ht="15" customHeight="1" x14ac:dyDescent="0.25">
      <c r="A39" s="214" t="s">
        <v>1018</v>
      </c>
      <c r="B39" s="214" t="s">
        <v>1019</v>
      </c>
      <c r="C39" s="214" t="s">
        <v>253</v>
      </c>
      <c r="D39" s="29" t="s">
        <v>1120</v>
      </c>
      <c r="E39" s="214" t="s">
        <v>279</v>
      </c>
      <c r="F39" s="214" t="s">
        <v>1117</v>
      </c>
      <c r="G39" s="214" t="s">
        <v>1088</v>
      </c>
      <c r="H39" s="216" t="s">
        <v>261</v>
      </c>
      <c r="I39" s="217" t="s">
        <v>271</v>
      </c>
      <c r="J39" s="216" t="s">
        <v>271</v>
      </c>
      <c r="K39" s="218">
        <v>46064</v>
      </c>
      <c r="L39" s="219">
        <f t="shared" si="6"/>
        <v>46106</v>
      </c>
      <c r="M39" s="219">
        <v>46111</v>
      </c>
      <c r="N39" s="220">
        <f t="shared" si="1"/>
        <v>47</v>
      </c>
      <c r="O39" s="221">
        <v>42</v>
      </c>
      <c r="P39" s="220">
        <f t="shared" si="3"/>
        <v>-5</v>
      </c>
      <c r="Q39" s="223" t="s">
        <v>1174</v>
      </c>
      <c r="R39" s="223"/>
      <c r="S39" s="239">
        <f t="shared" si="2"/>
        <v>-46111</v>
      </c>
      <c r="T39" s="207" t="s">
        <v>1030</v>
      </c>
      <c r="U39" s="223"/>
    </row>
    <row r="40" spans="1:21" ht="14.25" customHeight="1" x14ac:dyDescent="0.25">
      <c r="A40" s="214" t="s">
        <v>1018</v>
      </c>
      <c r="B40" s="214" t="s">
        <v>1019</v>
      </c>
      <c r="C40" s="214" t="s">
        <v>253</v>
      </c>
      <c r="D40" s="214" t="s">
        <v>819</v>
      </c>
      <c r="E40" s="214" t="s">
        <v>279</v>
      </c>
      <c r="F40" s="214" t="s">
        <v>219</v>
      </c>
      <c r="G40" s="214" t="s">
        <v>159</v>
      </c>
      <c r="H40" s="216" t="s">
        <v>261</v>
      </c>
      <c r="I40" s="217" t="s">
        <v>271</v>
      </c>
      <c r="J40" s="216" t="s">
        <v>271</v>
      </c>
      <c r="K40" s="218">
        <v>46069</v>
      </c>
      <c r="L40" s="219">
        <f t="shared" si="6"/>
        <v>46104</v>
      </c>
      <c r="M40" s="219">
        <v>46091</v>
      </c>
      <c r="N40" s="220">
        <f>(M40-K40)</f>
        <v>22</v>
      </c>
      <c r="O40" s="221">
        <v>35</v>
      </c>
      <c r="P40" s="220">
        <f t="shared" si="3"/>
        <v>13</v>
      </c>
      <c r="Q40" s="223" t="s">
        <v>1156</v>
      </c>
      <c r="R40" s="241"/>
      <c r="S40" s="242">
        <f t="shared" si="2"/>
        <v>-46091</v>
      </c>
      <c r="T40" s="207" t="s">
        <v>1030</v>
      </c>
      <c r="U40" s="223"/>
    </row>
    <row r="41" spans="1:21" ht="14.25" customHeight="1" x14ac:dyDescent="0.25">
      <c r="A41" s="214" t="s">
        <v>1018</v>
      </c>
      <c r="B41" s="214" t="s">
        <v>1019</v>
      </c>
      <c r="C41" s="214" t="s">
        <v>253</v>
      </c>
      <c r="D41" s="214" t="s">
        <v>1059</v>
      </c>
      <c r="E41" s="214" t="s">
        <v>279</v>
      </c>
      <c r="F41" s="214" t="s">
        <v>1033</v>
      </c>
      <c r="G41" s="214" t="s">
        <v>578</v>
      </c>
      <c r="H41" s="216" t="s">
        <v>261</v>
      </c>
      <c r="I41" s="217" t="s">
        <v>271</v>
      </c>
      <c r="J41" s="216"/>
      <c r="K41" s="218">
        <v>46070</v>
      </c>
      <c r="L41" s="219">
        <f t="shared" si="6"/>
        <v>46112</v>
      </c>
      <c r="M41" s="219"/>
      <c r="N41" s="220">
        <f>(M41-K41)</f>
        <v>-46070</v>
      </c>
      <c r="O41" s="221">
        <v>42</v>
      </c>
      <c r="P41" s="220">
        <f t="shared" si="3"/>
        <v>46112</v>
      </c>
      <c r="Q41" s="223"/>
      <c r="R41" s="241"/>
      <c r="S41" s="242">
        <f>R41-M41</f>
        <v>0</v>
      </c>
      <c r="T41" s="207" t="s">
        <v>1052</v>
      </c>
      <c r="U41" s="223"/>
    </row>
    <row r="42" spans="1:21" ht="15" customHeight="1" x14ac:dyDescent="0.25">
      <c r="A42" s="214" t="s">
        <v>1018</v>
      </c>
      <c r="B42" s="214" t="s">
        <v>1019</v>
      </c>
      <c r="C42" s="214" t="s">
        <v>253</v>
      </c>
      <c r="D42" s="214" t="s">
        <v>815</v>
      </c>
      <c r="E42" s="214" t="s">
        <v>279</v>
      </c>
      <c r="F42" s="214" t="s">
        <v>1053</v>
      </c>
      <c r="G42" s="240" t="s">
        <v>1054</v>
      </c>
      <c r="H42" s="216" t="s">
        <v>261</v>
      </c>
      <c r="I42" s="217" t="s">
        <v>271</v>
      </c>
      <c r="J42" s="236" t="s">
        <v>271</v>
      </c>
      <c r="K42" s="218">
        <v>46070</v>
      </c>
      <c r="L42" s="219">
        <f t="shared" si="6"/>
        <v>46105</v>
      </c>
      <c r="M42" s="219">
        <v>46099</v>
      </c>
      <c r="N42" s="220">
        <f>(M42-K42)</f>
        <v>29</v>
      </c>
      <c r="O42" s="244">
        <v>35</v>
      </c>
      <c r="P42" s="220">
        <f t="shared" si="3"/>
        <v>6</v>
      </c>
      <c r="Q42" s="223" t="s">
        <v>1166</v>
      </c>
      <c r="R42" s="223"/>
      <c r="S42" s="242">
        <f>R42-M42</f>
        <v>-46099</v>
      </c>
      <c r="T42" s="207" t="s">
        <v>1044</v>
      </c>
      <c r="U42" s="223"/>
    </row>
    <row r="43" spans="1:21" ht="15" customHeight="1" x14ac:dyDescent="0.25">
      <c r="A43" s="214" t="s">
        <v>1018</v>
      </c>
      <c r="B43" s="214" t="s">
        <v>1019</v>
      </c>
      <c r="C43" s="214" t="s">
        <v>253</v>
      </c>
      <c r="D43" s="214" t="s">
        <v>818</v>
      </c>
      <c r="E43" s="214" t="s">
        <v>279</v>
      </c>
      <c r="F43" s="225" t="s">
        <v>218</v>
      </c>
      <c r="G43" s="240" t="s">
        <v>162</v>
      </c>
      <c r="H43" s="216" t="s">
        <v>261</v>
      </c>
      <c r="I43" s="217" t="s">
        <v>278</v>
      </c>
      <c r="J43" s="236" t="s">
        <v>278</v>
      </c>
      <c r="K43" s="218">
        <v>46079</v>
      </c>
      <c r="L43" s="219">
        <f t="shared" si="6"/>
        <v>46121</v>
      </c>
      <c r="M43" s="219"/>
      <c r="N43" s="220">
        <f>(M43-K43)</f>
        <v>-46079</v>
      </c>
      <c r="O43" s="244">
        <v>42</v>
      </c>
      <c r="P43" s="220">
        <f t="shared" si="3"/>
        <v>46121</v>
      </c>
      <c r="Q43" s="223" t="s">
        <v>1178</v>
      </c>
      <c r="R43" s="223"/>
      <c r="S43" s="242">
        <f>R43-M43</f>
        <v>0</v>
      </c>
      <c r="T43" s="207" t="s">
        <v>1030</v>
      </c>
      <c r="U43" s="223"/>
    </row>
    <row r="44" spans="1:21" ht="15" customHeight="1" x14ac:dyDescent="0.25">
      <c r="A44" s="214" t="s">
        <v>1018</v>
      </c>
      <c r="B44" s="214" t="s">
        <v>1019</v>
      </c>
      <c r="C44" s="214" t="s">
        <v>253</v>
      </c>
      <c r="D44" s="29" t="s">
        <v>808</v>
      </c>
      <c r="E44" s="214" t="s">
        <v>279</v>
      </c>
      <c r="F44" s="214" t="s">
        <v>1160</v>
      </c>
      <c r="G44" s="214" t="s">
        <v>1161</v>
      </c>
      <c r="H44" s="216" t="s">
        <v>271</v>
      </c>
      <c r="I44" s="217" t="s">
        <v>278</v>
      </c>
      <c r="J44" s="216" t="s">
        <v>278</v>
      </c>
      <c r="K44" s="218">
        <v>46084</v>
      </c>
      <c r="L44" s="219">
        <f t="shared" si="6"/>
        <v>46119</v>
      </c>
      <c r="M44" s="219">
        <v>46142</v>
      </c>
      <c r="N44" s="220">
        <f t="shared" si="1"/>
        <v>58</v>
      </c>
      <c r="O44" s="221">
        <v>35</v>
      </c>
      <c r="P44" s="220">
        <f t="shared" si="3"/>
        <v>-23</v>
      </c>
      <c r="Q44" s="223" t="s">
        <v>1196</v>
      </c>
      <c r="R44" s="223"/>
      <c r="S44" s="239">
        <f t="shared" si="2"/>
        <v>-46142</v>
      </c>
      <c r="T44" s="207" t="s">
        <v>1030</v>
      </c>
      <c r="U44" s="223"/>
    </row>
    <row r="45" spans="1:21" ht="15" customHeight="1" x14ac:dyDescent="0.25">
      <c r="A45" s="214" t="s">
        <v>1018</v>
      </c>
      <c r="B45" s="214" t="s">
        <v>1019</v>
      </c>
      <c r="C45" s="214" t="s">
        <v>253</v>
      </c>
      <c r="D45" s="214" t="s">
        <v>807</v>
      </c>
      <c r="E45" s="214" t="s">
        <v>279</v>
      </c>
      <c r="F45" s="214" t="s">
        <v>1040</v>
      </c>
      <c r="G45" s="214" t="s">
        <v>1167</v>
      </c>
      <c r="H45" s="216" t="s">
        <v>271</v>
      </c>
      <c r="I45" s="217" t="s">
        <v>278</v>
      </c>
      <c r="J45" s="216" t="s">
        <v>271</v>
      </c>
      <c r="K45" s="218">
        <v>46084</v>
      </c>
      <c r="L45" s="219">
        <f>K45+O45</f>
        <v>46119</v>
      </c>
      <c r="M45" s="219">
        <v>46098</v>
      </c>
      <c r="N45" s="220">
        <f>(M45-K45)</f>
        <v>14</v>
      </c>
      <c r="O45" s="221">
        <v>35</v>
      </c>
      <c r="P45" s="220">
        <f t="shared" si="3"/>
        <v>21</v>
      </c>
      <c r="Q45" s="223" t="s">
        <v>1168</v>
      </c>
      <c r="R45" s="223"/>
      <c r="S45" s="239">
        <f>R45-M45</f>
        <v>-46098</v>
      </c>
      <c r="T45" s="207" t="s">
        <v>1030</v>
      </c>
      <c r="U45" s="223"/>
    </row>
    <row r="46" spans="1:21" ht="15" customHeight="1" x14ac:dyDescent="0.25">
      <c r="A46" s="214" t="s">
        <v>1018</v>
      </c>
      <c r="B46" s="214" t="s">
        <v>1150</v>
      </c>
      <c r="C46" s="214" t="s">
        <v>253</v>
      </c>
      <c r="D46" s="214" t="s">
        <v>762</v>
      </c>
      <c r="E46" s="214" t="s">
        <v>571</v>
      </c>
      <c r="F46" s="214" t="s">
        <v>524</v>
      </c>
      <c r="G46" s="214" t="s">
        <v>1163</v>
      </c>
      <c r="H46" s="216" t="s">
        <v>271</v>
      </c>
      <c r="I46" s="217" t="s">
        <v>278</v>
      </c>
      <c r="J46" s="216"/>
      <c r="K46" s="218">
        <v>46085</v>
      </c>
      <c r="L46" s="219">
        <f>K46+O46</f>
        <v>46120</v>
      </c>
      <c r="M46" s="219"/>
      <c r="N46" s="220">
        <f t="shared" si="1"/>
        <v>-46085</v>
      </c>
      <c r="O46" s="221">
        <v>35</v>
      </c>
      <c r="P46" s="220">
        <f t="shared" si="3"/>
        <v>46120</v>
      </c>
      <c r="Q46" s="223"/>
      <c r="R46" s="223"/>
      <c r="S46" s="239">
        <f t="shared" si="2"/>
        <v>0</v>
      </c>
      <c r="T46" s="207" t="s">
        <v>1030</v>
      </c>
      <c r="U46" s="223"/>
    </row>
    <row r="47" spans="1:21" ht="15" customHeight="1" x14ac:dyDescent="0.25">
      <c r="A47" s="214" t="s">
        <v>1018</v>
      </c>
      <c r="B47" s="214" t="s">
        <v>1019</v>
      </c>
      <c r="C47" s="214" t="s">
        <v>253</v>
      </c>
      <c r="D47" s="214" t="s">
        <v>762</v>
      </c>
      <c r="E47" s="214" t="s">
        <v>571</v>
      </c>
      <c r="F47" s="214" t="s">
        <v>524</v>
      </c>
      <c r="G47" s="214" t="s">
        <v>1055</v>
      </c>
      <c r="H47" s="216" t="s">
        <v>271</v>
      </c>
      <c r="I47" s="217" t="s">
        <v>278</v>
      </c>
      <c r="J47" s="216" t="s">
        <v>278</v>
      </c>
      <c r="K47" s="218">
        <v>46086</v>
      </c>
      <c r="L47" s="219">
        <f>K47+O47</f>
        <v>46121</v>
      </c>
      <c r="M47" s="219">
        <v>46125</v>
      </c>
      <c r="N47" s="220">
        <f>(M47-K47)</f>
        <v>39</v>
      </c>
      <c r="O47" s="221">
        <v>35</v>
      </c>
      <c r="P47" s="220">
        <f t="shared" si="3"/>
        <v>-4</v>
      </c>
      <c r="Q47" s="223" t="s">
        <v>1177</v>
      </c>
      <c r="R47" s="223"/>
      <c r="S47" s="239">
        <f>R47-M47</f>
        <v>-46125</v>
      </c>
      <c r="T47" s="207" t="s">
        <v>1030</v>
      </c>
      <c r="U47" s="223"/>
    </row>
    <row r="48" spans="1:21" ht="15" customHeight="1" x14ac:dyDescent="0.25">
      <c r="A48" s="214" t="s">
        <v>1018</v>
      </c>
      <c r="B48" s="214" t="s">
        <v>1019</v>
      </c>
      <c r="C48" s="214" t="s">
        <v>253</v>
      </c>
      <c r="D48" s="214" t="s">
        <v>815</v>
      </c>
      <c r="E48" s="214" t="s">
        <v>279</v>
      </c>
      <c r="F48" s="214" t="s">
        <v>222</v>
      </c>
      <c r="G48" s="240" t="s">
        <v>738</v>
      </c>
      <c r="H48" s="216" t="s">
        <v>271</v>
      </c>
      <c r="I48" s="217" t="s">
        <v>278</v>
      </c>
      <c r="J48" s="216" t="s">
        <v>271</v>
      </c>
      <c r="K48" s="218">
        <v>46086</v>
      </c>
      <c r="L48" s="219">
        <v>46121</v>
      </c>
      <c r="M48" s="219">
        <v>46100</v>
      </c>
      <c r="N48" s="220">
        <f>(M48-K48)</f>
        <v>14</v>
      </c>
      <c r="O48" s="221">
        <v>21</v>
      </c>
      <c r="P48" s="220">
        <f t="shared" si="3"/>
        <v>7</v>
      </c>
      <c r="Q48" s="207" t="s">
        <v>1169</v>
      </c>
      <c r="R48" s="223"/>
      <c r="S48" s="242">
        <f>R48-M48</f>
        <v>-46100</v>
      </c>
      <c r="T48" s="207" t="s">
        <v>1030</v>
      </c>
      <c r="U48" s="223"/>
    </row>
    <row r="49" spans="1:21" ht="14.25" customHeight="1" x14ac:dyDescent="0.25">
      <c r="A49" s="214" t="s">
        <v>1018</v>
      </c>
      <c r="B49" s="214" t="s">
        <v>1019</v>
      </c>
      <c r="C49" s="214" t="s">
        <v>253</v>
      </c>
      <c r="D49" s="214" t="s">
        <v>819</v>
      </c>
      <c r="E49" s="214" t="s">
        <v>279</v>
      </c>
      <c r="F49" s="214" t="s">
        <v>219</v>
      </c>
      <c r="G49" s="214" t="s">
        <v>159</v>
      </c>
      <c r="H49" s="216" t="s">
        <v>271</v>
      </c>
      <c r="I49" s="217" t="s">
        <v>278</v>
      </c>
      <c r="J49" s="216"/>
      <c r="K49" s="218">
        <v>46086</v>
      </c>
      <c r="L49" s="219">
        <v>46121</v>
      </c>
      <c r="M49" s="219"/>
      <c r="N49" s="220">
        <f>(M49-K49)</f>
        <v>-46086</v>
      </c>
      <c r="O49" s="221">
        <v>35</v>
      </c>
      <c r="P49" s="220">
        <f t="shared" si="3"/>
        <v>46121</v>
      </c>
      <c r="Q49" s="223"/>
      <c r="R49" s="241"/>
      <c r="S49" s="242">
        <f>R49-M49</f>
        <v>0</v>
      </c>
      <c r="T49" s="207" t="s">
        <v>1030</v>
      </c>
      <c r="U49" s="223"/>
    </row>
    <row r="50" spans="1:21" ht="15" customHeight="1" x14ac:dyDescent="0.25">
      <c r="A50" s="214" t="s">
        <v>1023</v>
      </c>
      <c r="B50" s="214" t="s">
        <v>1019</v>
      </c>
      <c r="C50" s="214" t="s">
        <v>253</v>
      </c>
      <c r="D50" s="214" t="s">
        <v>762</v>
      </c>
      <c r="E50" s="214" t="s">
        <v>571</v>
      </c>
      <c r="F50" s="214" t="s">
        <v>754</v>
      </c>
      <c r="G50" s="214" t="s">
        <v>549</v>
      </c>
      <c r="H50" s="216" t="s">
        <v>271</v>
      </c>
      <c r="I50" s="217" t="s">
        <v>278</v>
      </c>
      <c r="J50" s="216" t="s">
        <v>271</v>
      </c>
      <c r="K50" s="218">
        <v>46094</v>
      </c>
      <c r="L50" s="219">
        <f t="shared" si="6"/>
        <v>46129</v>
      </c>
      <c r="M50" s="219">
        <v>46111</v>
      </c>
      <c r="N50" s="220">
        <f t="shared" si="1"/>
        <v>17</v>
      </c>
      <c r="O50" s="221">
        <v>35</v>
      </c>
      <c r="P50" s="220">
        <f t="shared" si="3"/>
        <v>18</v>
      </c>
      <c r="Q50" s="223" t="s">
        <v>1176</v>
      </c>
      <c r="R50" s="223"/>
      <c r="S50" s="239">
        <f t="shared" si="2"/>
        <v>-46111</v>
      </c>
      <c r="T50" s="207" t="s">
        <v>1030</v>
      </c>
      <c r="U50" s="223"/>
    </row>
    <row r="51" spans="1:21" ht="15" customHeight="1" x14ac:dyDescent="0.25">
      <c r="A51" s="214" t="s">
        <v>1018</v>
      </c>
      <c r="B51" s="214" t="s">
        <v>1019</v>
      </c>
      <c r="C51" s="214" t="s">
        <v>253</v>
      </c>
      <c r="D51" s="214" t="s">
        <v>815</v>
      </c>
      <c r="E51" s="214" t="s">
        <v>279</v>
      </c>
      <c r="F51" s="214" t="s">
        <v>222</v>
      </c>
      <c r="G51" s="214" t="s">
        <v>1089</v>
      </c>
      <c r="H51" s="216" t="s">
        <v>271</v>
      </c>
      <c r="I51" s="217" t="s">
        <v>278</v>
      </c>
      <c r="J51" s="216"/>
      <c r="K51" s="218">
        <v>46094</v>
      </c>
      <c r="L51" s="219">
        <f t="shared" ref="L51:L122" si="9">K51+O51</f>
        <v>46139</v>
      </c>
      <c r="M51" s="219"/>
      <c r="N51" s="220">
        <f t="shared" ref="N51:N122" si="10">(M51-K51)</f>
        <v>-46094</v>
      </c>
      <c r="O51" s="221">
        <v>45</v>
      </c>
      <c r="P51" s="220">
        <f t="shared" si="3"/>
        <v>46139</v>
      </c>
      <c r="Q51" s="223" t="s">
        <v>1206</v>
      </c>
      <c r="R51" s="223"/>
      <c r="S51" s="239">
        <f t="shared" ref="S51:S122" si="11">R51-M51</f>
        <v>0</v>
      </c>
      <c r="T51" s="207" t="s">
        <v>1030</v>
      </c>
      <c r="U51" s="223"/>
    </row>
    <row r="52" spans="1:21" ht="15" customHeight="1" x14ac:dyDescent="0.25">
      <c r="A52" s="214" t="s">
        <v>1023</v>
      </c>
      <c r="B52" s="214" t="s">
        <v>1019</v>
      </c>
      <c r="C52" s="214" t="s">
        <v>253</v>
      </c>
      <c r="D52" s="214" t="s">
        <v>813</v>
      </c>
      <c r="E52" s="214" t="s">
        <v>279</v>
      </c>
      <c r="F52" s="214" t="s">
        <v>225</v>
      </c>
      <c r="G52" s="214" t="s">
        <v>1086</v>
      </c>
      <c r="H52" s="216" t="s">
        <v>271</v>
      </c>
      <c r="I52" s="217" t="s">
        <v>288</v>
      </c>
      <c r="J52" s="216"/>
      <c r="K52" s="218">
        <v>46094</v>
      </c>
      <c r="L52" s="219">
        <f>K52+O52</f>
        <v>46178</v>
      </c>
      <c r="M52" s="219"/>
      <c r="N52" s="220">
        <f>(M52-K52)</f>
        <v>-46094</v>
      </c>
      <c r="O52" s="221">
        <v>84</v>
      </c>
      <c r="P52" s="220">
        <f t="shared" si="3"/>
        <v>46178</v>
      </c>
      <c r="Q52" s="223"/>
      <c r="R52" s="223"/>
      <c r="S52" s="239">
        <f>R52-M52</f>
        <v>0</v>
      </c>
      <c r="T52" s="207" t="s">
        <v>1052</v>
      </c>
      <c r="U52" s="223"/>
    </row>
    <row r="53" spans="1:21" ht="15" customHeight="1" x14ac:dyDescent="0.25">
      <c r="A53" s="214" t="s">
        <v>1018</v>
      </c>
      <c r="B53" s="214" t="s">
        <v>1019</v>
      </c>
      <c r="C53" s="214" t="s">
        <v>253</v>
      </c>
      <c r="D53" s="29" t="s">
        <v>809</v>
      </c>
      <c r="E53" s="214" t="s">
        <v>262</v>
      </c>
      <c r="F53" s="214" t="s">
        <v>1179</v>
      </c>
      <c r="G53" s="214" t="s">
        <v>178</v>
      </c>
      <c r="H53" s="216" t="s">
        <v>271</v>
      </c>
      <c r="I53" s="217" t="s">
        <v>278</v>
      </c>
      <c r="J53" s="216" t="s">
        <v>271</v>
      </c>
      <c r="K53" s="218">
        <v>46094</v>
      </c>
      <c r="L53" s="219">
        <f>K53+O53</f>
        <v>46139</v>
      </c>
      <c r="M53" s="219">
        <v>46111</v>
      </c>
      <c r="N53" s="220"/>
      <c r="O53" s="221">
        <v>45</v>
      </c>
      <c r="P53" s="220">
        <f t="shared" si="3"/>
        <v>45</v>
      </c>
      <c r="Q53" t="s">
        <v>1180</v>
      </c>
      <c r="R53" s="223"/>
      <c r="S53" s="239">
        <f t="shared" si="11"/>
        <v>-46111</v>
      </c>
      <c r="T53" s="207" t="s">
        <v>1052</v>
      </c>
      <c r="U53" s="223"/>
    </row>
    <row r="54" spans="1:21" ht="15" customHeight="1" x14ac:dyDescent="0.25">
      <c r="A54" s="214" t="s">
        <v>1018</v>
      </c>
      <c r="B54" s="214" t="s">
        <v>1019</v>
      </c>
      <c r="C54" s="214" t="s">
        <v>253</v>
      </c>
      <c r="D54" s="214" t="s">
        <v>819</v>
      </c>
      <c r="E54" s="214" t="s">
        <v>279</v>
      </c>
      <c r="F54" s="214" t="s">
        <v>524</v>
      </c>
      <c r="G54" s="214" t="s">
        <v>133</v>
      </c>
      <c r="H54" s="216" t="s">
        <v>271</v>
      </c>
      <c r="I54" s="217" t="s">
        <v>284</v>
      </c>
      <c r="J54" s="216" t="s">
        <v>278</v>
      </c>
      <c r="K54" s="218">
        <v>46098</v>
      </c>
      <c r="L54" s="219">
        <f t="shared" si="9"/>
        <v>46143</v>
      </c>
      <c r="M54" s="219">
        <v>46113</v>
      </c>
      <c r="N54" s="220">
        <f t="shared" si="10"/>
        <v>15</v>
      </c>
      <c r="O54" s="221">
        <v>45</v>
      </c>
      <c r="P54" s="220">
        <f t="shared" si="3"/>
        <v>30</v>
      </c>
      <c r="Q54" s="223" t="s">
        <v>1186</v>
      </c>
      <c r="R54" s="223"/>
      <c r="S54" s="239">
        <f t="shared" si="11"/>
        <v>-46113</v>
      </c>
      <c r="T54" s="207" t="s">
        <v>1030</v>
      </c>
      <c r="U54" s="223"/>
    </row>
    <row r="55" spans="1:21" ht="15" customHeight="1" x14ac:dyDescent="0.25">
      <c r="A55" s="214" t="s">
        <v>1018</v>
      </c>
      <c r="B55" s="214" t="s">
        <v>1019</v>
      </c>
      <c r="C55" s="214" t="s">
        <v>253</v>
      </c>
      <c r="D55" s="214" t="s">
        <v>1172</v>
      </c>
      <c r="E55" s="214" t="s">
        <v>279</v>
      </c>
      <c r="F55" s="214" t="s">
        <v>233</v>
      </c>
      <c r="G55" s="214" t="s">
        <v>1011</v>
      </c>
      <c r="H55" s="216" t="s">
        <v>271</v>
      </c>
      <c r="I55" s="217" t="s">
        <v>284</v>
      </c>
      <c r="J55" s="216" t="s">
        <v>278</v>
      </c>
      <c r="K55" s="218">
        <v>46098</v>
      </c>
      <c r="L55" s="219">
        <f t="shared" si="9"/>
        <v>46143</v>
      </c>
      <c r="M55" s="219">
        <v>46113</v>
      </c>
      <c r="N55" s="220">
        <f t="shared" si="10"/>
        <v>15</v>
      </c>
      <c r="O55" s="221">
        <v>45</v>
      </c>
      <c r="P55" s="220">
        <f t="shared" si="3"/>
        <v>30</v>
      </c>
      <c r="Q55" s="223" t="s">
        <v>1173</v>
      </c>
      <c r="R55" s="223"/>
      <c r="S55" s="239">
        <f t="shared" si="11"/>
        <v>-46113</v>
      </c>
      <c r="T55" s="207" t="s">
        <v>1031</v>
      </c>
      <c r="U55" s="223"/>
    </row>
    <row r="56" spans="1:21" ht="15" customHeight="1" x14ac:dyDescent="0.25">
      <c r="A56" s="214" t="s">
        <v>1023</v>
      </c>
      <c r="B56" s="214" t="s">
        <v>1150</v>
      </c>
      <c r="C56" s="214" t="s">
        <v>253</v>
      </c>
      <c r="D56" s="214" t="s">
        <v>762</v>
      </c>
      <c r="E56" s="214" t="s">
        <v>571</v>
      </c>
      <c r="F56" s="214" t="s">
        <v>754</v>
      </c>
      <c r="G56" s="214" t="s">
        <v>549</v>
      </c>
      <c r="H56" s="216" t="s">
        <v>271</v>
      </c>
      <c r="I56" s="217" t="s">
        <v>278</v>
      </c>
      <c r="J56" s="216"/>
      <c r="K56" s="218">
        <v>46100</v>
      </c>
      <c r="L56" s="219">
        <f t="shared" si="9"/>
        <v>46135</v>
      </c>
      <c r="M56" s="219"/>
      <c r="N56" s="220">
        <f t="shared" si="10"/>
        <v>-46100</v>
      </c>
      <c r="O56" s="221">
        <v>35</v>
      </c>
      <c r="P56" s="220">
        <f t="shared" si="3"/>
        <v>46135</v>
      </c>
      <c r="Q56" s="223"/>
      <c r="R56" s="223"/>
      <c r="S56" s="239">
        <f t="shared" si="11"/>
        <v>0</v>
      </c>
      <c r="T56" s="207" t="s">
        <v>1030</v>
      </c>
      <c r="U56" s="223"/>
    </row>
    <row r="57" spans="1:21" ht="14.25" customHeight="1" x14ac:dyDescent="0.25">
      <c r="A57" s="214" t="s">
        <v>1018</v>
      </c>
      <c r="B57" s="214" t="s">
        <v>1019</v>
      </c>
      <c r="C57" s="214" t="s">
        <v>253</v>
      </c>
      <c r="D57" s="214" t="s">
        <v>807</v>
      </c>
      <c r="E57" s="214" t="s">
        <v>279</v>
      </c>
      <c r="F57" s="214" t="s">
        <v>1040</v>
      </c>
      <c r="G57" s="214" t="s">
        <v>1167</v>
      </c>
      <c r="H57" s="216" t="s">
        <v>271</v>
      </c>
      <c r="I57" s="217" t="s">
        <v>284</v>
      </c>
      <c r="J57" s="216" t="s">
        <v>278</v>
      </c>
      <c r="K57" s="218">
        <v>46108</v>
      </c>
      <c r="L57" s="219">
        <f>K57+O57</f>
        <v>46153</v>
      </c>
      <c r="M57" s="219">
        <v>46128</v>
      </c>
      <c r="N57" s="220">
        <f>(M57-K57)</f>
        <v>20</v>
      </c>
      <c r="O57" s="221">
        <v>45</v>
      </c>
      <c r="P57" s="220">
        <f t="shared" si="3"/>
        <v>25</v>
      </c>
      <c r="Q57" s="207" t="s">
        <v>1191</v>
      </c>
      <c r="R57" s="223"/>
      <c r="S57" s="239">
        <f t="shared" si="11"/>
        <v>-46128</v>
      </c>
      <c r="T57" s="207" t="s">
        <v>1030</v>
      </c>
      <c r="U57" s="223"/>
    </row>
    <row r="58" spans="1:21" ht="14.25" customHeight="1" x14ac:dyDescent="0.25">
      <c r="A58" s="214" t="s">
        <v>1018</v>
      </c>
      <c r="B58" s="214" t="s">
        <v>1150</v>
      </c>
      <c r="C58" s="214" t="s">
        <v>273</v>
      </c>
      <c r="D58" s="29" t="s">
        <v>809</v>
      </c>
      <c r="E58" s="214" t="s">
        <v>262</v>
      </c>
      <c r="F58" s="214" t="s">
        <v>1181</v>
      </c>
      <c r="G58" s="214" t="s">
        <v>122</v>
      </c>
      <c r="H58" s="216" t="s">
        <v>271</v>
      </c>
      <c r="I58" s="217" t="s">
        <v>284</v>
      </c>
      <c r="J58" s="216"/>
      <c r="K58" s="218">
        <v>46108</v>
      </c>
      <c r="L58" s="219">
        <f>K58+O58</f>
        <v>46143</v>
      </c>
      <c r="M58" s="219">
        <v>46148</v>
      </c>
      <c r="N58" s="220">
        <f>(M58-K58)</f>
        <v>40</v>
      </c>
      <c r="O58" s="221">
        <v>35</v>
      </c>
      <c r="P58" s="220">
        <f t="shared" si="3"/>
        <v>-5</v>
      </c>
      <c r="Q58" s="223" t="s">
        <v>1213</v>
      </c>
      <c r="R58" s="223"/>
      <c r="S58" s="239">
        <f t="shared" si="11"/>
        <v>-46148</v>
      </c>
      <c r="T58" s="207" t="s">
        <v>1030</v>
      </c>
      <c r="U58" s="223"/>
    </row>
    <row r="59" spans="1:21" ht="15" customHeight="1" x14ac:dyDescent="0.25">
      <c r="A59" s="214" t="s">
        <v>1018</v>
      </c>
      <c r="B59" s="214" t="s">
        <v>1019</v>
      </c>
      <c r="C59" s="214" t="s">
        <v>253</v>
      </c>
      <c r="D59" s="214" t="s">
        <v>1182</v>
      </c>
      <c r="E59" s="214" t="s">
        <v>279</v>
      </c>
      <c r="F59" s="214" t="s">
        <v>1183</v>
      </c>
      <c r="G59" s="214" t="s">
        <v>1184</v>
      </c>
      <c r="H59" s="216" t="s">
        <v>278</v>
      </c>
      <c r="I59" s="217" t="s">
        <v>284</v>
      </c>
      <c r="J59" s="216" t="s">
        <v>278</v>
      </c>
      <c r="K59" s="218">
        <v>46113</v>
      </c>
      <c r="L59" s="219">
        <f t="shared" si="9"/>
        <v>46158</v>
      </c>
      <c r="M59" s="219">
        <v>46139</v>
      </c>
      <c r="N59" s="220">
        <f t="shared" si="10"/>
        <v>26</v>
      </c>
      <c r="O59" s="221">
        <v>45</v>
      </c>
      <c r="P59" s="220">
        <f t="shared" si="3"/>
        <v>19</v>
      </c>
      <c r="Q59" s="223" t="s">
        <v>1198</v>
      </c>
      <c r="R59" s="223"/>
      <c r="S59" s="239">
        <f t="shared" si="11"/>
        <v>-46139</v>
      </c>
      <c r="T59" s="207" t="s">
        <v>1052</v>
      </c>
      <c r="U59" s="223"/>
    </row>
    <row r="60" spans="1:21" ht="15" customHeight="1" x14ac:dyDescent="0.25">
      <c r="A60" s="214" t="s">
        <v>1018</v>
      </c>
      <c r="B60" s="214" t="s">
        <v>1150</v>
      </c>
      <c r="C60" s="214" t="s">
        <v>253</v>
      </c>
      <c r="D60" s="214" t="s">
        <v>1185</v>
      </c>
      <c r="E60" s="214" t="s">
        <v>279</v>
      </c>
      <c r="F60" s="214" t="s">
        <v>233</v>
      </c>
      <c r="G60" s="214" t="s">
        <v>585</v>
      </c>
      <c r="H60" s="216" t="s">
        <v>278</v>
      </c>
      <c r="I60" s="217" t="s">
        <v>284</v>
      </c>
      <c r="J60" s="216"/>
      <c r="K60" s="218">
        <v>46113</v>
      </c>
      <c r="L60" s="219">
        <f t="shared" si="9"/>
        <v>46158</v>
      </c>
      <c r="M60" s="219"/>
      <c r="N60" s="220">
        <f t="shared" si="10"/>
        <v>-46113</v>
      </c>
      <c r="O60" s="221">
        <v>45</v>
      </c>
      <c r="P60" s="220">
        <f t="shared" si="3"/>
        <v>46158</v>
      </c>
      <c r="Q60" s="223"/>
      <c r="R60" s="223"/>
      <c r="S60" s="239">
        <f t="shared" si="11"/>
        <v>0</v>
      </c>
      <c r="T60" s="207" t="s">
        <v>1052</v>
      </c>
      <c r="U60" s="223"/>
    </row>
    <row r="61" spans="1:21" ht="15" customHeight="1" x14ac:dyDescent="0.25">
      <c r="A61" s="214" t="s">
        <v>1018</v>
      </c>
      <c r="B61" s="214" t="s">
        <v>1019</v>
      </c>
      <c r="C61" s="214" t="s">
        <v>253</v>
      </c>
      <c r="D61" s="214" t="s">
        <v>821</v>
      </c>
      <c r="E61" s="214" t="s">
        <v>279</v>
      </c>
      <c r="F61" s="214" t="s">
        <v>1187</v>
      </c>
      <c r="G61" s="214" t="s">
        <v>1188</v>
      </c>
      <c r="H61" s="216" t="s">
        <v>278</v>
      </c>
      <c r="I61" s="217" t="s">
        <v>284</v>
      </c>
      <c r="J61" s="216" t="s">
        <v>278</v>
      </c>
      <c r="K61" s="218">
        <v>46113</v>
      </c>
      <c r="L61" s="219">
        <f>K61+O61</f>
        <v>46158</v>
      </c>
      <c r="M61" s="219">
        <v>46132</v>
      </c>
      <c r="N61" s="220">
        <f>(M61-K61)</f>
        <v>19</v>
      </c>
      <c r="O61" s="221">
        <v>45</v>
      </c>
      <c r="P61" s="220">
        <f t="shared" ref="P61:P86" si="12">O61-N61</f>
        <v>26</v>
      </c>
      <c r="Q61" s="223" t="s">
        <v>1189</v>
      </c>
      <c r="R61" s="223"/>
      <c r="S61" s="239">
        <f>R61-M61</f>
        <v>-46132</v>
      </c>
      <c r="T61" s="207" t="s">
        <v>1052</v>
      </c>
      <c r="U61" s="223"/>
    </row>
    <row r="62" spans="1:21" ht="15" customHeight="1" x14ac:dyDescent="0.25">
      <c r="A62" s="214" t="s">
        <v>1018</v>
      </c>
      <c r="B62" s="214" t="s">
        <v>1019</v>
      </c>
      <c r="C62" s="214" t="s">
        <v>253</v>
      </c>
      <c r="D62" s="214" t="s">
        <v>1147</v>
      </c>
      <c r="E62" s="214" t="s">
        <v>279</v>
      </c>
      <c r="F62" s="214" t="s">
        <v>1148</v>
      </c>
      <c r="G62" s="214" t="s">
        <v>1013</v>
      </c>
      <c r="H62" s="216" t="s">
        <v>278</v>
      </c>
      <c r="I62" s="217" t="s">
        <v>284</v>
      </c>
      <c r="J62" s="216" t="s">
        <v>278</v>
      </c>
      <c r="K62" s="218">
        <v>46114</v>
      </c>
      <c r="L62" s="219">
        <f t="shared" si="9"/>
        <v>46156</v>
      </c>
      <c r="M62" s="219">
        <v>46160</v>
      </c>
      <c r="N62" s="220">
        <f t="shared" si="10"/>
        <v>46</v>
      </c>
      <c r="O62" s="221">
        <v>42</v>
      </c>
      <c r="P62" s="220">
        <f t="shared" si="12"/>
        <v>-4</v>
      </c>
      <c r="Q62" s="223" t="s">
        <v>1205</v>
      </c>
      <c r="R62" s="217"/>
      <c r="S62" s="242">
        <f t="shared" si="11"/>
        <v>-46160</v>
      </c>
      <c r="T62" s="207" t="s">
        <v>1030</v>
      </c>
      <c r="U62" s="223"/>
    </row>
    <row r="63" spans="1:21" ht="15" customHeight="1" x14ac:dyDescent="0.25">
      <c r="A63" s="214" t="s">
        <v>1018</v>
      </c>
      <c r="B63" s="214" t="s">
        <v>1019</v>
      </c>
      <c r="C63" s="214" t="s">
        <v>253</v>
      </c>
      <c r="D63" s="214" t="s">
        <v>817</v>
      </c>
      <c r="E63" s="214" t="s">
        <v>279</v>
      </c>
      <c r="F63" s="214" t="s">
        <v>223</v>
      </c>
      <c r="G63" s="214" t="s">
        <v>942</v>
      </c>
      <c r="H63" s="216" t="s">
        <v>278</v>
      </c>
      <c r="I63" s="217" t="s">
        <v>284</v>
      </c>
      <c r="J63" s="216"/>
      <c r="K63" s="218">
        <v>46114</v>
      </c>
      <c r="L63" s="219">
        <f>K63+O63</f>
        <v>46156</v>
      </c>
      <c r="M63" s="219"/>
      <c r="N63" s="220">
        <f>(M63-K63)</f>
        <v>-46114</v>
      </c>
      <c r="O63" s="221">
        <v>42</v>
      </c>
      <c r="P63" s="220">
        <f t="shared" si="12"/>
        <v>46156</v>
      </c>
      <c r="Q63" s="223"/>
      <c r="R63" s="217"/>
      <c r="S63" s="242">
        <f>R63-M63</f>
        <v>0</v>
      </c>
      <c r="T63" s="207" t="s">
        <v>1030</v>
      </c>
      <c r="U63" s="223"/>
    </row>
    <row r="64" spans="1:21" ht="15" customHeight="1" x14ac:dyDescent="0.25">
      <c r="A64" s="214" t="s">
        <v>1018</v>
      </c>
      <c r="B64" s="214" t="s">
        <v>1019</v>
      </c>
      <c r="C64" s="214" t="s">
        <v>253</v>
      </c>
      <c r="D64" s="214" t="s">
        <v>1185</v>
      </c>
      <c r="E64" s="214" t="s">
        <v>279</v>
      </c>
      <c r="F64" s="214" t="s">
        <v>486</v>
      </c>
      <c r="G64" s="214" t="s">
        <v>487</v>
      </c>
      <c r="H64" s="216" t="s">
        <v>278</v>
      </c>
      <c r="I64" s="217" t="s">
        <v>284</v>
      </c>
      <c r="J64" s="216" t="s">
        <v>278</v>
      </c>
      <c r="K64" s="218">
        <v>46114</v>
      </c>
      <c r="L64" s="219">
        <f>K64+O64</f>
        <v>46156</v>
      </c>
      <c r="M64" s="219">
        <v>46121</v>
      </c>
      <c r="N64" s="220">
        <f t="shared" si="10"/>
        <v>7</v>
      </c>
      <c r="O64" s="221">
        <v>42</v>
      </c>
      <c r="P64" s="220">
        <f t="shared" si="12"/>
        <v>35</v>
      </c>
      <c r="Q64" s="223" t="s">
        <v>1186</v>
      </c>
      <c r="R64" s="223"/>
      <c r="S64" s="239">
        <f t="shared" si="11"/>
        <v>-46121</v>
      </c>
      <c r="T64" s="207" t="s">
        <v>1052</v>
      </c>
      <c r="U64" s="223"/>
    </row>
    <row r="65" spans="1:21" ht="15" customHeight="1" x14ac:dyDescent="0.25">
      <c r="A65" s="214" t="s">
        <v>1018</v>
      </c>
      <c r="B65" s="214" t="s">
        <v>1150</v>
      </c>
      <c r="C65" s="214" t="s">
        <v>253</v>
      </c>
      <c r="D65" s="214" t="s">
        <v>807</v>
      </c>
      <c r="E65" s="214" t="s">
        <v>279</v>
      </c>
      <c r="F65" s="214" t="s">
        <v>496</v>
      </c>
      <c r="G65" s="214" t="s">
        <v>886</v>
      </c>
      <c r="H65" s="216" t="s">
        <v>278</v>
      </c>
      <c r="I65" s="217" t="s">
        <v>284</v>
      </c>
      <c r="J65" s="216" t="s">
        <v>278</v>
      </c>
      <c r="K65" s="218">
        <v>46115</v>
      </c>
      <c r="L65" s="219">
        <f t="shared" si="9"/>
        <v>46160</v>
      </c>
      <c r="M65" s="219"/>
      <c r="N65" s="220">
        <f t="shared" si="10"/>
        <v>-46115</v>
      </c>
      <c r="O65" s="221">
        <v>45</v>
      </c>
      <c r="P65" s="220">
        <f t="shared" si="12"/>
        <v>46160</v>
      </c>
      <c r="Q65" s="223" t="s">
        <v>1197</v>
      </c>
      <c r="R65" s="223"/>
      <c r="S65" s="239">
        <f t="shared" si="11"/>
        <v>0</v>
      </c>
      <c r="T65" s="207" t="s">
        <v>1052</v>
      </c>
      <c r="U65" s="223"/>
    </row>
    <row r="66" spans="1:21" ht="15" customHeight="1" x14ac:dyDescent="0.25">
      <c r="A66" s="214" t="s">
        <v>1018</v>
      </c>
      <c r="B66" s="214" t="s">
        <v>1019</v>
      </c>
      <c r="C66" s="214" t="s">
        <v>253</v>
      </c>
      <c r="D66" s="214" t="s">
        <v>807</v>
      </c>
      <c r="E66" s="214" t="s">
        <v>279</v>
      </c>
      <c r="F66" s="214" t="s">
        <v>418</v>
      </c>
      <c r="G66" s="214" t="s">
        <v>1192</v>
      </c>
      <c r="H66" s="216" t="s">
        <v>278</v>
      </c>
      <c r="I66" s="217" t="s">
        <v>284</v>
      </c>
      <c r="J66" s="216" t="s">
        <v>278</v>
      </c>
      <c r="K66" s="218">
        <v>46115</v>
      </c>
      <c r="L66" s="219">
        <f>K66+O66</f>
        <v>46162</v>
      </c>
      <c r="M66" s="219">
        <v>46132</v>
      </c>
      <c r="N66" s="220">
        <f>(M66-K66)</f>
        <v>17</v>
      </c>
      <c r="O66" s="221">
        <v>47</v>
      </c>
      <c r="P66" s="220">
        <f t="shared" si="12"/>
        <v>30</v>
      </c>
      <c r="Q66" s="207" t="s">
        <v>1193</v>
      </c>
      <c r="R66" s="223"/>
      <c r="S66" s="239">
        <f t="shared" si="11"/>
        <v>-46132</v>
      </c>
      <c r="T66" s="207" t="s">
        <v>1030</v>
      </c>
      <c r="U66" s="223"/>
    </row>
    <row r="67" spans="1:21" ht="15" customHeight="1" x14ac:dyDescent="0.25">
      <c r="A67" s="214" t="s">
        <v>1018</v>
      </c>
      <c r="B67" s="214" t="s">
        <v>1019</v>
      </c>
      <c r="C67" s="214" t="s">
        <v>253</v>
      </c>
      <c r="D67" s="149" t="s">
        <v>811</v>
      </c>
      <c r="E67" s="214" t="s">
        <v>279</v>
      </c>
      <c r="F67" s="214" t="s">
        <v>415</v>
      </c>
      <c r="G67" s="214" t="s">
        <v>1190</v>
      </c>
      <c r="H67" s="216" t="s">
        <v>278</v>
      </c>
      <c r="I67" s="217" t="s">
        <v>284</v>
      </c>
      <c r="J67" s="216"/>
      <c r="K67" s="218">
        <v>46125</v>
      </c>
      <c r="L67" s="219">
        <f>K67+O67</f>
        <v>46170</v>
      </c>
      <c r="M67" s="219"/>
      <c r="N67" s="220">
        <f>(M67-K67)</f>
        <v>-46125</v>
      </c>
      <c r="O67" s="221">
        <v>45</v>
      </c>
      <c r="P67" s="220">
        <f t="shared" si="12"/>
        <v>46170</v>
      </c>
      <c r="Q67" s="223"/>
      <c r="R67" s="223"/>
      <c r="S67" s="239">
        <f>R67-M67</f>
        <v>0</v>
      </c>
      <c r="T67" s="207" t="s">
        <v>1052</v>
      </c>
      <c r="U67" s="223"/>
    </row>
    <row r="68" spans="1:21" ht="15" customHeight="1" x14ac:dyDescent="0.25">
      <c r="A68" s="214" t="s">
        <v>1018</v>
      </c>
      <c r="B68" s="214" t="s">
        <v>1150</v>
      </c>
      <c r="C68" s="214" t="s">
        <v>253</v>
      </c>
      <c r="D68" s="149" t="s">
        <v>897</v>
      </c>
      <c r="E68" s="214" t="s">
        <v>719</v>
      </c>
      <c r="F68" s="214" t="s">
        <v>1050</v>
      </c>
      <c r="G68" s="214" t="s">
        <v>1051</v>
      </c>
      <c r="H68" s="216" t="s">
        <v>278</v>
      </c>
      <c r="I68" s="217" t="s">
        <v>284</v>
      </c>
      <c r="J68" s="216"/>
      <c r="K68" s="218">
        <v>46125</v>
      </c>
      <c r="L68" s="219">
        <f t="shared" si="9"/>
        <v>46160</v>
      </c>
      <c r="M68" s="219"/>
      <c r="N68" s="220">
        <f t="shared" si="10"/>
        <v>-46125</v>
      </c>
      <c r="O68" s="221">
        <v>35</v>
      </c>
      <c r="P68" s="220">
        <f t="shared" si="12"/>
        <v>46160</v>
      </c>
      <c r="Q68" s="223"/>
      <c r="R68" s="223"/>
      <c r="S68" s="239">
        <f t="shared" si="11"/>
        <v>0</v>
      </c>
      <c r="T68" s="207" t="s">
        <v>1159</v>
      </c>
      <c r="U68" s="223"/>
    </row>
    <row r="69" spans="1:21" ht="15" customHeight="1" x14ac:dyDescent="0.25">
      <c r="A69" s="214" t="s">
        <v>1018</v>
      </c>
      <c r="B69" s="214" t="s">
        <v>1019</v>
      </c>
      <c r="C69" s="214" t="s">
        <v>253</v>
      </c>
      <c r="D69" s="149" t="s">
        <v>897</v>
      </c>
      <c r="E69" s="214" t="s">
        <v>719</v>
      </c>
      <c r="F69" s="214" t="s">
        <v>1069</v>
      </c>
      <c r="G69" s="214" t="s">
        <v>760</v>
      </c>
      <c r="H69" s="216" t="s">
        <v>278</v>
      </c>
      <c r="I69" s="217" t="s">
        <v>284</v>
      </c>
      <c r="J69" s="216" t="s">
        <v>278</v>
      </c>
      <c r="K69" s="218">
        <v>46126</v>
      </c>
      <c r="L69" s="219">
        <f t="shared" si="9"/>
        <v>46161</v>
      </c>
      <c r="M69" s="219">
        <v>46149</v>
      </c>
      <c r="N69" s="220">
        <f t="shared" si="10"/>
        <v>23</v>
      </c>
      <c r="O69" s="221">
        <v>35</v>
      </c>
      <c r="P69" s="220">
        <f t="shared" si="12"/>
        <v>12</v>
      </c>
      <c r="Q69" s="223" t="s">
        <v>1210</v>
      </c>
      <c r="R69" s="223"/>
      <c r="S69" s="239">
        <f t="shared" si="11"/>
        <v>-46149</v>
      </c>
      <c r="T69" s="225" t="s">
        <v>1159</v>
      </c>
      <c r="U69" s="223"/>
    </row>
    <row r="70" spans="1:21" ht="15" customHeight="1" x14ac:dyDescent="0.25">
      <c r="A70" s="214" t="s">
        <v>1018</v>
      </c>
      <c r="B70" s="214" t="s">
        <v>1150</v>
      </c>
      <c r="C70" s="214" t="s">
        <v>253</v>
      </c>
      <c r="D70" s="214" t="s">
        <v>821</v>
      </c>
      <c r="E70" s="214" t="s">
        <v>279</v>
      </c>
      <c r="F70" s="214" t="s">
        <v>1025</v>
      </c>
      <c r="G70" s="240" t="s">
        <v>178</v>
      </c>
      <c r="H70" s="216" t="s">
        <v>278</v>
      </c>
      <c r="I70" s="217" t="s">
        <v>284</v>
      </c>
      <c r="J70" s="216"/>
      <c r="K70" s="218">
        <v>46125</v>
      </c>
      <c r="L70" s="219">
        <f t="shared" si="9"/>
        <v>46167</v>
      </c>
      <c r="M70" s="219"/>
      <c r="N70" s="220">
        <f t="shared" si="10"/>
        <v>-46125</v>
      </c>
      <c r="O70" s="221">
        <v>42</v>
      </c>
      <c r="P70" s="220">
        <f t="shared" si="12"/>
        <v>46167</v>
      </c>
      <c r="Q70" s="223"/>
      <c r="R70" s="223"/>
      <c r="S70" s="242">
        <f t="shared" si="11"/>
        <v>0</v>
      </c>
      <c r="T70" s="207" t="s">
        <v>1052</v>
      </c>
      <c r="U70" s="223"/>
    </row>
    <row r="71" spans="1:21" ht="15" customHeight="1" x14ac:dyDescent="0.25">
      <c r="A71" s="214" t="s">
        <v>1018</v>
      </c>
      <c r="B71" s="214" t="s">
        <v>1019</v>
      </c>
      <c r="C71" s="214" t="s">
        <v>253</v>
      </c>
      <c r="D71" s="214" t="s">
        <v>821</v>
      </c>
      <c r="E71" s="214" t="s">
        <v>279</v>
      </c>
      <c r="F71" s="214" t="s">
        <v>1025</v>
      </c>
      <c r="G71" s="240" t="s">
        <v>549</v>
      </c>
      <c r="H71" s="216" t="s">
        <v>278</v>
      </c>
      <c r="I71" s="217" t="s">
        <v>284</v>
      </c>
      <c r="J71" s="216"/>
      <c r="K71" s="218">
        <v>46125</v>
      </c>
      <c r="L71" s="219">
        <f t="shared" si="9"/>
        <v>46167</v>
      </c>
      <c r="M71" s="219"/>
      <c r="N71" s="220">
        <f t="shared" si="10"/>
        <v>-46125</v>
      </c>
      <c r="O71" s="221">
        <v>42</v>
      </c>
      <c r="P71" s="220">
        <f t="shared" si="12"/>
        <v>46167</v>
      </c>
      <c r="Q71" s="223"/>
      <c r="R71" s="223"/>
      <c r="S71" s="242">
        <f t="shared" si="11"/>
        <v>0</v>
      </c>
      <c r="T71" s="207" t="s">
        <v>1052</v>
      </c>
      <c r="U71" s="223"/>
    </row>
    <row r="72" spans="1:21" ht="15" customHeight="1" x14ac:dyDescent="0.25">
      <c r="A72" s="214" t="s">
        <v>1018</v>
      </c>
      <c r="B72" s="214" t="s">
        <v>1019</v>
      </c>
      <c r="C72" s="214" t="s">
        <v>253</v>
      </c>
      <c r="D72" s="214" t="s">
        <v>821</v>
      </c>
      <c r="E72" s="214" t="s">
        <v>279</v>
      </c>
      <c r="F72" s="214" t="s">
        <v>1039</v>
      </c>
      <c r="G72" s="214" t="s">
        <v>1090</v>
      </c>
      <c r="H72" s="216" t="s">
        <v>278</v>
      </c>
      <c r="I72" s="217" t="s">
        <v>284</v>
      </c>
      <c r="J72" s="216" t="s">
        <v>278</v>
      </c>
      <c r="K72" s="218">
        <v>46125</v>
      </c>
      <c r="L72" s="219">
        <f t="shared" si="9"/>
        <v>46167</v>
      </c>
      <c r="M72" s="219">
        <v>46146</v>
      </c>
      <c r="N72" s="220">
        <f t="shared" si="10"/>
        <v>21</v>
      </c>
      <c r="O72" s="221">
        <v>42</v>
      </c>
      <c r="P72" s="220">
        <f t="shared" si="12"/>
        <v>21</v>
      </c>
      <c r="Q72" s="223" t="s">
        <v>1211</v>
      </c>
      <c r="R72" s="223"/>
      <c r="S72" s="239">
        <f t="shared" si="11"/>
        <v>-46146</v>
      </c>
      <c r="T72" s="207" t="s">
        <v>1052</v>
      </c>
      <c r="U72" s="223"/>
    </row>
    <row r="73" spans="1:21" ht="15" customHeight="1" x14ac:dyDescent="0.25">
      <c r="A73" s="214" t="s">
        <v>1018</v>
      </c>
      <c r="B73" s="214" t="s">
        <v>1019</v>
      </c>
      <c r="C73" s="214" t="s">
        <v>253</v>
      </c>
      <c r="D73" s="149" t="s">
        <v>808</v>
      </c>
      <c r="E73" s="214" t="s">
        <v>279</v>
      </c>
      <c r="F73" s="214" t="s">
        <v>1160</v>
      </c>
      <c r="G73" s="214" t="s">
        <v>1161</v>
      </c>
      <c r="H73" s="216" t="s">
        <v>278</v>
      </c>
      <c r="I73" s="217" t="s">
        <v>284</v>
      </c>
      <c r="J73" s="216" t="s">
        <v>278</v>
      </c>
      <c r="K73" s="218">
        <v>46132</v>
      </c>
      <c r="L73" s="219">
        <f t="shared" si="9"/>
        <v>46167</v>
      </c>
      <c r="M73" s="219">
        <v>46141</v>
      </c>
      <c r="N73" s="220">
        <f t="shared" si="10"/>
        <v>9</v>
      </c>
      <c r="O73" s="221">
        <v>35</v>
      </c>
      <c r="P73" s="220">
        <f t="shared" si="12"/>
        <v>26</v>
      </c>
      <c r="Q73" s="223" t="s">
        <v>1202</v>
      </c>
      <c r="R73" s="223"/>
      <c r="S73" s="239">
        <f t="shared" si="11"/>
        <v>-46141</v>
      </c>
      <c r="T73" s="207" t="s">
        <v>1030</v>
      </c>
      <c r="U73" s="223"/>
    </row>
    <row r="74" spans="1:21" ht="15" customHeight="1" x14ac:dyDescent="0.25">
      <c r="A74" s="214" t="s">
        <v>1018</v>
      </c>
      <c r="B74" s="214" t="s">
        <v>1019</v>
      </c>
      <c r="C74" s="214" t="s">
        <v>253</v>
      </c>
      <c r="D74" s="149" t="s">
        <v>808</v>
      </c>
      <c r="E74" s="214" t="s">
        <v>279</v>
      </c>
      <c r="F74" s="214" t="s">
        <v>1160</v>
      </c>
      <c r="G74" s="214" t="s">
        <v>1195</v>
      </c>
      <c r="H74" s="216" t="s">
        <v>278</v>
      </c>
      <c r="I74" s="217" t="s">
        <v>284</v>
      </c>
      <c r="J74" s="216" t="s">
        <v>278</v>
      </c>
      <c r="K74" s="218">
        <v>46132</v>
      </c>
      <c r="L74" s="219">
        <f>K74+O74</f>
        <v>46167</v>
      </c>
      <c r="M74" s="219">
        <v>46140</v>
      </c>
      <c r="N74" s="220">
        <f>(M74-K74)</f>
        <v>8</v>
      </c>
      <c r="O74" s="221">
        <v>35</v>
      </c>
      <c r="P74" s="220">
        <f t="shared" si="12"/>
        <v>27</v>
      </c>
      <c r="Q74" s="223" t="s">
        <v>1207</v>
      </c>
      <c r="R74" s="223"/>
      <c r="S74" s="239">
        <f>R74-M74</f>
        <v>-46140</v>
      </c>
      <c r="T74" s="207" t="s">
        <v>1030</v>
      </c>
      <c r="U74" s="223"/>
    </row>
    <row r="75" spans="1:21" ht="15" customHeight="1" x14ac:dyDescent="0.25">
      <c r="A75" s="214" t="s">
        <v>1018</v>
      </c>
      <c r="B75" s="214" t="s">
        <v>1150</v>
      </c>
      <c r="C75" s="214" t="s">
        <v>253</v>
      </c>
      <c r="D75" s="214" t="s">
        <v>762</v>
      </c>
      <c r="E75" s="214" t="s">
        <v>571</v>
      </c>
      <c r="F75" s="214" t="s">
        <v>524</v>
      </c>
      <c r="G75" s="214" t="s">
        <v>903</v>
      </c>
      <c r="H75" s="217" t="s">
        <v>278</v>
      </c>
      <c r="I75" s="217" t="s">
        <v>284</v>
      </c>
      <c r="J75" s="216"/>
      <c r="K75" s="218">
        <v>46134</v>
      </c>
      <c r="L75" s="219">
        <f t="shared" si="9"/>
        <v>46169</v>
      </c>
      <c r="M75" s="219"/>
      <c r="N75" s="220">
        <f t="shared" si="10"/>
        <v>-46134</v>
      </c>
      <c r="O75" s="221">
        <v>35</v>
      </c>
      <c r="P75" s="220">
        <f t="shared" si="12"/>
        <v>46169</v>
      </c>
      <c r="Q75" s="223"/>
      <c r="R75" s="223"/>
      <c r="S75" s="239">
        <f t="shared" si="11"/>
        <v>0</v>
      </c>
      <c r="T75" s="207" t="s">
        <v>1030</v>
      </c>
      <c r="U75" s="223"/>
    </row>
    <row r="76" spans="1:21" ht="15" customHeight="1" x14ac:dyDescent="0.25">
      <c r="A76" s="214" t="s">
        <v>1018</v>
      </c>
      <c r="B76" s="214" t="s">
        <v>1150</v>
      </c>
      <c r="C76" s="214" t="s">
        <v>253</v>
      </c>
      <c r="D76" s="214" t="s">
        <v>762</v>
      </c>
      <c r="E76" s="214" t="s">
        <v>571</v>
      </c>
      <c r="F76" s="214" t="s">
        <v>524</v>
      </c>
      <c r="G76" s="214" t="s">
        <v>903</v>
      </c>
      <c r="H76" s="217" t="s">
        <v>278</v>
      </c>
      <c r="I76" s="217" t="s">
        <v>284</v>
      </c>
      <c r="J76" s="216"/>
      <c r="K76" s="218">
        <v>46134</v>
      </c>
      <c r="L76" s="219">
        <f t="shared" si="9"/>
        <v>46169</v>
      </c>
      <c r="M76" s="219"/>
      <c r="N76" s="220">
        <f t="shared" si="10"/>
        <v>-46134</v>
      </c>
      <c r="O76" s="221">
        <v>35</v>
      </c>
      <c r="P76" s="220">
        <f t="shared" si="12"/>
        <v>46169</v>
      </c>
      <c r="Q76" s="223"/>
      <c r="R76" s="223"/>
      <c r="S76" s="239">
        <f t="shared" si="11"/>
        <v>0</v>
      </c>
      <c r="T76" s="207" t="s">
        <v>1030</v>
      </c>
      <c r="U76" s="223"/>
    </row>
    <row r="77" spans="1:21" ht="15" customHeight="1" x14ac:dyDescent="0.25">
      <c r="A77" s="214" t="s">
        <v>1023</v>
      </c>
      <c r="B77" s="214" t="s">
        <v>1019</v>
      </c>
      <c r="C77" s="214" t="s">
        <v>253</v>
      </c>
      <c r="D77" s="149" t="s">
        <v>808</v>
      </c>
      <c r="E77" s="214" t="s">
        <v>279</v>
      </c>
      <c r="F77" s="214" t="s">
        <v>1040</v>
      </c>
      <c r="G77" s="214" t="s">
        <v>184</v>
      </c>
      <c r="H77" s="217" t="s">
        <v>278</v>
      </c>
      <c r="I77" s="217" t="s">
        <v>288</v>
      </c>
      <c r="J77" s="216" t="s">
        <v>278</v>
      </c>
      <c r="K77" s="218">
        <v>46136</v>
      </c>
      <c r="L77" s="219">
        <f t="shared" si="9"/>
        <v>46178</v>
      </c>
      <c r="M77" s="219">
        <v>46148</v>
      </c>
      <c r="N77" s="220">
        <f t="shared" si="10"/>
        <v>12</v>
      </c>
      <c r="O77" s="221">
        <v>42</v>
      </c>
      <c r="P77" s="220">
        <f t="shared" si="12"/>
        <v>30</v>
      </c>
      <c r="Q77" s="223" t="s">
        <v>1204</v>
      </c>
      <c r="R77" s="223"/>
      <c r="S77" s="239">
        <f t="shared" si="11"/>
        <v>-46148</v>
      </c>
      <c r="T77" s="207" t="s">
        <v>1030</v>
      </c>
      <c r="U77" s="223"/>
    </row>
    <row r="78" spans="1:21" ht="15" customHeight="1" x14ac:dyDescent="0.25">
      <c r="A78" s="214" t="s">
        <v>1023</v>
      </c>
      <c r="B78" s="214" t="s">
        <v>1019</v>
      </c>
      <c r="C78" s="214" t="s">
        <v>253</v>
      </c>
      <c r="D78" s="149" t="s">
        <v>808</v>
      </c>
      <c r="E78" s="214" t="s">
        <v>279</v>
      </c>
      <c r="F78" s="214" t="s">
        <v>1040</v>
      </c>
      <c r="G78" s="214" t="s">
        <v>184</v>
      </c>
      <c r="H78" s="217" t="s">
        <v>278</v>
      </c>
      <c r="I78" s="217" t="s">
        <v>288</v>
      </c>
      <c r="J78" s="216" t="s">
        <v>278</v>
      </c>
      <c r="K78" s="218">
        <v>46136</v>
      </c>
      <c r="L78" s="219">
        <f t="shared" si="9"/>
        <v>46178</v>
      </c>
      <c r="M78" s="219">
        <v>46148</v>
      </c>
      <c r="N78" s="220">
        <f t="shared" si="10"/>
        <v>12</v>
      </c>
      <c r="O78" s="221">
        <v>42</v>
      </c>
      <c r="P78" s="220">
        <f t="shared" si="12"/>
        <v>30</v>
      </c>
      <c r="Q78" s="223" t="s">
        <v>1200</v>
      </c>
      <c r="R78" s="223"/>
      <c r="S78" s="239">
        <f t="shared" si="11"/>
        <v>-46148</v>
      </c>
      <c r="T78" s="207" t="s">
        <v>1030</v>
      </c>
      <c r="U78" s="223"/>
    </row>
    <row r="79" spans="1:21" ht="15" customHeight="1" x14ac:dyDescent="0.25">
      <c r="A79" s="214" t="s">
        <v>1023</v>
      </c>
      <c r="B79" s="214" t="s">
        <v>1019</v>
      </c>
      <c r="C79" s="214" t="s">
        <v>253</v>
      </c>
      <c r="D79" s="149" t="s">
        <v>808</v>
      </c>
      <c r="E79" s="214" t="s">
        <v>279</v>
      </c>
      <c r="F79" s="214" t="s">
        <v>1040</v>
      </c>
      <c r="G79" s="214" t="s">
        <v>184</v>
      </c>
      <c r="H79" s="217" t="s">
        <v>278</v>
      </c>
      <c r="I79" s="217" t="s">
        <v>288</v>
      </c>
      <c r="J79" s="216" t="s">
        <v>284</v>
      </c>
      <c r="K79" s="218">
        <v>46136</v>
      </c>
      <c r="L79" s="219">
        <f t="shared" si="9"/>
        <v>46178</v>
      </c>
      <c r="M79" s="219">
        <v>46146</v>
      </c>
      <c r="N79" s="220">
        <f t="shared" si="10"/>
        <v>10</v>
      </c>
      <c r="O79" s="221">
        <v>42</v>
      </c>
      <c r="P79" s="220">
        <f t="shared" si="12"/>
        <v>32</v>
      </c>
      <c r="Q79" s="223" t="s">
        <v>1203</v>
      </c>
      <c r="R79" s="223"/>
      <c r="S79" s="239">
        <f t="shared" si="11"/>
        <v>-46146</v>
      </c>
      <c r="T79" s="207" t="s">
        <v>1030</v>
      </c>
      <c r="U79" s="223"/>
    </row>
    <row r="80" spans="1:21" ht="15" customHeight="1" x14ac:dyDescent="0.25">
      <c r="A80" s="214" t="s">
        <v>1023</v>
      </c>
      <c r="B80" s="214" t="s">
        <v>1150</v>
      </c>
      <c r="C80" s="214" t="s">
        <v>253</v>
      </c>
      <c r="D80" s="149" t="s">
        <v>808</v>
      </c>
      <c r="E80" s="214" t="s">
        <v>279</v>
      </c>
      <c r="F80" s="214" t="s">
        <v>1040</v>
      </c>
      <c r="G80" s="214" t="s">
        <v>184</v>
      </c>
      <c r="H80" s="217" t="s">
        <v>278</v>
      </c>
      <c r="I80" s="217" t="s">
        <v>288</v>
      </c>
      <c r="J80" s="216"/>
      <c r="K80" s="218">
        <v>46136</v>
      </c>
      <c r="L80" s="219">
        <f t="shared" si="9"/>
        <v>46178</v>
      </c>
      <c r="M80" s="219"/>
      <c r="N80" s="220">
        <f t="shared" si="10"/>
        <v>-46136</v>
      </c>
      <c r="O80" s="221">
        <v>42</v>
      </c>
      <c r="P80" s="220">
        <f t="shared" si="12"/>
        <v>46178</v>
      </c>
      <c r="Q80" s="223"/>
      <c r="R80" s="223"/>
      <c r="S80" s="239">
        <f t="shared" si="11"/>
        <v>0</v>
      </c>
      <c r="T80" s="207" t="s">
        <v>1030</v>
      </c>
      <c r="U80" s="223"/>
    </row>
    <row r="81" spans="1:21" ht="15" customHeight="1" x14ac:dyDescent="0.25">
      <c r="A81" s="214" t="s">
        <v>1023</v>
      </c>
      <c r="B81" s="214" t="s">
        <v>1150</v>
      </c>
      <c r="C81" s="214" t="s">
        <v>253</v>
      </c>
      <c r="D81" s="149" t="s">
        <v>808</v>
      </c>
      <c r="E81" s="214" t="s">
        <v>279</v>
      </c>
      <c r="F81" s="214" t="s">
        <v>1040</v>
      </c>
      <c r="G81" s="214" t="s">
        <v>184</v>
      </c>
      <c r="H81" s="217" t="s">
        <v>278</v>
      </c>
      <c r="I81" s="217" t="s">
        <v>288</v>
      </c>
      <c r="J81" s="216"/>
      <c r="K81" s="218">
        <v>46136</v>
      </c>
      <c r="L81" s="219">
        <f t="shared" si="9"/>
        <v>46178</v>
      </c>
      <c r="M81" s="219"/>
      <c r="N81" s="220">
        <f t="shared" si="10"/>
        <v>-46136</v>
      </c>
      <c r="O81" s="221">
        <v>42</v>
      </c>
      <c r="P81" s="220">
        <f t="shared" si="12"/>
        <v>46178</v>
      </c>
      <c r="Q81" s="223"/>
      <c r="R81" s="223"/>
      <c r="S81" s="239">
        <f t="shared" si="11"/>
        <v>0</v>
      </c>
      <c r="T81" s="207" t="s">
        <v>1030</v>
      </c>
      <c r="U81" s="223"/>
    </row>
    <row r="82" spans="1:21" ht="15" customHeight="1" x14ac:dyDescent="0.25">
      <c r="A82" s="214" t="s">
        <v>1023</v>
      </c>
      <c r="B82" s="214" t="s">
        <v>1150</v>
      </c>
      <c r="C82" s="214" t="s">
        <v>253</v>
      </c>
      <c r="D82" s="149" t="s">
        <v>808</v>
      </c>
      <c r="E82" s="214" t="s">
        <v>279</v>
      </c>
      <c r="F82" s="214" t="s">
        <v>1040</v>
      </c>
      <c r="G82" s="214" t="s">
        <v>1167</v>
      </c>
      <c r="H82" s="217" t="s">
        <v>278</v>
      </c>
      <c r="I82" s="217" t="s">
        <v>288</v>
      </c>
      <c r="J82" s="216"/>
      <c r="K82" s="218">
        <v>46136</v>
      </c>
      <c r="L82" s="219">
        <f t="shared" si="9"/>
        <v>46178</v>
      </c>
      <c r="M82" s="219"/>
      <c r="N82" s="220">
        <f t="shared" si="10"/>
        <v>-46136</v>
      </c>
      <c r="O82" s="221">
        <v>42</v>
      </c>
      <c r="P82" s="220">
        <f t="shared" si="12"/>
        <v>46178</v>
      </c>
      <c r="Q82" s="223" t="s">
        <v>1201</v>
      </c>
      <c r="R82" s="223"/>
      <c r="S82" s="239">
        <f t="shared" si="11"/>
        <v>0</v>
      </c>
      <c r="T82" s="207" t="s">
        <v>1030</v>
      </c>
      <c r="U82" s="223"/>
    </row>
    <row r="83" spans="1:21" ht="15" customHeight="1" x14ac:dyDescent="0.25">
      <c r="A83" s="214" t="s">
        <v>1023</v>
      </c>
      <c r="B83" s="214" t="s">
        <v>1019</v>
      </c>
      <c r="C83" s="214" t="s">
        <v>253</v>
      </c>
      <c r="D83" s="149" t="s">
        <v>808</v>
      </c>
      <c r="E83" s="214" t="s">
        <v>279</v>
      </c>
      <c r="F83" s="214" t="s">
        <v>1040</v>
      </c>
      <c r="G83" s="214" t="s">
        <v>1091</v>
      </c>
      <c r="H83" s="217" t="s">
        <v>278</v>
      </c>
      <c r="I83" s="217" t="s">
        <v>288</v>
      </c>
      <c r="J83" s="216" t="s">
        <v>278</v>
      </c>
      <c r="K83" s="218">
        <v>46136</v>
      </c>
      <c r="L83" s="219">
        <f t="shared" si="9"/>
        <v>46178</v>
      </c>
      <c r="M83" s="219">
        <v>46150</v>
      </c>
      <c r="N83" s="220">
        <f t="shared" si="10"/>
        <v>14</v>
      </c>
      <c r="O83" s="221">
        <v>42</v>
      </c>
      <c r="P83" s="220">
        <f t="shared" si="12"/>
        <v>28</v>
      </c>
      <c r="Q83" s="223" t="s">
        <v>1212</v>
      </c>
      <c r="R83" s="223"/>
      <c r="S83" s="239">
        <f t="shared" si="11"/>
        <v>-46150</v>
      </c>
      <c r="T83" s="207" t="s">
        <v>1030</v>
      </c>
      <c r="U83" s="223"/>
    </row>
    <row r="84" spans="1:21" ht="15" customHeight="1" x14ac:dyDescent="0.25">
      <c r="A84" s="214" t="s">
        <v>1023</v>
      </c>
      <c r="B84" s="214" t="s">
        <v>1150</v>
      </c>
      <c r="C84" s="214" t="s">
        <v>253</v>
      </c>
      <c r="D84" s="149" t="s">
        <v>808</v>
      </c>
      <c r="E84" s="214" t="s">
        <v>279</v>
      </c>
      <c r="F84" s="214" t="s">
        <v>1040</v>
      </c>
      <c r="G84" s="214" t="s">
        <v>1199</v>
      </c>
      <c r="H84" s="217" t="s">
        <v>278</v>
      </c>
      <c r="I84" s="217" t="s">
        <v>288</v>
      </c>
      <c r="J84" s="216" t="s">
        <v>284</v>
      </c>
      <c r="K84" s="218">
        <v>46136</v>
      </c>
      <c r="L84" s="219">
        <f t="shared" si="9"/>
        <v>46178</v>
      </c>
      <c r="M84" s="219">
        <v>46146</v>
      </c>
      <c r="N84" s="220">
        <f t="shared" si="10"/>
        <v>10</v>
      </c>
      <c r="O84" s="221">
        <v>42</v>
      </c>
      <c r="P84" s="220">
        <f t="shared" si="12"/>
        <v>32</v>
      </c>
      <c r="Q84" s="223" t="s">
        <v>1209</v>
      </c>
      <c r="R84" s="223"/>
      <c r="S84" s="239">
        <f t="shared" si="11"/>
        <v>-46146</v>
      </c>
      <c r="T84" s="207" t="s">
        <v>1030</v>
      </c>
      <c r="U84" s="223"/>
    </row>
    <row r="85" spans="1:21" ht="15" customHeight="1" x14ac:dyDescent="0.25">
      <c r="A85" s="214" t="s">
        <v>1018</v>
      </c>
      <c r="B85" s="214" t="s">
        <v>1019</v>
      </c>
      <c r="C85" s="214" t="s">
        <v>253</v>
      </c>
      <c r="D85" s="149" t="s">
        <v>808</v>
      </c>
      <c r="E85" s="214" t="s">
        <v>279</v>
      </c>
      <c r="F85" s="214" t="s">
        <v>1160</v>
      </c>
      <c r="G85" s="214" t="s">
        <v>1161</v>
      </c>
      <c r="H85" s="217" t="s">
        <v>278</v>
      </c>
      <c r="I85" s="217" t="s">
        <v>288</v>
      </c>
      <c r="J85" s="216" t="s">
        <v>278</v>
      </c>
      <c r="K85" s="218">
        <v>46136</v>
      </c>
      <c r="L85" s="219">
        <f>K85+O85</f>
        <v>46171</v>
      </c>
      <c r="M85" s="219">
        <v>46149</v>
      </c>
      <c r="N85" s="220">
        <f>(M85-K85)</f>
        <v>13</v>
      </c>
      <c r="O85" s="221">
        <v>35</v>
      </c>
      <c r="P85" s="220">
        <f t="shared" si="12"/>
        <v>22</v>
      </c>
      <c r="Q85" s="223" t="s">
        <v>1208</v>
      </c>
      <c r="R85" s="223"/>
      <c r="S85" s="239">
        <f>R85-M85</f>
        <v>-46149</v>
      </c>
      <c r="T85" s="207" t="s">
        <v>1030</v>
      </c>
      <c r="U85" s="223"/>
    </row>
    <row r="86" spans="1:21" ht="15" customHeight="1" x14ac:dyDescent="0.25">
      <c r="A86" s="214" t="s">
        <v>1018</v>
      </c>
      <c r="B86" s="214" t="s">
        <v>1150</v>
      </c>
      <c r="C86" s="214" t="s">
        <v>253</v>
      </c>
      <c r="D86" s="149" t="s">
        <v>808</v>
      </c>
      <c r="E86" s="214" t="s">
        <v>279</v>
      </c>
      <c r="F86" s="214" t="s">
        <v>233</v>
      </c>
      <c r="G86" s="214" t="s">
        <v>211</v>
      </c>
      <c r="H86" s="217" t="s">
        <v>278</v>
      </c>
      <c r="I86" s="217" t="s">
        <v>288</v>
      </c>
      <c r="J86" s="216"/>
      <c r="K86" s="218">
        <v>46139</v>
      </c>
      <c r="L86" s="219">
        <f t="shared" si="9"/>
        <v>46181</v>
      </c>
      <c r="M86" s="219"/>
      <c r="N86" s="220">
        <f t="shared" si="10"/>
        <v>-46139</v>
      </c>
      <c r="O86" s="221">
        <v>42</v>
      </c>
      <c r="P86" s="220">
        <f t="shared" si="12"/>
        <v>46181</v>
      </c>
      <c r="Q86" s="223"/>
      <c r="R86" s="223"/>
      <c r="S86" s="239">
        <f>R86-M86</f>
        <v>0</v>
      </c>
      <c r="T86" s="207" t="s">
        <v>1052</v>
      </c>
      <c r="U86" s="223"/>
    </row>
    <row r="87" spans="1:21" ht="15" customHeight="1" x14ac:dyDescent="0.25">
      <c r="A87" s="214"/>
      <c r="B87" s="214"/>
      <c r="C87" s="214"/>
      <c r="D87" s="214"/>
      <c r="E87" s="214"/>
      <c r="F87" s="214"/>
      <c r="G87" s="214"/>
      <c r="H87" s="216"/>
      <c r="I87" s="217"/>
      <c r="J87" s="216"/>
      <c r="K87" s="218"/>
      <c r="L87" s="219">
        <f t="shared" si="9"/>
        <v>0</v>
      </c>
      <c r="M87" s="219"/>
      <c r="N87" s="220">
        <f t="shared" si="10"/>
        <v>0</v>
      </c>
      <c r="O87" s="221"/>
      <c r="P87" s="220">
        <v>0</v>
      </c>
      <c r="Q87" s="223"/>
      <c r="R87" s="223"/>
      <c r="S87" s="239">
        <f>R87-M87</f>
        <v>0</v>
      </c>
      <c r="T87" s="207"/>
      <c r="U87" s="223"/>
    </row>
    <row r="88" spans="1:21" ht="15" customHeight="1" x14ac:dyDescent="0.25">
      <c r="A88" s="214"/>
      <c r="B88" s="214"/>
      <c r="C88" s="214"/>
      <c r="D88" s="214"/>
      <c r="E88" s="214"/>
      <c r="F88" s="214"/>
      <c r="G88" s="214"/>
      <c r="H88" s="216"/>
      <c r="I88" s="217"/>
      <c r="J88" s="216"/>
      <c r="K88" s="218"/>
      <c r="L88" s="219">
        <f t="shared" si="9"/>
        <v>0</v>
      </c>
      <c r="M88" s="219"/>
      <c r="N88" s="220">
        <f t="shared" si="10"/>
        <v>0</v>
      </c>
      <c r="O88" s="221"/>
      <c r="P88" s="220">
        <v>0</v>
      </c>
      <c r="Q88" s="223"/>
      <c r="R88" s="223"/>
      <c r="S88" s="239">
        <f>R88-M88</f>
        <v>0</v>
      </c>
      <c r="T88" s="207"/>
      <c r="U88" s="223"/>
    </row>
    <row r="89" spans="1:21" ht="15" customHeight="1" x14ac:dyDescent="0.25">
      <c r="A89" s="214"/>
      <c r="B89" s="214"/>
      <c r="C89" s="214"/>
      <c r="D89" s="214"/>
      <c r="E89" s="214"/>
      <c r="F89" s="214"/>
      <c r="G89" s="214"/>
      <c r="H89" s="216"/>
      <c r="I89" s="217"/>
      <c r="J89" s="216"/>
      <c r="K89" s="218"/>
      <c r="L89" s="219">
        <f t="shared" si="9"/>
        <v>0</v>
      </c>
      <c r="M89" s="219"/>
      <c r="N89" s="220">
        <f t="shared" si="10"/>
        <v>0</v>
      </c>
      <c r="O89" s="221"/>
      <c r="P89" s="220">
        <v>0</v>
      </c>
      <c r="Q89" s="223"/>
      <c r="R89" s="223"/>
      <c r="S89" s="239">
        <f t="shared" si="11"/>
        <v>0</v>
      </c>
      <c r="T89" s="207"/>
      <c r="U89" s="223"/>
    </row>
    <row r="90" spans="1:21" ht="15" customHeight="1" x14ac:dyDescent="0.25">
      <c r="A90" s="214"/>
      <c r="B90" s="214"/>
      <c r="C90" s="214"/>
      <c r="D90" s="214"/>
      <c r="E90" s="214"/>
      <c r="F90" s="214"/>
      <c r="G90" s="214"/>
      <c r="H90" s="216"/>
      <c r="I90" s="217"/>
      <c r="J90" s="216"/>
      <c r="K90" s="218"/>
      <c r="L90" s="219">
        <f t="shared" si="9"/>
        <v>0</v>
      </c>
      <c r="M90" s="219"/>
      <c r="N90" s="220">
        <f t="shared" si="10"/>
        <v>0</v>
      </c>
      <c r="O90" s="221"/>
      <c r="P90" s="220">
        <v>0</v>
      </c>
      <c r="Q90" s="223"/>
      <c r="R90" s="223"/>
      <c r="S90" s="239">
        <f t="shared" si="11"/>
        <v>0</v>
      </c>
      <c r="T90" s="207"/>
      <c r="U90" s="223"/>
    </row>
    <row r="91" spans="1:21" ht="15" customHeight="1" x14ac:dyDescent="0.25">
      <c r="A91" s="214"/>
      <c r="B91" s="214"/>
      <c r="C91" s="214"/>
      <c r="D91" s="214"/>
      <c r="E91" s="214"/>
      <c r="F91" s="214"/>
      <c r="G91" s="214"/>
      <c r="H91" s="216"/>
      <c r="I91" s="217"/>
      <c r="J91" s="216"/>
      <c r="K91" s="218"/>
      <c r="L91" s="219">
        <f t="shared" si="9"/>
        <v>0</v>
      </c>
      <c r="M91" s="219"/>
      <c r="N91" s="220">
        <f t="shared" si="10"/>
        <v>0</v>
      </c>
      <c r="O91" s="221"/>
      <c r="P91" s="220">
        <v>0</v>
      </c>
      <c r="Q91" s="223"/>
      <c r="R91" s="223"/>
      <c r="S91" s="239">
        <f t="shared" si="11"/>
        <v>0</v>
      </c>
      <c r="T91" s="207"/>
      <c r="U91" s="223"/>
    </row>
    <row r="92" spans="1:21" ht="15" customHeight="1" x14ac:dyDescent="0.25">
      <c r="A92" s="214"/>
      <c r="B92" s="214"/>
      <c r="C92" s="214"/>
      <c r="D92" s="214"/>
      <c r="E92" s="214"/>
      <c r="F92" s="214"/>
      <c r="G92" s="214"/>
      <c r="H92" s="216"/>
      <c r="I92" s="217"/>
      <c r="J92" s="216"/>
      <c r="K92" s="218"/>
      <c r="L92" s="219">
        <f t="shared" si="9"/>
        <v>0</v>
      </c>
      <c r="M92" s="219"/>
      <c r="N92" s="220">
        <f t="shared" si="10"/>
        <v>0</v>
      </c>
      <c r="O92" s="221"/>
      <c r="P92" s="220">
        <v>0</v>
      </c>
      <c r="Q92" s="223"/>
      <c r="R92" s="223"/>
      <c r="S92" s="239">
        <f t="shared" si="11"/>
        <v>0</v>
      </c>
      <c r="T92" s="207"/>
      <c r="U92" s="223"/>
    </row>
    <row r="93" spans="1:21" ht="15" customHeight="1" x14ac:dyDescent="0.25">
      <c r="A93" s="214"/>
      <c r="B93" s="214"/>
      <c r="C93" s="214"/>
      <c r="D93" s="214"/>
      <c r="E93" s="214"/>
      <c r="F93" s="214"/>
      <c r="G93" s="214"/>
      <c r="H93" s="216"/>
      <c r="I93" s="217"/>
      <c r="J93" s="216"/>
      <c r="K93" s="218"/>
      <c r="L93" s="219">
        <f t="shared" si="9"/>
        <v>0</v>
      </c>
      <c r="M93" s="219"/>
      <c r="N93" s="220">
        <f t="shared" si="10"/>
        <v>0</v>
      </c>
      <c r="O93" s="221"/>
      <c r="P93" s="220">
        <v>0</v>
      </c>
      <c r="Q93" s="223"/>
      <c r="R93" s="223"/>
      <c r="S93" s="239">
        <f t="shared" si="11"/>
        <v>0</v>
      </c>
      <c r="T93" s="207"/>
      <c r="U93" s="223"/>
    </row>
    <row r="94" spans="1:21" ht="15" customHeight="1" x14ac:dyDescent="0.25">
      <c r="A94" s="214"/>
      <c r="B94" s="214"/>
      <c r="C94" s="214"/>
      <c r="D94" s="214"/>
      <c r="E94" s="214"/>
      <c r="F94" s="214"/>
      <c r="G94" s="214"/>
      <c r="H94" s="216"/>
      <c r="I94" s="217"/>
      <c r="J94" s="216"/>
      <c r="K94" s="218"/>
      <c r="L94" s="219">
        <f t="shared" si="9"/>
        <v>0</v>
      </c>
      <c r="M94" s="219"/>
      <c r="N94" s="220">
        <f t="shared" si="10"/>
        <v>0</v>
      </c>
      <c r="O94" s="221"/>
      <c r="P94" s="220">
        <v>0</v>
      </c>
      <c r="Q94" s="223"/>
      <c r="R94" s="223"/>
      <c r="S94" s="239">
        <f t="shared" si="11"/>
        <v>0</v>
      </c>
      <c r="T94" s="207"/>
      <c r="U94" s="223"/>
    </row>
    <row r="95" spans="1:21" ht="15" customHeight="1" x14ac:dyDescent="0.25">
      <c r="A95" s="214"/>
      <c r="B95" s="214"/>
      <c r="C95" s="214"/>
      <c r="D95" s="214"/>
      <c r="E95" s="214"/>
      <c r="F95" s="214"/>
      <c r="G95" s="214"/>
      <c r="H95" s="216"/>
      <c r="I95" s="217"/>
      <c r="J95" s="216"/>
      <c r="K95" s="218"/>
      <c r="L95" s="219">
        <f t="shared" si="9"/>
        <v>0</v>
      </c>
      <c r="M95" s="219"/>
      <c r="N95" s="220">
        <f t="shared" si="10"/>
        <v>0</v>
      </c>
      <c r="O95" s="221"/>
      <c r="P95" s="220">
        <v>0</v>
      </c>
      <c r="Q95" s="223"/>
      <c r="R95" s="223"/>
      <c r="S95" s="239">
        <f t="shared" si="11"/>
        <v>0</v>
      </c>
      <c r="T95" s="207"/>
      <c r="U95" s="223"/>
    </row>
    <row r="96" spans="1:21" ht="15" customHeight="1" x14ac:dyDescent="0.25">
      <c r="A96" s="214"/>
      <c r="B96" s="214"/>
      <c r="C96" s="214"/>
      <c r="D96" s="214"/>
      <c r="E96" s="214"/>
      <c r="F96" s="214"/>
      <c r="G96" s="214"/>
      <c r="H96" s="216"/>
      <c r="I96" s="217"/>
      <c r="J96" s="216"/>
      <c r="K96" s="218"/>
      <c r="L96" s="219">
        <f t="shared" si="9"/>
        <v>0</v>
      </c>
      <c r="M96" s="219"/>
      <c r="N96" s="220">
        <f t="shared" si="10"/>
        <v>0</v>
      </c>
      <c r="O96" s="221"/>
      <c r="P96" s="220">
        <v>0</v>
      </c>
      <c r="Q96" s="223"/>
      <c r="R96" s="223"/>
      <c r="S96" s="239">
        <f t="shared" si="11"/>
        <v>0</v>
      </c>
      <c r="T96" s="207"/>
      <c r="U96" s="223"/>
    </row>
    <row r="97" spans="1:21" ht="15" customHeight="1" x14ac:dyDescent="0.25">
      <c r="A97" s="214"/>
      <c r="B97" s="214"/>
      <c r="C97" s="214"/>
      <c r="D97" s="214"/>
      <c r="E97" s="214"/>
      <c r="F97" s="214"/>
      <c r="G97" s="214"/>
      <c r="H97" s="216"/>
      <c r="I97" s="217"/>
      <c r="J97" s="216"/>
      <c r="K97" s="218"/>
      <c r="L97" s="219">
        <f t="shared" si="9"/>
        <v>0</v>
      </c>
      <c r="M97" s="219"/>
      <c r="N97" s="220">
        <f t="shared" si="10"/>
        <v>0</v>
      </c>
      <c r="O97" s="221"/>
      <c r="P97" s="220">
        <v>0</v>
      </c>
      <c r="Q97" s="223"/>
      <c r="R97" s="223"/>
      <c r="S97" s="239">
        <f t="shared" si="11"/>
        <v>0</v>
      </c>
      <c r="T97" s="207"/>
      <c r="U97" s="223"/>
    </row>
    <row r="98" spans="1:21" ht="15" customHeight="1" x14ac:dyDescent="0.25">
      <c r="A98" s="214"/>
      <c r="B98" s="214"/>
      <c r="C98" s="214"/>
      <c r="D98" s="214"/>
      <c r="E98" s="214"/>
      <c r="F98" s="214"/>
      <c r="G98" s="214"/>
      <c r="H98" s="216"/>
      <c r="I98" s="217"/>
      <c r="J98" s="216"/>
      <c r="K98" s="218"/>
      <c r="L98" s="219">
        <f t="shared" si="9"/>
        <v>0</v>
      </c>
      <c r="M98" s="219"/>
      <c r="N98" s="220">
        <f t="shared" si="10"/>
        <v>0</v>
      </c>
      <c r="O98" s="221"/>
      <c r="P98" s="220">
        <v>0</v>
      </c>
      <c r="Q98" s="223"/>
      <c r="R98" s="223"/>
      <c r="S98" s="239">
        <f t="shared" si="11"/>
        <v>0</v>
      </c>
      <c r="T98" s="207"/>
      <c r="U98" s="223"/>
    </row>
    <row r="99" spans="1:21" ht="15" customHeight="1" x14ac:dyDescent="0.25">
      <c r="A99" s="214"/>
      <c r="B99" s="214"/>
      <c r="C99" s="214"/>
      <c r="D99" s="214"/>
      <c r="E99" s="214"/>
      <c r="F99" s="214"/>
      <c r="G99" s="214"/>
      <c r="H99" s="216"/>
      <c r="I99" s="217"/>
      <c r="J99" s="216"/>
      <c r="K99" s="218"/>
      <c r="L99" s="219">
        <f t="shared" si="9"/>
        <v>0</v>
      </c>
      <c r="M99" s="219"/>
      <c r="N99" s="220">
        <f t="shared" si="10"/>
        <v>0</v>
      </c>
      <c r="O99" s="221"/>
      <c r="P99" s="220">
        <v>0</v>
      </c>
      <c r="Q99" s="223"/>
      <c r="R99" s="223"/>
      <c r="S99" s="239">
        <f t="shared" si="11"/>
        <v>0</v>
      </c>
      <c r="T99" s="207"/>
      <c r="U99" s="223"/>
    </row>
    <row r="100" spans="1:21" ht="15" customHeight="1" x14ac:dyDescent="0.25">
      <c r="A100" s="214"/>
      <c r="B100" s="214"/>
      <c r="C100" s="214"/>
      <c r="D100" s="214"/>
      <c r="E100" s="214"/>
      <c r="F100" s="214"/>
      <c r="G100" s="214"/>
      <c r="H100" s="216"/>
      <c r="I100" s="217"/>
      <c r="J100" s="216"/>
      <c r="K100" s="218"/>
      <c r="L100" s="219">
        <f t="shared" si="9"/>
        <v>0</v>
      </c>
      <c r="M100" s="219"/>
      <c r="N100" s="220">
        <f t="shared" si="10"/>
        <v>0</v>
      </c>
      <c r="O100" s="221"/>
      <c r="P100" s="220">
        <v>0</v>
      </c>
      <c r="Q100" s="223"/>
      <c r="R100" s="223"/>
      <c r="S100" s="239">
        <f t="shared" si="11"/>
        <v>0</v>
      </c>
      <c r="T100" s="207"/>
      <c r="U100" s="223"/>
    </row>
    <row r="101" spans="1:21" ht="15" customHeight="1" x14ac:dyDescent="0.25">
      <c r="A101" s="214"/>
      <c r="B101" s="214"/>
      <c r="C101" s="214"/>
      <c r="D101" s="214"/>
      <c r="E101" s="214"/>
      <c r="F101" s="214"/>
      <c r="G101" s="214"/>
      <c r="H101" s="216"/>
      <c r="I101" s="217"/>
      <c r="J101" s="216"/>
      <c r="K101" s="218"/>
      <c r="L101" s="219">
        <f t="shared" si="9"/>
        <v>0</v>
      </c>
      <c r="M101" s="219"/>
      <c r="N101" s="220">
        <f t="shared" si="10"/>
        <v>0</v>
      </c>
      <c r="O101" s="221"/>
      <c r="P101" s="220">
        <v>0</v>
      </c>
      <c r="Q101" s="223"/>
      <c r="R101" s="223"/>
      <c r="S101" s="239">
        <f t="shared" si="11"/>
        <v>0</v>
      </c>
      <c r="T101" s="207"/>
      <c r="U101" s="223"/>
    </row>
    <row r="102" spans="1:21" ht="15" customHeight="1" x14ac:dyDescent="0.25">
      <c r="A102" s="214"/>
      <c r="B102" s="214"/>
      <c r="C102" s="214"/>
      <c r="D102" s="214"/>
      <c r="E102" s="214"/>
      <c r="F102" s="214"/>
      <c r="G102" s="214"/>
      <c r="H102" s="216"/>
      <c r="I102" s="217"/>
      <c r="J102" s="216"/>
      <c r="K102" s="218"/>
      <c r="L102" s="219">
        <f t="shared" si="9"/>
        <v>0</v>
      </c>
      <c r="M102" s="219"/>
      <c r="N102" s="220">
        <f t="shared" si="10"/>
        <v>0</v>
      </c>
      <c r="O102" s="221"/>
      <c r="P102" s="220">
        <v>0</v>
      </c>
      <c r="Q102" s="223"/>
      <c r="R102" s="223"/>
      <c r="S102" s="239">
        <f t="shared" si="11"/>
        <v>0</v>
      </c>
      <c r="T102" s="207"/>
      <c r="U102" s="223"/>
    </row>
    <row r="103" spans="1:21" ht="15" customHeight="1" x14ac:dyDescent="0.25">
      <c r="A103" s="214"/>
      <c r="B103" s="214"/>
      <c r="C103" s="214"/>
      <c r="D103" s="214"/>
      <c r="E103" s="214"/>
      <c r="F103" s="214"/>
      <c r="G103" s="214"/>
      <c r="H103" s="216"/>
      <c r="I103" s="217"/>
      <c r="J103" s="216"/>
      <c r="K103" s="218"/>
      <c r="L103" s="219">
        <f t="shared" si="9"/>
        <v>0</v>
      </c>
      <c r="M103" s="219"/>
      <c r="N103" s="220">
        <f t="shared" si="10"/>
        <v>0</v>
      </c>
      <c r="O103" s="221"/>
      <c r="P103" s="220">
        <v>0</v>
      </c>
      <c r="Q103" s="223"/>
      <c r="R103" s="223"/>
      <c r="S103" s="239">
        <f t="shared" si="11"/>
        <v>0</v>
      </c>
      <c r="T103" s="207"/>
      <c r="U103" s="223"/>
    </row>
    <row r="104" spans="1:21" ht="15" customHeight="1" x14ac:dyDescent="0.25">
      <c r="A104" s="214"/>
      <c r="B104" s="214"/>
      <c r="C104" s="214"/>
      <c r="D104" s="214"/>
      <c r="E104" s="214"/>
      <c r="F104" s="214"/>
      <c r="G104" s="214"/>
      <c r="H104" s="216"/>
      <c r="I104" s="217"/>
      <c r="J104" s="216"/>
      <c r="K104" s="218"/>
      <c r="L104" s="219">
        <f t="shared" si="9"/>
        <v>0</v>
      </c>
      <c r="M104" s="219"/>
      <c r="N104" s="220">
        <f t="shared" si="10"/>
        <v>0</v>
      </c>
      <c r="O104" s="221"/>
      <c r="P104" s="220">
        <v>0</v>
      </c>
      <c r="Q104" s="223"/>
      <c r="R104" s="223"/>
      <c r="S104" s="239">
        <f t="shared" si="11"/>
        <v>0</v>
      </c>
      <c r="T104" s="207"/>
      <c r="U104" s="223"/>
    </row>
    <row r="105" spans="1:21" ht="15" customHeight="1" x14ac:dyDescent="0.25">
      <c r="A105" s="214"/>
      <c r="B105" s="214"/>
      <c r="C105" s="214"/>
      <c r="D105" s="214"/>
      <c r="E105" s="214"/>
      <c r="F105" s="214"/>
      <c r="G105" s="214"/>
      <c r="H105" s="216"/>
      <c r="I105" s="217"/>
      <c r="J105" s="216"/>
      <c r="K105" s="218"/>
      <c r="L105" s="219">
        <f t="shared" si="9"/>
        <v>0</v>
      </c>
      <c r="M105" s="219"/>
      <c r="N105" s="220">
        <f t="shared" si="10"/>
        <v>0</v>
      </c>
      <c r="O105" s="221"/>
      <c r="P105" s="220">
        <v>0</v>
      </c>
      <c r="Q105" s="223"/>
      <c r="R105" s="223"/>
      <c r="S105" s="239">
        <f t="shared" si="11"/>
        <v>0</v>
      </c>
      <c r="T105" s="207"/>
      <c r="U105" s="223"/>
    </row>
    <row r="106" spans="1:21" ht="15" customHeight="1" x14ac:dyDescent="0.25">
      <c r="A106" s="214"/>
      <c r="B106" s="214"/>
      <c r="C106" s="214"/>
      <c r="D106" s="214"/>
      <c r="E106" s="214"/>
      <c r="F106" s="214"/>
      <c r="G106" s="214"/>
      <c r="H106" s="216"/>
      <c r="I106" s="217"/>
      <c r="J106" s="216"/>
      <c r="K106" s="218"/>
      <c r="L106" s="219">
        <f t="shared" si="9"/>
        <v>0</v>
      </c>
      <c r="M106" s="219"/>
      <c r="N106" s="220">
        <f t="shared" si="10"/>
        <v>0</v>
      </c>
      <c r="O106" s="221"/>
      <c r="P106" s="220">
        <v>0</v>
      </c>
      <c r="Q106" s="223"/>
      <c r="R106" s="223"/>
      <c r="S106" s="239">
        <f t="shared" si="11"/>
        <v>0</v>
      </c>
      <c r="T106" s="207"/>
      <c r="U106" s="223"/>
    </row>
    <row r="107" spans="1:21" ht="15" customHeight="1" x14ac:dyDescent="0.25">
      <c r="A107" s="214"/>
      <c r="B107" s="214"/>
      <c r="C107" s="214"/>
      <c r="D107" s="214"/>
      <c r="E107" s="214"/>
      <c r="F107" s="214"/>
      <c r="G107" s="214"/>
      <c r="H107" s="216"/>
      <c r="I107" s="217"/>
      <c r="J107" s="216"/>
      <c r="K107" s="218"/>
      <c r="L107" s="219">
        <f t="shared" si="9"/>
        <v>0</v>
      </c>
      <c r="M107" s="219"/>
      <c r="N107" s="220">
        <f t="shared" si="10"/>
        <v>0</v>
      </c>
      <c r="O107" s="221"/>
      <c r="P107" s="220">
        <v>0</v>
      </c>
      <c r="Q107" s="223"/>
      <c r="R107" s="223"/>
      <c r="S107" s="239">
        <f t="shared" si="11"/>
        <v>0</v>
      </c>
      <c r="T107" s="207"/>
      <c r="U107" s="223"/>
    </row>
    <row r="108" spans="1:21" ht="15" customHeight="1" x14ac:dyDescent="0.25">
      <c r="A108" s="214"/>
      <c r="B108" s="214"/>
      <c r="C108" s="214"/>
      <c r="D108" s="214"/>
      <c r="E108" s="214"/>
      <c r="F108" s="214"/>
      <c r="G108" s="214"/>
      <c r="H108" s="216"/>
      <c r="I108" s="217"/>
      <c r="J108" s="216"/>
      <c r="K108" s="218"/>
      <c r="L108" s="219">
        <f t="shared" si="9"/>
        <v>0</v>
      </c>
      <c r="M108" s="219"/>
      <c r="N108" s="220">
        <f t="shared" si="10"/>
        <v>0</v>
      </c>
      <c r="O108" s="221"/>
      <c r="P108" s="220">
        <v>0</v>
      </c>
      <c r="Q108" s="223"/>
      <c r="R108" s="223"/>
      <c r="S108" s="239">
        <f t="shared" si="11"/>
        <v>0</v>
      </c>
      <c r="T108" s="207"/>
      <c r="U108" s="223"/>
    </row>
    <row r="109" spans="1:21" ht="15" customHeight="1" x14ac:dyDescent="0.25">
      <c r="A109" s="214"/>
      <c r="B109" s="214"/>
      <c r="C109" s="214"/>
      <c r="D109" s="214"/>
      <c r="E109" s="214"/>
      <c r="F109" s="214"/>
      <c r="G109" s="214"/>
      <c r="H109" s="216"/>
      <c r="I109" s="217"/>
      <c r="J109" s="216"/>
      <c r="K109" s="218"/>
      <c r="L109" s="219">
        <f t="shared" si="9"/>
        <v>0</v>
      </c>
      <c r="M109" s="219"/>
      <c r="N109" s="220">
        <f t="shared" si="10"/>
        <v>0</v>
      </c>
      <c r="O109" s="221"/>
      <c r="P109" s="220">
        <v>0</v>
      </c>
      <c r="Q109" s="223"/>
      <c r="R109" s="223"/>
      <c r="S109" s="239">
        <f t="shared" si="11"/>
        <v>0</v>
      </c>
      <c r="T109" s="207"/>
      <c r="U109" s="223"/>
    </row>
    <row r="110" spans="1:21" ht="15" customHeight="1" x14ac:dyDescent="0.25">
      <c r="A110" s="214"/>
      <c r="B110" s="214"/>
      <c r="C110" s="214"/>
      <c r="D110" s="214"/>
      <c r="E110" s="214"/>
      <c r="F110" s="214"/>
      <c r="G110" s="214"/>
      <c r="H110" s="216"/>
      <c r="I110" s="217"/>
      <c r="J110" s="216"/>
      <c r="K110" s="218"/>
      <c r="L110" s="219">
        <f t="shared" si="9"/>
        <v>0</v>
      </c>
      <c r="M110" s="219"/>
      <c r="N110" s="220">
        <f t="shared" si="10"/>
        <v>0</v>
      </c>
      <c r="O110" s="221"/>
      <c r="P110" s="220">
        <v>0</v>
      </c>
      <c r="Q110" s="223"/>
      <c r="R110" s="223"/>
      <c r="S110" s="239">
        <f t="shared" si="11"/>
        <v>0</v>
      </c>
      <c r="T110" s="207"/>
      <c r="U110" s="223"/>
    </row>
    <row r="111" spans="1:21" ht="15" customHeight="1" x14ac:dyDescent="0.25">
      <c r="A111" s="214"/>
      <c r="B111" s="214"/>
      <c r="C111" s="214"/>
      <c r="D111" s="214"/>
      <c r="E111" s="214"/>
      <c r="F111" s="214"/>
      <c r="G111" s="214"/>
      <c r="H111" s="216"/>
      <c r="I111" s="217"/>
      <c r="J111" s="216"/>
      <c r="K111" s="218"/>
      <c r="L111" s="219">
        <f t="shared" si="9"/>
        <v>0</v>
      </c>
      <c r="M111" s="219"/>
      <c r="N111" s="220">
        <f t="shared" si="10"/>
        <v>0</v>
      </c>
      <c r="O111" s="221"/>
      <c r="P111" s="220">
        <v>0</v>
      </c>
      <c r="Q111" s="223"/>
      <c r="R111" s="223"/>
      <c r="S111" s="239">
        <f t="shared" si="11"/>
        <v>0</v>
      </c>
      <c r="T111" s="207"/>
      <c r="U111" s="223"/>
    </row>
    <row r="112" spans="1:21" ht="15" customHeight="1" x14ac:dyDescent="0.25">
      <c r="A112" s="214"/>
      <c r="B112" s="214"/>
      <c r="C112" s="214"/>
      <c r="D112" s="214"/>
      <c r="E112" s="214"/>
      <c r="F112" s="214"/>
      <c r="G112" s="214"/>
      <c r="H112" s="216"/>
      <c r="I112" s="217"/>
      <c r="J112" s="216"/>
      <c r="K112" s="218"/>
      <c r="L112" s="219">
        <f t="shared" si="9"/>
        <v>0</v>
      </c>
      <c r="M112" s="219"/>
      <c r="N112" s="220">
        <f t="shared" si="10"/>
        <v>0</v>
      </c>
      <c r="O112" s="221"/>
      <c r="P112" s="220">
        <v>0</v>
      </c>
      <c r="Q112" s="223"/>
      <c r="R112" s="223"/>
      <c r="S112" s="239">
        <f t="shared" si="11"/>
        <v>0</v>
      </c>
      <c r="T112" s="207"/>
      <c r="U112" s="223"/>
    </row>
    <row r="113" spans="1:21" ht="15" customHeight="1" x14ac:dyDescent="0.25">
      <c r="A113" s="214"/>
      <c r="B113" s="214"/>
      <c r="C113" s="214"/>
      <c r="D113" s="214"/>
      <c r="E113" s="214"/>
      <c r="F113" s="214"/>
      <c r="G113" s="214"/>
      <c r="H113" s="216"/>
      <c r="I113" s="217"/>
      <c r="J113" s="216"/>
      <c r="K113" s="218"/>
      <c r="L113" s="219">
        <f t="shared" si="9"/>
        <v>0</v>
      </c>
      <c r="M113" s="219"/>
      <c r="N113" s="220">
        <f t="shared" si="10"/>
        <v>0</v>
      </c>
      <c r="O113" s="221"/>
      <c r="P113" s="220">
        <v>0</v>
      </c>
      <c r="Q113" s="223"/>
      <c r="R113" s="223"/>
      <c r="S113" s="239">
        <f t="shared" si="11"/>
        <v>0</v>
      </c>
      <c r="T113" s="207"/>
      <c r="U113" s="223"/>
    </row>
    <row r="114" spans="1:21" ht="15" customHeight="1" x14ac:dyDescent="0.25">
      <c r="A114" s="214"/>
      <c r="B114" s="214"/>
      <c r="C114" s="214"/>
      <c r="D114" s="214"/>
      <c r="E114" s="214"/>
      <c r="F114" s="214"/>
      <c r="G114" s="214"/>
      <c r="H114" s="216"/>
      <c r="I114" s="217"/>
      <c r="J114" s="216"/>
      <c r="K114" s="218"/>
      <c r="L114" s="219">
        <f t="shared" si="9"/>
        <v>0</v>
      </c>
      <c r="M114" s="219"/>
      <c r="N114" s="220">
        <f t="shared" si="10"/>
        <v>0</v>
      </c>
      <c r="O114" s="221"/>
      <c r="P114" s="220">
        <v>0</v>
      </c>
      <c r="Q114" s="223"/>
      <c r="R114" s="223"/>
      <c r="S114" s="239">
        <f t="shared" si="11"/>
        <v>0</v>
      </c>
      <c r="T114" s="207"/>
      <c r="U114" s="223"/>
    </row>
    <row r="115" spans="1:21" ht="15" customHeight="1" x14ac:dyDescent="0.25">
      <c r="A115" s="214"/>
      <c r="B115" s="214"/>
      <c r="C115" s="214"/>
      <c r="D115" s="214"/>
      <c r="E115" s="214"/>
      <c r="F115" s="214"/>
      <c r="G115" s="214"/>
      <c r="H115" s="216"/>
      <c r="I115" s="217"/>
      <c r="J115" s="216"/>
      <c r="K115" s="218"/>
      <c r="L115" s="219">
        <f t="shared" si="9"/>
        <v>0</v>
      </c>
      <c r="M115" s="219"/>
      <c r="N115" s="220">
        <f t="shared" si="10"/>
        <v>0</v>
      </c>
      <c r="O115" s="221"/>
      <c r="P115" s="220">
        <v>0</v>
      </c>
      <c r="Q115" s="223"/>
      <c r="R115" s="223"/>
      <c r="S115" s="239">
        <f t="shared" si="11"/>
        <v>0</v>
      </c>
      <c r="T115" s="207"/>
      <c r="U115" s="223"/>
    </row>
    <row r="116" spans="1:21" ht="15" customHeight="1" x14ac:dyDescent="0.25">
      <c r="A116" s="214"/>
      <c r="B116" s="214"/>
      <c r="C116" s="214"/>
      <c r="D116" s="214"/>
      <c r="E116" s="214"/>
      <c r="F116" s="214"/>
      <c r="G116" s="214"/>
      <c r="H116" s="216"/>
      <c r="I116" s="217"/>
      <c r="J116" s="216"/>
      <c r="K116" s="218"/>
      <c r="L116" s="219">
        <f t="shared" si="9"/>
        <v>0</v>
      </c>
      <c r="M116" s="219"/>
      <c r="N116" s="220">
        <f t="shared" si="10"/>
        <v>0</v>
      </c>
      <c r="O116" s="221"/>
      <c r="P116" s="220">
        <v>0</v>
      </c>
      <c r="Q116" s="223"/>
      <c r="R116" s="223"/>
      <c r="S116" s="239">
        <f t="shared" si="11"/>
        <v>0</v>
      </c>
      <c r="T116" s="207"/>
      <c r="U116" s="223"/>
    </row>
    <row r="117" spans="1:21" ht="15" customHeight="1" x14ac:dyDescent="0.25">
      <c r="A117" s="214"/>
      <c r="B117" s="214"/>
      <c r="C117" s="214"/>
      <c r="D117" s="214"/>
      <c r="E117" s="214"/>
      <c r="F117" s="214"/>
      <c r="G117" s="214"/>
      <c r="H117" s="216"/>
      <c r="I117" s="217"/>
      <c r="J117" s="216"/>
      <c r="K117" s="218"/>
      <c r="L117" s="219">
        <f t="shared" si="9"/>
        <v>0</v>
      </c>
      <c r="M117" s="219"/>
      <c r="N117" s="220">
        <f t="shared" si="10"/>
        <v>0</v>
      </c>
      <c r="O117" s="221"/>
      <c r="P117" s="220">
        <v>0</v>
      </c>
      <c r="Q117" s="223"/>
      <c r="R117" s="223"/>
      <c r="S117" s="239">
        <f t="shared" si="11"/>
        <v>0</v>
      </c>
      <c r="T117" s="207"/>
      <c r="U117" s="223"/>
    </row>
    <row r="118" spans="1:21" ht="15" customHeight="1" x14ac:dyDescent="0.25">
      <c r="A118" s="214"/>
      <c r="B118" s="214"/>
      <c r="C118" s="214"/>
      <c r="D118" s="214"/>
      <c r="E118" s="214"/>
      <c r="F118" s="214"/>
      <c r="G118" s="214"/>
      <c r="H118" s="216"/>
      <c r="I118" s="217"/>
      <c r="J118" s="216"/>
      <c r="K118" s="218"/>
      <c r="L118" s="219">
        <f t="shared" si="9"/>
        <v>0</v>
      </c>
      <c r="M118" s="219"/>
      <c r="N118" s="220">
        <f t="shared" si="10"/>
        <v>0</v>
      </c>
      <c r="O118" s="221"/>
      <c r="P118" s="220">
        <v>0</v>
      </c>
      <c r="Q118" s="223"/>
      <c r="R118" s="223"/>
      <c r="S118" s="239">
        <f t="shared" si="11"/>
        <v>0</v>
      </c>
      <c r="T118" s="207"/>
      <c r="U118" s="223"/>
    </row>
    <row r="119" spans="1:21" ht="15" customHeight="1" x14ac:dyDescent="0.25">
      <c r="A119" s="214"/>
      <c r="B119" s="214"/>
      <c r="C119" s="214"/>
      <c r="D119" s="214"/>
      <c r="E119" s="214"/>
      <c r="F119" s="214"/>
      <c r="G119" s="214"/>
      <c r="H119" s="216"/>
      <c r="I119" s="217"/>
      <c r="J119" s="216"/>
      <c r="K119" s="218"/>
      <c r="L119" s="219">
        <f t="shared" si="9"/>
        <v>0</v>
      </c>
      <c r="M119" s="219"/>
      <c r="N119" s="220">
        <f t="shared" si="10"/>
        <v>0</v>
      </c>
      <c r="O119" s="221"/>
      <c r="P119" s="220">
        <v>0</v>
      </c>
      <c r="Q119" s="223"/>
      <c r="R119" s="223"/>
      <c r="S119" s="239">
        <f t="shared" si="11"/>
        <v>0</v>
      </c>
      <c r="T119" s="207"/>
      <c r="U119" s="223"/>
    </row>
    <row r="120" spans="1:21" ht="15" customHeight="1" x14ac:dyDescent="0.25">
      <c r="A120" s="214"/>
      <c r="B120" s="214"/>
      <c r="C120" s="214"/>
      <c r="D120" s="214"/>
      <c r="E120" s="214"/>
      <c r="F120" s="214"/>
      <c r="G120" s="214"/>
      <c r="H120" s="216"/>
      <c r="I120" s="217"/>
      <c r="J120" s="216"/>
      <c r="K120" s="218"/>
      <c r="L120" s="219">
        <f t="shared" si="9"/>
        <v>0</v>
      </c>
      <c r="M120" s="219"/>
      <c r="N120" s="220">
        <f t="shared" si="10"/>
        <v>0</v>
      </c>
      <c r="O120" s="221"/>
      <c r="P120" s="220">
        <v>0</v>
      </c>
      <c r="Q120" s="223"/>
      <c r="R120" s="223"/>
      <c r="S120" s="239">
        <f t="shared" si="11"/>
        <v>0</v>
      </c>
      <c r="T120" s="207"/>
      <c r="U120" s="223"/>
    </row>
    <row r="121" spans="1:21" ht="15" customHeight="1" x14ac:dyDescent="0.25">
      <c r="A121" s="214"/>
      <c r="B121" s="214"/>
      <c r="C121" s="214"/>
      <c r="D121" s="214"/>
      <c r="E121" s="214"/>
      <c r="F121" s="214"/>
      <c r="G121" s="214"/>
      <c r="H121" s="216"/>
      <c r="I121" s="217"/>
      <c r="J121" s="216"/>
      <c r="K121" s="218"/>
      <c r="L121" s="219">
        <f t="shared" si="9"/>
        <v>0</v>
      </c>
      <c r="M121" s="219"/>
      <c r="N121" s="220">
        <f t="shared" si="10"/>
        <v>0</v>
      </c>
      <c r="O121" s="221"/>
      <c r="P121" s="220">
        <v>0</v>
      </c>
      <c r="Q121" s="223"/>
      <c r="R121" s="223"/>
      <c r="S121" s="239">
        <f t="shared" si="11"/>
        <v>0</v>
      </c>
      <c r="T121" s="207"/>
      <c r="U121" s="223"/>
    </row>
    <row r="122" spans="1:21" ht="15" customHeight="1" x14ac:dyDescent="0.25">
      <c r="A122" s="214"/>
      <c r="B122" s="214"/>
      <c r="C122" s="214"/>
      <c r="D122" s="214"/>
      <c r="E122" s="214"/>
      <c r="F122" s="214"/>
      <c r="G122" s="214"/>
      <c r="H122" s="216"/>
      <c r="I122" s="217"/>
      <c r="J122" s="216"/>
      <c r="K122" s="218"/>
      <c r="L122" s="219">
        <f t="shared" si="9"/>
        <v>0</v>
      </c>
      <c r="M122" s="219"/>
      <c r="N122" s="220">
        <f t="shared" si="10"/>
        <v>0</v>
      </c>
      <c r="O122" s="221"/>
      <c r="P122" s="220">
        <v>0</v>
      </c>
      <c r="Q122" s="223"/>
      <c r="R122" s="223"/>
      <c r="S122" s="239">
        <f t="shared" si="11"/>
        <v>0</v>
      </c>
      <c r="T122" s="207"/>
      <c r="U122" s="223"/>
    </row>
    <row r="123" spans="1:21" ht="15" customHeight="1" x14ac:dyDescent="0.25">
      <c r="A123" s="214"/>
      <c r="B123" s="214"/>
      <c r="C123" s="214"/>
      <c r="D123" s="214"/>
      <c r="E123" s="214"/>
      <c r="F123" s="214"/>
      <c r="G123" s="214"/>
      <c r="H123" s="216"/>
      <c r="I123" s="217"/>
      <c r="J123" s="216"/>
      <c r="K123" s="218"/>
      <c r="L123" s="219">
        <f t="shared" ref="L123:L186" si="13">K123+O123</f>
        <v>0</v>
      </c>
      <c r="M123" s="219"/>
      <c r="N123" s="220">
        <f t="shared" ref="N123:N186" si="14">(M123-K123)</f>
        <v>0</v>
      </c>
      <c r="O123" s="221"/>
      <c r="P123" s="220">
        <v>0</v>
      </c>
      <c r="Q123" s="223"/>
      <c r="R123" s="223"/>
      <c r="S123" s="239">
        <f t="shared" ref="S123:S155" si="15">R123-M123</f>
        <v>0</v>
      </c>
      <c r="T123" s="207"/>
      <c r="U123" s="223"/>
    </row>
    <row r="124" spans="1:21" ht="15" customHeight="1" x14ac:dyDescent="0.25">
      <c r="A124" s="214"/>
      <c r="B124" s="214"/>
      <c r="C124" s="214"/>
      <c r="D124" s="214"/>
      <c r="E124" s="214"/>
      <c r="F124" s="214"/>
      <c r="G124" s="214"/>
      <c r="H124" s="216"/>
      <c r="I124" s="217"/>
      <c r="J124" s="216"/>
      <c r="K124" s="218"/>
      <c r="L124" s="219">
        <f t="shared" si="13"/>
        <v>0</v>
      </c>
      <c r="M124" s="219"/>
      <c r="N124" s="220">
        <f t="shared" si="14"/>
        <v>0</v>
      </c>
      <c r="O124" s="221"/>
      <c r="P124" s="220">
        <v>0</v>
      </c>
      <c r="Q124" s="223"/>
      <c r="R124" s="223"/>
      <c r="S124" s="239">
        <f t="shared" si="15"/>
        <v>0</v>
      </c>
      <c r="T124" s="207"/>
      <c r="U124" s="223"/>
    </row>
    <row r="125" spans="1:21" ht="15" customHeight="1" x14ac:dyDescent="0.25">
      <c r="A125" s="214"/>
      <c r="B125" s="214"/>
      <c r="C125" s="214"/>
      <c r="D125" s="214"/>
      <c r="E125" s="214"/>
      <c r="F125" s="214"/>
      <c r="G125" s="214"/>
      <c r="H125" s="216"/>
      <c r="I125" s="217"/>
      <c r="J125" s="216"/>
      <c r="K125" s="218"/>
      <c r="L125" s="219">
        <f t="shared" si="13"/>
        <v>0</v>
      </c>
      <c r="M125" s="219"/>
      <c r="N125" s="220">
        <f t="shared" si="14"/>
        <v>0</v>
      </c>
      <c r="O125" s="221"/>
      <c r="P125" s="220">
        <v>0</v>
      </c>
      <c r="Q125" s="223"/>
      <c r="R125" s="223"/>
      <c r="S125" s="239">
        <f t="shared" si="15"/>
        <v>0</v>
      </c>
      <c r="T125" s="207"/>
      <c r="U125" s="223"/>
    </row>
    <row r="126" spans="1:21" ht="15" customHeight="1" x14ac:dyDescent="0.25">
      <c r="A126" s="214"/>
      <c r="B126" s="214"/>
      <c r="C126" s="214"/>
      <c r="D126" s="214"/>
      <c r="E126" s="214"/>
      <c r="F126" s="214"/>
      <c r="G126" s="214"/>
      <c r="H126" s="216"/>
      <c r="I126" s="217"/>
      <c r="J126" s="216"/>
      <c r="K126" s="218"/>
      <c r="L126" s="219">
        <f t="shared" si="13"/>
        <v>0</v>
      </c>
      <c r="M126" s="219"/>
      <c r="N126" s="220">
        <f t="shared" si="14"/>
        <v>0</v>
      </c>
      <c r="O126" s="221"/>
      <c r="P126" s="220">
        <v>0</v>
      </c>
      <c r="Q126" s="223"/>
      <c r="R126" s="223"/>
      <c r="S126" s="239">
        <f t="shared" si="15"/>
        <v>0</v>
      </c>
      <c r="T126" s="207"/>
      <c r="U126" s="223"/>
    </row>
    <row r="127" spans="1:21" ht="15" customHeight="1" x14ac:dyDescent="0.25">
      <c r="A127" s="214"/>
      <c r="B127" s="214"/>
      <c r="C127" s="214"/>
      <c r="D127" s="214"/>
      <c r="E127" s="214"/>
      <c r="F127" s="214"/>
      <c r="G127" s="214"/>
      <c r="H127" s="216"/>
      <c r="I127" s="217"/>
      <c r="J127" s="216"/>
      <c r="K127" s="218"/>
      <c r="L127" s="219">
        <f t="shared" si="13"/>
        <v>0</v>
      </c>
      <c r="M127" s="219"/>
      <c r="N127" s="220">
        <f t="shared" si="14"/>
        <v>0</v>
      </c>
      <c r="O127" s="221"/>
      <c r="P127" s="220">
        <v>0</v>
      </c>
      <c r="Q127" s="223"/>
      <c r="R127" s="223"/>
      <c r="S127" s="239">
        <f t="shared" si="15"/>
        <v>0</v>
      </c>
      <c r="T127" s="207"/>
      <c r="U127" s="223"/>
    </row>
    <row r="128" spans="1:21" ht="15" customHeight="1" x14ac:dyDescent="0.25">
      <c r="A128" s="214"/>
      <c r="B128" s="214"/>
      <c r="C128" s="214"/>
      <c r="D128" s="214"/>
      <c r="E128" s="214"/>
      <c r="F128" s="214"/>
      <c r="G128" s="214"/>
      <c r="H128" s="216"/>
      <c r="I128" s="217"/>
      <c r="J128" s="216"/>
      <c r="K128" s="218"/>
      <c r="L128" s="219">
        <f t="shared" si="13"/>
        <v>0</v>
      </c>
      <c r="M128" s="219"/>
      <c r="N128" s="220">
        <f t="shared" si="14"/>
        <v>0</v>
      </c>
      <c r="O128" s="221"/>
      <c r="P128" s="220">
        <v>0</v>
      </c>
      <c r="Q128" s="223"/>
      <c r="R128" s="223"/>
      <c r="S128" s="239">
        <f t="shared" si="15"/>
        <v>0</v>
      </c>
      <c r="T128" s="207"/>
      <c r="U128" s="223"/>
    </row>
    <row r="129" spans="1:21" ht="15" customHeight="1" x14ac:dyDescent="0.25">
      <c r="A129" s="214"/>
      <c r="B129" s="214"/>
      <c r="C129" s="214"/>
      <c r="D129" s="214"/>
      <c r="E129" s="214"/>
      <c r="F129" s="214"/>
      <c r="G129" s="214"/>
      <c r="H129" s="216"/>
      <c r="I129" s="217"/>
      <c r="J129" s="216"/>
      <c r="K129" s="218"/>
      <c r="L129" s="219">
        <f t="shared" si="13"/>
        <v>0</v>
      </c>
      <c r="M129" s="219"/>
      <c r="N129" s="220">
        <f t="shared" si="14"/>
        <v>0</v>
      </c>
      <c r="O129" s="221"/>
      <c r="P129" s="220">
        <v>0</v>
      </c>
      <c r="Q129" s="223"/>
      <c r="R129" s="223"/>
      <c r="S129" s="239">
        <f t="shared" si="15"/>
        <v>0</v>
      </c>
      <c r="T129" s="207"/>
      <c r="U129" s="223"/>
    </row>
    <row r="130" spans="1:21" ht="15" customHeight="1" x14ac:dyDescent="0.25">
      <c r="A130" s="214"/>
      <c r="B130" s="214"/>
      <c r="C130" s="214"/>
      <c r="D130" s="214"/>
      <c r="E130" s="214"/>
      <c r="F130" s="214"/>
      <c r="G130" s="214"/>
      <c r="H130" s="216"/>
      <c r="I130" s="217"/>
      <c r="J130" s="216"/>
      <c r="K130" s="218"/>
      <c r="L130" s="219">
        <f t="shared" si="13"/>
        <v>0</v>
      </c>
      <c r="M130" s="219"/>
      <c r="N130" s="220">
        <f t="shared" si="14"/>
        <v>0</v>
      </c>
      <c r="O130" s="221"/>
      <c r="P130" s="220">
        <v>0</v>
      </c>
      <c r="Q130" s="223"/>
      <c r="R130" s="223"/>
      <c r="S130" s="239">
        <f t="shared" si="15"/>
        <v>0</v>
      </c>
      <c r="T130" s="207"/>
      <c r="U130" s="223"/>
    </row>
    <row r="131" spans="1:21" ht="15" customHeight="1" x14ac:dyDescent="0.25">
      <c r="A131" s="214"/>
      <c r="B131" s="214"/>
      <c r="C131" s="214"/>
      <c r="D131" s="214"/>
      <c r="E131" s="214"/>
      <c r="F131" s="214"/>
      <c r="G131" s="214"/>
      <c r="H131" s="216"/>
      <c r="I131" s="217"/>
      <c r="J131" s="216"/>
      <c r="K131" s="218"/>
      <c r="L131" s="219">
        <f t="shared" si="13"/>
        <v>0</v>
      </c>
      <c r="M131" s="219"/>
      <c r="N131" s="220">
        <f t="shared" si="14"/>
        <v>0</v>
      </c>
      <c r="O131" s="221"/>
      <c r="P131" s="220">
        <v>0</v>
      </c>
      <c r="Q131" s="223"/>
      <c r="R131" s="223"/>
      <c r="S131" s="239">
        <f t="shared" si="15"/>
        <v>0</v>
      </c>
      <c r="T131" s="207"/>
      <c r="U131" s="223"/>
    </row>
    <row r="132" spans="1:21" ht="15" customHeight="1" x14ac:dyDescent="0.25">
      <c r="A132" s="214"/>
      <c r="B132" s="214"/>
      <c r="C132" s="214"/>
      <c r="D132" s="214"/>
      <c r="E132" s="214"/>
      <c r="F132" s="214"/>
      <c r="G132" s="214"/>
      <c r="H132" s="216"/>
      <c r="I132" s="217"/>
      <c r="J132" s="216"/>
      <c r="K132" s="218"/>
      <c r="L132" s="219">
        <f t="shared" si="13"/>
        <v>0</v>
      </c>
      <c r="M132" s="219"/>
      <c r="N132" s="220">
        <f t="shared" si="14"/>
        <v>0</v>
      </c>
      <c r="O132" s="221"/>
      <c r="P132" s="220">
        <v>0</v>
      </c>
      <c r="Q132" s="223"/>
      <c r="R132" s="223"/>
      <c r="S132" s="239">
        <f t="shared" si="15"/>
        <v>0</v>
      </c>
      <c r="T132" s="207"/>
      <c r="U132" s="223"/>
    </row>
    <row r="133" spans="1:21" ht="15" customHeight="1" x14ac:dyDescent="0.25">
      <c r="A133" s="214"/>
      <c r="B133" s="214"/>
      <c r="C133" s="214"/>
      <c r="D133" s="214"/>
      <c r="E133" s="214"/>
      <c r="F133" s="214"/>
      <c r="G133" s="214"/>
      <c r="H133" s="216"/>
      <c r="I133" s="217"/>
      <c r="J133" s="216"/>
      <c r="K133" s="218"/>
      <c r="L133" s="219">
        <f t="shared" si="13"/>
        <v>0</v>
      </c>
      <c r="M133" s="219"/>
      <c r="N133" s="220">
        <f t="shared" si="14"/>
        <v>0</v>
      </c>
      <c r="O133" s="221"/>
      <c r="P133" s="220">
        <v>0</v>
      </c>
      <c r="Q133" s="223"/>
      <c r="R133" s="223"/>
      <c r="S133" s="239">
        <f t="shared" si="15"/>
        <v>0</v>
      </c>
      <c r="T133" s="207"/>
      <c r="U133" s="223"/>
    </row>
    <row r="134" spans="1:21" ht="15" customHeight="1" x14ac:dyDescent="0.25">
      <c r="A134" s="214"/>
      <c r="B134" s="214"/>
      <c r="C134" s="214"/>
      <c r="D134" s="214"/>
      <c r="E134" s="214"/>
      <c r="F134" s="214"/>
      <c r="G134" s="214"/>
      <c r="H134" s="216"/>
      <c r="I134" s="217"/>
      <c r="J134" s="216"/>
      <c r="K134" s="218"/>
      <c r="L134" s="219">
        <f t="shared" si="13"/>
        <v>0</v>
      </c>
      <c r="M134" s="219"/>
      <c r="N134" s="220">
        <f t="shared" si="14"/>
        <v>0</v>
      </c>
      <c r="O134" s="221"/>
      <c r="P134" s="220">
        <v>0</v>
      </c>
      <c r="Q134" s="223"/>
      <c r="R134" s="223"/>
      <c r="S134" s="239">
        <f t="shared" si="15"/>
        <v>0</v>
      </c>
      <c r="T134" s="207"/>
      <c r="U134" s="223"/>
    </row>
    <row r="135" spans="1:21" ht="15" customHeight="1" x14ac:dyDescent="0.25">
      <c r="A135" s="214"/>
      <c r="B135" s="214"/>
      <c r="C135" s="214"/>
      <c r="D135" s="214"/>
      <c r="E135" s="214"/>
      <c r="F135" s="214"/>
      <c r="G135" s="214"/>
      <c r="H135" s="216"/>
      <c r="I135" s="217"/>
      <c r="J135" s="216"/>
      <c r="K135" s="218"/>
      <c r="L135" s="219">
        <f t="shared" si="13"/>
        <v>0</v>
      </c>
      <c r="M135" s="219"/>
      <c r="N135" s="220">
        <f t="shared" si="14"/>
        <v>0</v>
      </c>
      <c r="O135" s="221"/>
      <c r="P135" s="220">
        <v>0</v>
      </c>
      <c r="Q135" s="223"/>
      <c r="R135" s="223"/>
      <c r="S135" s="239">
        <f t="shared" si="15"/>
        <v>0</v>
      </c>
      <c r="T135" s="207"/>
      <c r="U135" s="223"/>
    </row>
    <row r="136" spans="1:21" ht="15" customHeight="1" x14ac:dyDescent="0.25">
      <c r="A136" s="214"/>
      <c r="B136" s="214"/>
      <c r="C136" s="214"/>
      <c r="D136" s="214"/>
      <c r="E136" s="214"/>
      <c r="F136" s="214"/>
      <c r="G136" s="214"/>
      <c r="H136" s="216"/>
      <c r="I136" s="217"/>
      <c r="J136" s="216"/>
      <c r="K136" s="218"/>
      <c r="L136" s="219">
        <f t="shared" si="13"/>
        <v>0</v>
      </c>
      <c r="M136" s="219"/>
      <c r="N136" s="220">
        <f t="shared" si="14"/>
        <v>0</v>
      </c>
      <c r="O136" s="221"/>
      <c r="P136" s="220">
        <v>0</v>
      </c>
      <c r="Q136" s="223"/>
      <c r="R136" s="223"/>
      <c r="S136" s="239">
        <f t="shared" si="15"/>
        <v>0</v>
      </c>
      <c r="T136" s="207"/>
      <c r="U136" s="223"/>
    </row>
    <row r="137" spans="1:21" ht="15" customHeight="1" x14ac:dyDescent="0.25">
      <c r="A137" s="214"/>
      <c r="B137" s="214"/>
      <c r="C137" s="214"/>
      <c r="D137" s="214"/>
      <c r="E137" s="214"/>
      <c r="F137" s="214"/>
      <c r="G137" s="214"/>
      <c r="H137" s="216"/>
      <c r="I137" s="217"/>
      <c r="J137" s="216"/>
      <c r="K137" s="218"/>
      <c r="L137" s="219">
        <f t="shared" si="13"/>
        <v>0</v>
      </c>
      <c r="M137" s="219"/>
      <c r="N137" s="220">
        <f t="shared" si="14"/>
        <v>0</v>
      </c>
      <c r="O137" s="221"/>
      <c r="P137" s="220">
        <v>0</v>
      </c>
      <c r="Q137" s="223"/>
      <c r="R137" s="223"/>
      <c r="S137" s="239">
        <f t="shared" si="15"/>
        <v>0</v>
      </c>
      <c r="T137" s="207"/>
      <c r="U137" s="223"/>
    </row>
    <row r="138" spans="1:21" ht="15" customHeight="1" x14ac:dyDescent="0.25">
      <c r="A138" s="214"/>
      <c r="B138" s="214"/>
      <c r="C138" s="214"/>
      <c r="D138" s="214"/>
      <c r="E138" s="214"/>
      <c r="F138" s="214"/>
      <c r="G138" s="214"/>
      <c r="H138" s="216"/>
      <c r="I138" s="217"/>
      <c r="J138" s="216"/>
      <c r="K138" s="218"/>
      <c r="L138" s="219">
        <f t="shared" si="13"/>
        <v>0</v>
      </c>
      <c r="M138" s="219"/>
      <c r="N138" s="220">
        <f t="shared" si="14"/>
        <v>0</v>
      </c>
      <c r="O138" s="221"/>
      <c r="P138" s="220">
        <v>0</v>
      </c>
      <c r="Q138" s="223"/>
      <c r="R138" s="223"/>
      <c r="S138" s="239">
        <f t="shared" si="15"/>
        <v>0</v>
      </c>
      <c r="T138" s="207"/>
      <c r="U138" s="223"/>
    </row>
    <row r="139" spans="1:21" ht="15" customHeight="1" x14ac:dyDescent="0.25">
      <c r="A139" s="214"/>
      <c r="B139" s="214"/>
      <c r="C139" s="214"/>
      <c r="D139" s="214"/>
      <c r="E139" s="214"/>
      <c r="F139" s="214"/>
      <c r="G139" s="214"/>
      <c r="H139" s="216"/>
      <c r="I139" s="217"/>
      <c r="J139" s="216"/>
      <c r="K139" s="218"/>
      <c r="L139" s="219">
        <f t="shared" si="13"/>
        <v>0</v>
      </c>
      <c r="M139" s="219"/>
      <c r="N139" s="220">
        <f t="shared" si="14"/>
        <v>0</v>
      </c>
      <c r="O139" s="221"/>
      <c r="P139" s="220">
        <v>0</v>
      </c>
      <c r="Q139" s="223"/>
      <c r="R139" s="223"/>
      <c r="S139" s="239">
        <f t="shared" si="15"/>
        <v>0</v>
      </c>
      <c r="T139" s="207"/>
      <c r="U139" s="223"/>
    </row>
    <row r="140" spans="1:21" ht="15" customHeight="1" x14ac:dyDescent="0.25">
      <c r="A140" s="214"/>
      <c r="B140" s="214"/>
      <c r="C140" s="214"/>
      <c r="D140" s="214"/>
      <c r="E140" s="214"/>
      <c r="F140" s="214"/>
      <c r="G140" s="214"/>
      <c r="H140" s="216"/>
      <c r="I140" s="217"/>
      <c r="J140" s="216"/>
      <c r="K140" s="218"/>
      <c r="L140" s="219">
        <f t="shared" si="13"/>
        <v>0</v>
      </c>
      <c r="M140" s="219"/>
      <c r="N140" s="220">
        <f t="shared" si="14"/>
        <v>0</v>
      </c>
      <c r="O140" s="221"/>
      <c r="P140" s="220">
        <v>0</v>
      </c>
      <c r="Q140" s="223"/>
      <c r="R140" s="223"/>
      <c r="S140" s="239">
        <f t="shared" si="15"/>
        <v>0</v>
      </c>
      <c r="T140" s="207"/>
      <c r="U140" s="223"/>
    </row>
    <row r="141" spans="1:21" ht="15" customHeight="1" x14ac:dyDescent="0.25">
      <c r="A141" s="214"/>
      <c r="B141" s="214"/>
      <c r="C141" s="214"/>
      <c r="D141" s="214"/>
      <c r="E141" s="214"/>
      <c r="F141" s="214"/>
      <c r="G141" s="214"/>
      <c r="H141" s="216"/>
      <c r="I141" s="217"/>
      <c r="J141" s="216"/>
      <c r="K141" s="218"/>
      <c r="L141" s="219">
        <f t="shared" si="13"/>
        <v>0</v>
      </c>
      <c r="M141" s="219"/>
      <c r="N141" s="220">
        <f t="shared" si="14"/>
        <v>0</v>
      </c>
      <c r="O141" s="221"/>
      <c r="P141" s="220">
        <v>0</v>
      </c>
      <c r="Q141" s="223"/>
      <c r="R141" s="223"/>
      <c r="S141" s="239">
        <f t="shared" si="15"/>
        <v>0</v>
      </c>
      <c r="T141" s="207"/>
      <c r="U141" s="223"/>
    </row>
    <row r="142" spans="1:21" ht="15" customHeight="1" x14ac:dyDescent="0.25">
      <c r="A142" s="214"/>
      <c r="B142" s="214"/>
      <c r="C142" s="214"/>
      <c r="D142" s="214"/>
      <c r="E142" s="214"/>
      <c r="F142" s="214"/>
      <c r="G142" s="214"/>
      <c r="H142" s="216"/>
      <c r="I142" s="217"/>
      <c r="J142" s="216"/>
      <c r="K142" s="218"/>
      <c r="L142" s="219">
        <f t="shared" si="13"/>
        <v>0</v>
      </c>
      <c r="M142" s="219"/>
      <c r="N142" s="220">
        <f t="shared" si="14"/>
        <v>0</v>
      </c>
      <c r="O142" s="221"/>
      <c r="P142" s="220">
        <v>0</v>
      </c>
      <c r="Q142" s="223"/>
      <c r="R142" s="223"/>
      <c r="S142" s="239">
        <f t="shared" si="15"/>
        <v>0</v>
      </c>
      <c r="T142" s="207"/>
      <c r="U142" s="223"/>
    </row>
    <row r="143" spans="1:21" ht="15" customHeight="1" x14ac:dyDescent="0.25">
      <c r="A143" s="214"/>
      <c r="B143" s="214"/>
      <c r="C143" s="214"/>
      <c r="D143" s="214"/>
      <c r="E143" s="214"/>
      <c r="F143" s="214"/>
      <c r="G143" s="214"/>
      <c r="H143" s="216"/>
      <c r="I143" s="217"/>
      <c r="J143" s="216"/>
      <c r="K143" s="218"/>
      <c r="L143" s="219">
        <f t="shared" si="13"/>
        <v>0</v>
      </c>
      <c r="M143" s="219"/>
      <c r="N143" s="220">
        <f t="shared" si="14"/>
        <v>0</v>
      </c>
      <c r="O143" s="221"/>
      <c r="P143" s="220">
        <v>0</v>
      </c>
      <c r="Q143" s="223"/>
      <c r="R143" s="223"/>
      <c r="S143" s="239">
        <f t="shared" si="15"/>
        <v>0</v>
      </c>
      <c r="T143" s="207"/>
      <c r="U143" s="223"/>
    </row>
    <row r="144" spans="1:21" ht="15" customHeight="1" x14ac:dyDescent="0.25">
      <c r="A144" s="214"/>
      <c r="B144" s="214"/>
      <c r="C144" s="214"/>
      <c r="D144" s="214"/>
      <c r="E144" s="214"/>
      <c r="F144" s="214"/>
      <c r="G144" s="214"/>
      <c r="H144" s="216"/>
      <c r="I144" s="217"/>
      <c r="J144" s="216"/>
      <c r="K144" s="218"/>
      <c r="L144" s="219">
        <f t="shared" si="13"/>
        <v>0</v>
      </c>
      <c r="M144" s="219"/>
      <c r="N144" s="220">
        <f t="shared" si="14"/>
        <v>0</v>
      </c>
      <c r="O144" s="221"/>
      <c r="P144" s="220">
        <v>0</v>
      </c>
      <c r="Q144" s="223"/>
      <c r="R144" s="223"/>
      <c r="S144" s="239">
        <f t="shared" si="15"/>
        <v>0</v>
      </c>
      <c r="T144" s="207"/>
      <c r="U144" s="223"/>
    </row>
    <row r="145" spans="1:21" ht="15" customHeight="1" x14ac:dyDescent="0.25">
      <c r="A145" s="214"/>
      <c r="B145" s="214"/>
      <c r="C145" s="214"/>
      <c r="D145" s="214"/>
      <c r="E145" s="214"/>
      <c r="F145" s="214"/>
      <c r="G145" s="214"/>
      <c r="H145" s="216"/>
      <c r="I145" s="217"/>
      <c r="J145" s="216"/>
      <c r="K145" s="218"/>
      <c r="L145" s="219">
        <f t="shared" si="13"/>
        <v>0</v>
      </c>
      <c r="M145" s="219"/>
      <c r="N145" s="220">
        <f t="shared" si="14"/>
        <v>0</v>
      </c>
      <c r="O145" s="221"/>
      <c r="P145" s="220">
        <v>0</v>
      </c>
      <c r="Q145" s="223"/>
      <c r="R145" s="223"/>
      <c r="S145" s="239">
        <f t="shared" si="15"/>
        <v>0</v>
      </c>
      <c r="T145" s="207"/>
      <c r="U145" s="223"/>
    </row>
    <row r="146" spans="1:21" ht="15" customHeight="1" x14ac:dyDescent="0.25">
      <c r="A146" s="214"/>
      <c r="B146" s="214"/>
      <c r="C146" s="214"/>
      <c r="D146" s="214"/>
      <c r="E146" s="214"/>
      <c r="F146" s="214"/>
      <c r="G146" s="214"/>
      <c r="H146" s="216"/>
      <c r="I146" s="217"/>
      <c r="J146" s="216"/>
      <c r="K146" s="218"/>
      <c r="L146" s="219">
        <f t="shared" si="13"/>
        <v>0</v>
      </c>
      <c r="M146" s="219"/>
      <c r="N146" s="220">
        <f t="shared" si="14"/>
        <v>0</v>
      </c>
      <c r="O146" s="221"/>
      <c r="P146" s="220">
        <v>0</v>
      </c>
      <c r="Q146" s="223"/>
      <c r="R146" s="223"/>
      <c r="S146" s="239">
        <f t="shared" si="15"/>
        <v>0</v>
      </c>
      <c r="T146" s="207"/>
      <c r="U146" s="223"/>
    </row>
    <row r="147" spans="1:21" ht="15" customHeight="1" x14ac:dyDescent="0.25">
      <c r="A147" s="214"/>
      <c r="B147" s="214"/>
      <c r="C147" s="214"/>
      <c r="D147" s="214"/>
      <c r="E147" s="214"/>
      <c r="F147" s="214"/>
      <c r="G147" s="214"/>
      <c r="H147" s="216"/>
      <c r="I147" s="217"/>
      <c r="J147" s="216"/>
      <c r="K147" s="218"/>
      <c r="L147" s="219">
        <f t="shared" si="13"/>
        <v>0</v>
      </c>
      <c r="M147" s="219"/>
      <c r="N147" s="220">
        <f t="shared" si="14"/>
        <v>0</v>
      </c>
      <c r="O147" s="221"/>
      <c r="P147" s="220">
        <v>0</v>
      </c>
      <c r="Q147" s="223"/>
      <c r="R147" s="223"/>
      <c r="S147" s="239">
        <f t="shared" si="15"/>
        <v>0</v>
      </c>
      <c r="T147" s="207"/>
      <c r="U147" s="223"/>
    </row>
    <row r="148" spans="1:21" ht="15" customHeight="1" x14ac:dyDescent="0.25">
      <c r="A148" s="214"/>
      <c r="B148" s="214"/>
      <c r="C148" s="214"/>
      <c r="D148" s="214"/>
      <c r="E148" s="214"/>
      <c r="F148" s="214"/>
      <c r="G148" s="214"/>
      <c r="H148" s="216"/>
      <c r="I148" s="217"/>
      <c r="J148" s="216"/>
      <c r="K148" s="218"/>
      <c r="L148" s="219">
        <f t="shared" si="13"/>
        <v>0</v>
      </c>
      <c r="M148" s="219"/>
      <c r="N148" s="220">
        <f t="shared" si="14"/>
        <v>0</v>
      </c>
      <c r="O148" s="221"/>
      <c r="P148" s="220">
        <v>0</v>
      </c>
      <c r="Q148" s="223"/>
      <c r="R148" s="223"/>
      <c r="S148" s="239">
        <f t="shared" si="15"/>
        <v>0</v>
      </c>
      <c r="T148" s="207"/>
      <c r="U148" s="223"/>
    </row>
    <row r="149" spans="1:21" ht="15" customHeight="1" x14ac:dyDescent="0.25">
      <c r="A149" s="214"/>
      <c r="B149" s="214"/>
      <c r="C149" s="214"/>
      <c r="D149" s="214"/>
      <c r="E149" s="214"/>
      <c r="F149" s="214"/>
      <c r="G149" s="214"/>
      <c r="H149" s="216"/>
      <c r="I149" s="217"/>
      <c r="J149" s="216"/>
      <c r="K149" s="218"/>
      <c r="L149" s="219">
        <f t="shared" si="13"/>
        <v>0</v>
      </c>
      <c r="M149" s="219"/>
      <c r="N149" s="220">
        <f t="shared" si="14"/>
        <v>0</v>
      </c>
      <c r="O149" s="221"/>
      <c r="P149" s="220">
        <v>0</v>
      </c>
      <c r="Q149" s="223"/>
      <c r="R149" s="223"/>
      <c r="S149" s="239">
        <f t="shared" si="15"/>
        <v>0</v>
      </c>
      <c r="T149" s="207"/>
      <c r="U149" s="223"/>
    </row>
    <row r="150" spans="1:21" ht="15" customHeight="1" x14ac:dyDescent="0.25">
      <c r="A150" s="214"/>
      <c r="B150" s="214"/>
      <c r="C150" s="214"/>
      <c r="D150" s="214"/>
      <c r="E150" s="214"/>
      <c r="F150" s="214"/>
      <c r="G150" s="214"/>
      <c r="H150" s="216"/>
      <c r="I150" s="217"/>
      <c r="J150" s="216"/>
      <c r="K150" s="218"/>
      <c r="L150" s="219">
        <f t="shared" si="13"/>
        <v>0</v>
      </c>
      <c r="M150" s="219"/>
      <c r="N150" s="220">
        <f t="shared" si="14"/>
        <v>0</v>
      </c>
      <c r="O150" s="221"/>
      <c r="P150" s="220">
        <v>0</v>
      </c>
      <c r="Q150" s="223"/>
      <c r="R150" s="223"/>
      <c r="S150" s="239">
        <f t="shared" si="15"/>
        <v>0</v>
      </c>
      <c r="T150" s="207"/>
      <c r="U150" s="223"/>
    </row>
    <row r="151" spans="1:21" ht="15" customHeight="1" x14ac:dyDescent="0.25">
      <c r="A151" s="214"/>
      <c r="B151" s="214"/>
      <c r="C151" s="214"/>
      <c r="D151" s="214"/>
      <c r="E151" s="214"/>
      <c r="F151" s="214"/>
      <c r="G151" s="214"/>
      <c r="H151" s="216"/>
      <c r="I151" s="217"/>
      <c r="J151" s="216"/>
      <c r="K151" s="218"/>
      <c r="L151" s="219">
        <f t="shared" si="13"/>
        <v>0</v>
      </c>
      <c r="M151" s="219"/>
      <c r="N151" s="220">
        <f t="shared" si="14"/>
        <v>0</v>
      </c>
      <c r="O151" s="221"/>
      <c r="P151" s="220">
        <v>0</v>
      </c>
      <c r="Q151" s="223"/>
      <c r="R151" s="223"/>
      <c r="S151" s="239">
        <f t="shared" si="15"/>
        <v>0</v>
      </c>
      <c r="T151" s="207"/>
      <c r="U151" s="223"/>
    </row>
    <row r="152" spans="1:21" ht="15" customHeight="1" x14ac:dyDescent="0.25">
      <c r="A152" s="214"/>
      <c r="B152" s="214"/>
      <c r="C152" s="214"/>
      <c r="D152" s="214"/>
      <c r="E152" s="214"/>
      <c r="F152" s="214"/>
      <c r="G152" s="214"/>
      <c r="H152" s="216"/>
      <c r="I152" s="217"/>
      <c r="J152" s="216"/>
      <c r="K152" s="218"/>
      <c r="L152" s="219">
        <f t="shared" si="13"/>
        <v>0</v>
      </c>
      <c r="M152" s="219"/>
      <c r="N152" s="220">
        <f t="shared" si="14"/>
        <v>0</v>
      </c>
      <c r="O152" s="221"/>
      <c r="P152" s="220">
        <v>0</v>
      </c>
      <c r="Q152" s="223"/>
      <c r="R152" s="223"/>
      <c r="S152" s="239">
        <f t="shared" si="15"/>
        <v>0</v>
      </c>
      <c r="T152" s="207"/>
      <c r="U152" s="223"/>
    </row>
    <row r="153" spans="1:21" ht="15" customHeight="1" x14ac:dyDescent="0.25">
      <c r="A153" s="214"/>
      <c r="B153" s="214"/>
      <c r="C153" s="214"/>
      <c r="D153" s="214"/>
      <c r="E153" s="214"/>
      <c r="F153" s="214"/>
      <c r="G153" s="214"/>
      <c r="H153" s="216"/>
      <c r="I153" s="217"/>
      <c r="J153" s="216"/>
      <c r="K153" s="218"/>
      <c r="L153" s="219">
        <f t="shared" si="13"/>
        <v>0</v>
      </c>
      <c r="M153" s="219"/>
      <c r="N153" s="220">
        <f t="shared" si="14"/>
        <v>0</v>
      </c>
      <c r="O153" s="221"/>
      <c r="P153" s="220">
        <v>0</v>
      </c>
      <c r="Q153" s="223"/>
      <c r="R153" s="223"/>
      <c r="S153" s="239">
        <f t="shared" si="15"/>
        <v>0</v>
      </c>
      <c r="T153" s="207"/>
      <c r="U153" s="223"/>
    </row>
    <row r="154" spans="1:21" ht="15" customHeight="1" x14ac:dyDescent="0.25">
      <c r="A154" s="214"/>
      <c r="B154" s="214"/>
      <c r="C154" s="214"/>
      <c r="D154" s="214"/>
      <c r="E154" s="214"/>
      <c r="F154" s="214"/>
      <c r="G154" s="214"/>
      <c r="H154" s="216"/>
      <c r="I154" s="217"/>
      <c r="J154" s="216"/>
      <c r="K154" s="218"/>
      <c r="L154" s="219">
        <f t="shared" si="13"/>
        <v>0</v>
      </c>
      <c r="M154" s="219"/>
      <c r="N154" s="220">
        <f t="shared" si="14"/>
        <v>0</v>
      </c>
      <c r="O154" s="221"/>
      <c r="P154" s="220">
        <v>0</v>
      </c>
      <c r="Q154" s="223"/>
      <c r="R154" s="223"/>
      <c r="S154" s="239">
        <f t="shared" si="15"/>
        <v>0</v>
      </c>
      <c r="T154" s="207"/>
      <c r="U154" s="223"/>
    </row>
    <row r="155" spans="1:21" ht="15" customHeight="1" x14ac:dyDescent="0.25">
      <c r="A155" s="214"/>
      <c r="B155" s="214"/>
      <c r="C155" s="214"/>
      <c r="D155" s="214"/>
      <c r="E155" s="214"/>
      <c r="F155" s="214"/>
      <c r="G155" s="214"/>
      <c r="H155" s="216"/>
      <c r="I155" s="217"/>
      <c r="J155" s="216"/>
      <c r="K155" s="218"/>
      <c r="L155" s="219">
        <f t="shared" si="13"/>
        <v>0</v>
      </c>
      <c r="M155" s="219"/>
      <c r="N155" s="220">
        <f t="shared" si="14"/>
        <v>0</v>
      </c>
      <c r="O155" s="221"/>
      <c r="P155" s="220">
        <v>0</v>
      </c>
      <c r="Q155" s="223"/>
      <c r="R155" s="223"/>
      <c r="S155" s="239">
        <f t="shared" si="15"/>
        <v>0</v>
      </c>
      <c r="T155" s="207"/>
      <c r="U155" s="223"/>
    </row>
    <row r="156" spans="1:21" ht="15" customHeight="1" x14ac:dyDescent="0.25">
      <c r="A156" s="214"/>
      <c r="B156" s="214"/>
      <c r="C156" s="214"/>
      <c r="D156" s="214"/>
      <c r="E156" s="214"/>
      <c r="F156" s="214"/>
      <c r="G156" s="214"/>
      <c r="H156" s="216"/>
      <c r="I156" s="217"/>
      <c r="J156" s="216"/>
      <c r="K156" s="218"/>
      <c r="L156" s="219">
        <f t="shared" si="13"/>
        <v>0</v>
      </c>
      <c r="M156" s="219"/>
      <c r="N156" s="220">
        <f t="shared" si="14"/>
        <v>0</v>
      </c>
      <c r="O156" s="221"/>
      <c r="P156" s="220">
        <v>0</v>
      </c>
      <c r="Q156" s="223"/>
      <c r="R156" s="223"/>
      <c r="S156" s="223"/>
      <c r="T156" s="207"/>
      <c r="U156" s="223"/>
    </row>
    <row r="157" spans="1:21" ht="15" customHeight="1" x14ac:dyDescent="0.25">
      <c r="A157" s="214"/>
      <c r="B157" s="214"/>
      <c r="C157" s="214"/>
      <c r="D157" s="214"/>
      <c r="E157" s="214"/>
      <c r="F157" s="214"/>
      <c r="G157" s="214"/>
      <c r="H157" s="216"/>
      <c r="I157" s="217"/>
      <c r="J157" s="216"/>
      <c r="K157" s="218"/>
      <c r="L157" s="219">
        <f t="shared" si="13"/>
        <v>0</v>
      </c>
      <c r="M157" s="219"/>
      <c r="N157" s="220">
        <f t="shared" si="14"/>
        <v>0</v>
      </c>
      <c r="O157" s="221"/>
      <c r="P157" s="220">
        <v>0</v>
      </c>
      <c r="Q157" s="223"/>
      <c r="R157" s="223"/>
      <c r="S157" s="223"/>
      <c r="T157" s="207"/>
      <c r="U157" s="223"/>
    </row>
    <row r="158" spans="1:21" ht="15" customHeight="1" x14ac:dyDescent="0.25">
      <c r="A158" s="214"/>
      <c r="B158" s="214"/>
      <c r="C158" s="214"/>
      <c r="D158" s="214"/>
      <c r="E158" s="214"/>
      <c r="F158" s="214"/>
      <c r="G158" s="214"/>
      <c r="H158" s="216"/>
      <c r="I158" s="217"/>
      <c r="J158" s="216"/>
      <c r="K158" s="218"/>
      <c r="L158" s="219">
        <f t="shared" si="13"/>
        <v>0</v>
      </c>
      <c r="M158" s="219"/>
      <c r="N158" s="220">
        <f t="shared" si="14"/>
        <v>0</v>
      </c>
      <c r="O158" s="221"/>
      <c r="P158" s="220">
        <v>0</v>
      </c>
      <c r="Q158" s="223"/>
      <c r="R158" s="223"/>
      <c r="S158" s="223"/>
      <c r="T158" s="207"/>
      <c r="U158" s="223"/>
    </row>
    <row r="159" spans="1:21" ht="15" customHeight="1" x14ac:dyDescent="0.25">
      <c r="A159" s="214"/>
      <c r="B159" s="214"/>
      <c r="C159" s="214"/>
      <c r="D159" s="214"/>
      <c r="E159" s="214"/>
      <c r="F159" s="214"/>
      <c r="G159" s="214"/>
      <c r="H159" s="216"/>
      <c r="I159" s="217"/>
      <c r="J159" s="216"/>
      <c r="K159" s="218"/>
      <c r="L159" s="219">
        <f t="shared" si="13"/>
        <v>0</v>
      </c>
      <c r="M159" s="219"/>
      <c r="N159" s="220">
        <f t="shared" si="14"/>
        <v>0</v>
      </c>
      <c r="O159" s="221"/>
      <c r="P159" s="220">
        <v>0</v>
      </c>
      <c r="Q159" s="223"/>
      <c r="R159" s="223"/>
      <c r="S159" s="223"/>
      <c r="T159" s="207"/>
      <c r="U159" s="223"/>
    </row>
    <row r="160" spans="1:21" ht="15" customHeight="1" x14ac:dyDescent="0.25">
      <c r="A160" s="214"/>
      <c r="B160" s="214"/>
      <c r="C160" s="214"/>
      <c r="D160" s="214"/>
      <c r="E160" s="214"/>
      <c r="F160" s="214"/>
      <c r="G160" s="214"/>
      <c r="H160" s="216"/>
      <c r="I160" s="217"/>
      <c r="J160" s="216"/>
      <c r="K160" s="218"/>
      <c r="L160" s="219">
        <f t="shared" si="13"/>
        <v>0</v>
      </c>
      <c r="M160" s="219"/>
      <c r="N160" s="220">
        <f t="shared" si="14"/>
        <v>0</v>
      </c>
      <c r="O160" s="221"/>
      <c r="P160" s="220">
        <v>0</v>
      </c>
      <c r="Q160" s="223"/>
      <c r="R160" s="223"/>
      <c r="S160" s="223"/>
      <c r="T160" s="207"/>
      <c r="U160" s="223"/>
    </row>
    <row r="161" spans="1:21" ht="15" customHeight="1" x14ac:dyDescent="0.25">
      <c r="A161" s="214"/>
      <c r="B161" s="214"/>
      <c r="C161" s="214"/>
      <c r="D161" s="214"/>
      <c r="E161" s="214"/>
      <c r="F161" s="214"/>
      <c r="G161" s="214"/>
      <c r="H161" s="216"/>
      <c r="I161" s="217"/>
      <c r="J161" s="216"/>
      <c r="K161" s="218"/>
      <c r="L161" s="219">
        <f t="shared" si="13"/>
        <v>0</v>
      </c>
      <c r="M161" s="219"/>
      <c r="N161" s="220">
        <f t="shared" si="14"/>
        <v>0</v>
      </c>
      <c r="O161" s="221"/>
      <c r="P161" s="220">
        <v>0</v>
      </c>
      <c r="Q161" s="223"/>
      <c r="R161" s="223"/>
      <c r="S161" s="223"/>
      <c r="T161" s="207"/>
      <c r="U161" s="223"/>
    </row>
    <row r="162" spans="1:21" ht="15" customHeight="1" x14ac:dyDescent="0.25">
      <c r="A162" s="214"/>
      <c r="B162" s="214"/>
      <c r="C162" s="214"/>
      <c r="D162" s="214"/>
      <c r="E162" s="214"/>
      <c r="F162" s="214"/>
      <c r="G162" s="214"/>
      <c r="H162" s="216"/>
      <c r="I162" s="217"/>
      <c r="J162" s="216"/>
      <c r="K162" s="218"/>
      <c r="L162" s="219">
        <f t="shared" si="13"/>
        <v>0</v>
      </c>
      <c r="M162" s="219"/>
      <c r="N162" s="220">
        <f t="shared" si="14"/>
        <v>0</v>
      </c>
      <c r="O162" s="221"/>
      <c r="P162" s="220">
        <v>0</v>
      </c>
      <c r="Q162" s="223"/>
      <c r="R162" s="223"/>
      <c r="S162" s="223"/>
      <c r="T162" s="207"/>
      <c r="U162" s="223"/>
    </row>
    <row r="163" spans="1:21" ht="15" customHeight="1" x14ac:dyDescent="0.25">
      <c r="A163" s="214"/>
      <c r="B163" s="214"/>
      <c r="C163" s="214"/>
      <c r="D163" s="214"/>
      <c r="E163" s="214"/>
      <c r="F163" s="214"/>
      <c r="G163" s="214"/>
      <c r="H163" s="216"/>
      <c r="I163" s="217"/>
      <c r="J163" s="216"/>
      <c r="K163" s="218"/>
      <c r="L163" s="219">
        <f t="shared" si="13"/>
        <v>0</v>
      </c>
      <c r="M163" s="219"/>
      <c r="N163" s="220">
        <f t="shared" si="14"/>
        <v>0</v>
      </c>
      <c r="O163" s="221"/>
      <c r="P163" s="220">
        <v>0</v>
      </c>
      <c r="Q163" s="223"/>
      <c r="R163" s="223"/>
      <c r="S163" s="223"/>
      <c r="T163" s="207"/>
      <c r="U163" s="223"/>
    </row>
    <row r="164" spans="1:21" ht="15" customHeight="1" x14ac:dyDescent="0.25">
      <c r="A164" s="214"/>
      <c r="B164" s="214"/>
      <c r="C164" s="214"/>
      <c r="D164" s="214"/>
      <c r="E164" s="214"/>
      <c r="F164" s="214"/>
      <c r="G164" s="214"/>
      <c r="H164" s="216"/>
      <c r="I164" s="217"/>
      <c r="J164" s="216"/>
      <c r="K164" s="218"/>
      <c r="L164" s="219">
        <f t="shared" si="13"/>
        <v>0</v>
      </c>
      <c r="M164" s="219"/>
      <c r="N164" s="220">
        <f t="shared" si="14"/>
        <v>0</v>
      </c>
      <c r="O164" s="221"/>
      <c r="P164" s="220">
        <v>0</v>
      </c>
      <c r="Q164" s="223"/>
      <c r="R164" s="223"/>
      <c r="S164" s="223"/>
      <c r="T164" s="207"/>
      <c r="U164" s="223"/>
    </row>
    <row r="165" spans="1:21" ht="15" customHeight="1" x14ac:dyDescent="0.25">
      <c r="A165" s="214"/>
      <c r="B165" s="214"/>
      <c r="C165" s="214"/>
      <c r="D165" s="214"/>
      <c r="E165" s="214"/>
      <c r="F165" s="214"/>
      <c r="G165" s="214"/>
      <c r="H165" s="216"/>
      <c r="I165" s="217"/>
      <c r="J165" s="216"/>
      <c r="K165" s="218"/>
      <c r="L165" s="219">
        <f t="shared" si="13"/>
        <v>0</v>
      </c>
      <c r="M165" s="219"/>
      <c r="N165" s="220">
        <f t="shared" si="14"/>
        <v>0</v>
      </c>
      <c r="O165" s="221"/>
      <c r="P165" s="220">
        <v>0</v>
      </c>
      <c r="Q165" s="223"/>
      <c r="R165" s="223"/>
      <c r="S165" s="223"/>
      <c r="T165" s="207"/>
      <c r="U165" s="223"/>
    </row>
    <row r="166" spans="1:21" ht="15" customHeight="1" x14ac:dyDescent="0.25">
      <c r="A166" s="214"/>
      <c r="B166" s="214"/>
      <c r="C166" s="214"/>
      <c r="D166" s="214"/>
      <c r="E166" s="214"/>
      <c r="F166" s="214"/>
      <c r="G166" s="214"/>
      <c r="H166" s="216"/>
      <c r="I166" s="217"/>
      <c r="J166" s="216"/>
      <c r="K166" s="218"/>
      <c r="L166" s="219">
        <f t="shared" si="13"/>
        <v>0</v>
      </c>
      <c r="M166" s="219"/>
      <c r="N166" s="220">
        <f t="shared" si="14"/>
        <v>0</v>
      </c>
      <c r="O166" s="221"/>
      <c r="P166" s="220">
        <v>0</v>
      </c>
      <c r="Q166" s="223"/>
      <c r="R166" s="223"/>
      <c r="S166" s="223"/>
      <c r="T166" s="207"/>
      <c r="U166" s="223"/>
    </row>
    <row r="167" spans="1:21" ht="15" customHeight="1" x14ac:dyDescent="0.25">
      <c r="A167" s="214"/>
      <c r="B167" s="214"/>
      <c r="C167" s="214"/>
      <c r="D167" s="214"/>
      <c r="E167" s="214"/>
      <c r="F167" s="214"/>
      <c r="G167" s="214"/>
      <c r="H167" s="216"/>
      <c r="I167" s="217"/>
      <c r="J167" s="216"/>
      <c r="K167" s="218"/>
      <c r="L167" s="219">
        <f t="shared" si="13"/>
        <v>0</v>
      </c>
      <c r="M167" s="219"/>
      <c r="N167" s="220">
        <f t="shared" si="14"/>
        <v>0</v>
      </c>
      <c r="O167" s="221"/>
      <c r="P167" s="220">
        <v>0</v>
      </c>
      <c r="Q167" s="223"/>
      <c r="R167" s="223"/>
      <c r="S167" s="223"/>
      <c r="T167" s="207"/>
      <c r="U167" s="223"/>
    </row>
    <row r="168" spans="1:21" ht="15" customHeight="1" x14ac:dyDescent="0.25">
      <c r="A168" s="214"/>
      <c r="B168" s="214"/>
      <c r="C168" s="214"/>
      <c r="D168" s="214"/>
      <c r="E168" s="214"/>
      <c r="F168" s="214"/>
      <c r="G168" s="214"/>
      <c r="H168" s="216"/>
      <c r="I168" s="217"/>
      <c r="J168" s="216"/>
      <c r="K168" s="218"/>
      <c r="L168" s="219">
        <f t="shared" si="13"/>
        <v>0</v>
      </c>
      <c r="M168" s="219"/>
      <c r="N168" s="220">
        <f t="shared" si="14"/>
        <v>0</v>
      </c>
      <c r="O168" s="221"/>
      <c r="P168" s="220">
        <v>0</v>
      </c>
      <c r="Q168" s="223"/>
      <c r="R168" s="223"/>
      <c r="S168" s="223"/>
      <c r="T168" s="207"/>
      <c r="U168" s="223"/>
    </row>
    <row r="169" spans="1:21" ht="15" customHeight="1" x14ac:dyDescent="0.25">
      <c r="A169" s="214"/>
      <c r="B169" s="214"/>
      <c r="C169" s="214"/>
      <c r="D169" s="214"/>
      <c r="E169" s="214"/>
      <c r="F169" s="214"/>
      <c r="G169" s="214"/>
      <c r="H169" s="216"/>
      <c r="I169" s="217"/>
      <c r="J169" s="216"/>
      <c r="K169" s="218"/>
      <c r="L169" s="219">
        <f t="shared" si="13"/>
        <v>0</v>
      </c>
      <c r="M169" s="219"/>
      <c r="N169" s="220">
        <f t="shared" si="14"/>
        <v>0</v>
      </c>
      <c r="O169" s="221"/>
      <c r="P169" s="220">
        <v>0</v>
      </c>
      <c r="Q169" s="223"/>
      <c r="R169" s="223"/>
      <c r="S169" s="223"/>
      <c r="T169" s="207"/>
      <c r="U169" s="223"/>
    </row>
    <row r="170" spans="1:21" ht="15" customHeight="1" x14ac:dyDescent="0.25">
      <c r="A170" s="214"/>
      <c r="B170" s="214"/>
      <c r="C170" s="214"/>
      <c r="D170" s="214"/>
      <c r="E170" s="214"/>
      <c r="F170" s="214"/>
      <c r="G170" s="214"/>
      <c r="H170" s="216"/>
      <c r="I170" s="217"/>
      <c r="J170" s="216"/>
      <c r="K170" s="218"/>
      <c r="L170" s="219">
        <f t="shared" si="13"/>
        <v>0</v>
      </c>
      <c r="M170" s="219"/>
      <c r="N170" s="220">
        <f t="shared" si="14"/>
        <v>0</v>
      </c>
      <c r="O170" s="221"/>
      <c r="P170" s="220">
        <v>0</v>
      </c>
      <c r="Q170" s="223"/>
      <c r="R170" s="223"/>
      <c r="S170" s="223"/>
      <c r="T170" s="223"/>
      <c r="U170" s="223"/>
    </row>
    <row r="171" spans="1:21" ht="15" customHeight="1" x14ac:dyDescent="0.25">
      <c r="A171" s="214"/>
      <c r="B171" s="214"/>
      <c r="C171" s="214"/>
      <c r="D171" s="214"/>
      <c r="E171" s="214"/>
      <c r="F171" s="214"/>
      <c r="G171" s="214"/>
      <c r="H171" s="216"/>
      <c r="I171" s="217"/>
      <c r="J171" s="216"/>
      <c r="K171" s="218"/>
      <c r="L171" s="219">
        <f t="shared" si="13"/>
        <v>0</v>
      </c>
      <c r="M171" s="219"/>
      <c r="N171" s="220">
        <f t="shared" si="14"/>
        <v>0</v>
      </c>
      <c r="O171" s="221"/>
      <c r="P171" s="220">
        <v>0</v>
      </c>
      <c r="Q171" s="223"/>
      <c r="R171" s="223"/>
      <c r="S171" s="223"/>
      <c r="T171" s="223"/>
      <c r="U171" s="223"/>
    </row>
    <row r="172" spans="1:21" ht="15" customHeight="1" x14ac:dyDescent="0.25">
      <c r="A172" s="214"/>
      <c r="B172" s="214"/>
      <c r="C172" s="214"/>
      <c r="D172" s="214"/>
      <c r="E172" s="214"/>
      <c r="F172" s="214"/>
      <c r="G172" s="214"/>
      <c r="H172" s="216"/>
      <c r="I172" s="217"/>
      <c r="J172" s="216"/>
      <c r="K172" s="218"/>
      <c r="L172" s="219">
        <f t="shared" si="13"/>
        <v>0</v>
      </c>
      <c r="M172" s="219"/>
      <c r="N172" s="220">
        <f t="shared" si="14"/>
        <v>0</v>
      </c>
      <c r="O172" s="221"/>
      <c r="P172" s="220">
        <v>0</v>
      </c>
      <c r="Q172" s="223"/>
      <c r="R172" s="223"/>
      <c r="S172" s="223"/>
      <c r="T172" s="223"/>
      <c r="U172" s="223"/>
    </row>
    <row r="173" spans="1:21" ht="15" customHeight="1" x14ac:dyDescent="0.25">
      <c r="A173" s="214"/>
      <c r="B173" s="214"/>
      <c r="C173" s="214"/>
      <c r="D173" s="214"/>
      <c r="E173" s="214"/>
      <c r="F173" s="214"/>
      <c r="G173" s="214"/>
      <c r="H173" s="216"/>
      <c r="I173" s="217"/>
      <c r="J173" s="216"/>
      <c r="K173" s="218"/>
      <c r="L173" s="219">
        <f t="shared" si="13"/>
        <v>0</v>
      </c>
      <c r="M173" s="219"/>
      <c r="N173" s="220">
        <f t="shared" si="14"/>
        <v>0</v>
      </c>
      <c r="O173" s="221"/>
      <c r="P173" s="220">
        <v>0</v>
      </c>
      <c r="Q173" s="223"/>
      <c r="R173" s="223"/>
      <c r="S173" s="223"/>
      <c r="T173" s="223"/>
      <c r="U173" s="223"/>
    </row>
    <row r="174" spans="1:21" ht="15" customHeight="1" x14ac:dyDescent="0.25">
      <c r="A174" s="214"/>
      <c r="B174" s="214"/>
      <c r="C174" s="214"/>
      <c r="D174" s="214"/>
      <c r="E174" s="214"/>
      <c r="F174" s="214"/>
      <c r="G174" s="214"/>
      <c r="H174" s="216"/>
      <c r="I174" s="217"/>
      <c r="J174" s="216"/>
      <c r="K174" s="218"/>
      <c r="L174" s="219">
        <f t="shared" si="13"/>
        <v>0</v>
      </c>
      <c r="M174" s="219"/>
      <c r="N174" s="220">
        <f t="shared" si="14"/>
        <v>0</v>
      </c>
      <c r="O174" s="221"/>
      <c r="P174" s="220">
        <v>0</v>
      </c>
      <c r="Q174" s="223"/>
      <c r="R174" s="223"/>
      <c r="S174" s="223"/>
      <c r="T174" s="223"/>
      <c r="U174" s="223"/>
    </row>
    <row r="175" spans="1:21" ht="15" customHeight="1" x14ac:dyDescent="0.25">
      <c r="A175" s="214"/>
      <c r="B175" s="214"/>
      <c r="C175" s="214"/>
      <c r="D175" s="214"/>
      <c r="E175" s="214"/>
      <c r="F175" s="214"/>
      <c r="G175" s="214"/>
      <c r="H175" s="216"/>
      <c r="I175" s="217"/>
      <c r="J175" s="216"/>
      <c r="K175" s="218"/>
      <c r="L175" s="219">
        <f t="shared" si="13"/>
        <v>0</v>
      </c>
      <c r="M175" s="219"/>
      <c r="N175" s="220">
        <f t="shared" si="14"/>
        <v>0</v>
      </c>
      <c r="O175" s="221"/>
      <c r="P175" s="220">
        <v>0</v>
      </c>
      <c r="Q175" s="223"/>
      <c r="R175" s="223"/>
      <c r="S175" s="223"/>
      <c r="T175" s="223"/>
      <c r="U175" s="223"/>
    </row>
    <row r="176" spans="1:21" ht="15" customHeight="1" x14ac:dyDescent="0.25">
      <c r="A176" s="214"/>
      <c r="B176" s="214"/>
      <c r="C176" s="214"/>
      <c r="D176" s="214"/>
      <c r="E176" s="214"/>
      <c r="F176" s="214"/>
      <c r="G176" s="214"/>
      <c r="H176" s="216"/>
      <c r="I176" s="217"/>
      <c r="J176" s="216"/>
      <c r="K176" s="218"/>
      <c r="L176" s="219">
        <f t="shared" si="13"/>
        <v>0</v>
      </c>
      <c r="M176" s="219"/>
      <c r="N176" s="220">
        <f t="shared" si="14"/>
        <v>0</v>
      </c>
      <c r="O176" s="221"/>
      <c r="P176" s="220">
        <v>0</v>
      </c>
      <c r="Q176" s="223"/>
      <c r="R176" s="223"/>
      <c r="S176" s="223"/>
      <c r="T176" s="223"/>
      <c r="U176" s="223"/>
    </row>
    <row r="177" spans="1:21" ht="15" customHeight="1" x14ac:dyDescent="0.25">
      <c r="A177" s="214"/>
      <c r="B177" s="214"/>
      <c r="C177" s="214"/>
      <c r="D177" s="214"/>
      <c r="E177" s="214"/>
      <c r="F177" s="214"/>
      <c r="G177" s="214"/>
      <c r="H177" s="216"/>
      <c r="I177" s="217"/>
      <c r="J177" s="216"/>
      <c r="K177" s="218"/>
      <c r="L177" s="219">
        <f t="shared" si="13"/>
        <v>0</v>
      </c>
      <c r="M177" s="219"/>
      <c r="N177" s="220">
        <f t="shared" si="14"/>
        <v>0</v>
      </c>
      <c r="O177" s="221"/>
      <c r="P177" s="220">
        <v>0</v>
      </c>
      <c r="Q177" s="223"/>
      <c r="R177" s="223"/>
      <c r="S177" s="223"/>
      <c r="T177" s="223"/>
      <c r="U177" s="223"/>
    </row>
    <row r="178" spans="1:21" ht="15" customHeight="1" x14ac:dyDescent="0.25">
      <c r="A178" s="214"/>
      <c r="B178" s="214"/>
      <c r="C178" s="214"/>
      <c r="D178" s="214"/>
      <c r="E178" s="214"/>
      <c r="F178" s="214"/>
      <c r="G178" s="214"/>
      <c r="H178" s="216"/>
      <c r="I178" s="217"/>
      <c r="J178" s="216"/>
      <c r="K178" s="218"/>
      <c r="L178" s="219">
        <f t="shared" si="13"/>
        <v>0</v>
      </c>
      <c r="M178" s="219"/>
      <c r="N178" s="220">
        <f t="shared" si="14"/>
        <v>0</v>
      </c>
      <c r="O178" s="221"/>
      <c r="P178" s="220">
        <v>0</v>
      </c>
      <c r="Q178" s="223"/>
      <c r="R178" s="223"/>
      <c r="S178" s="223"/>
      <c r="T178" s="223"/>
      <c r="U178" s="223"/>
    </row>
    <row r="179" spans="1:21" ht="15" customHeight="1" x14ac:dyDescent="0.25">
      <c r="A179" s="214"/>
      <c r="B179" s="214"/>
      <c r="C179" s="214"/>
      <c r="D179" s="214"/>
      <c r="E179" s="214"/>
      <c r="F179" s="214"/>
      <c r="G179" s="214"/>
      <c r="H179" s="216"/>
      <c r="I179" s="217"/>
      <c r="J179" s="216"/>
      <c r="K179" s="218"/>
      <c r="L179" s="219">
        <f t="shared" si="13"/>
        <v>0</v>
      </c>
      <c r="M179" s="219"/>
      <c r="N179" s="220">
        <f t="shared" si="14"/>
        <v>0</v>
      </c>
      <c r="O179" s="221"/>
      <c r="P179" s="220">
        <v>0</v>
      </c>
      <c r="Q179" s="223"/>
      <c r="R179" s="223"/>
      <c r="S179" s="223"/>
      <c r="T179" s="223"/>
      <c r="U179" s="223"/>
    </row>
    <row r="180" spans="1:21" ht="15" customHeight="1" x14ac:dyDescent="0.25">
      <c r="A180" s="214"/>
      <c r="B180" s="214"/>
      <c r="C180" s="214"/>
      <c r="D180" s="214"/>
      <c r="E180" s="214"/>
      <c r="F180" s="214"/>
      <c r="G180" s="214"/>
      <c r="H180" s="216"/>
      <c r="I180" s="217"/>
      <c r="J180" s="216"/>
      <c r="K180" s="218"/>
      <c r="L180" s="219">
        <f t="shared" si="13"/>
        <v>0</v>
      </c>
      <c r="M180" s="219"/>
      <c r="N180" s="220">
        <f t="shared" si="14"/>
        <v>0</v>
      </c>
      <c r="O180" s="221"/>
      <c r="P180" s="220">
        <v>0</v>
      </c>
      <c r="Q180" s="223"/>
      <c r="R180" s="223"/>
      <c r="S180" s="223"/>
      <c r="T180" s="223"/>
      <c r="U180" s="223"/>
    </row>
    <row r="181" spans="1:21" ht="15" customHeight="1" x14ac:dyDescent="0.25">
      <c r="A181" s="214"/>
      <c r="B181" s="214"/>
      <c r="C181" s="214"/>
      <c r="D181" s="214"/>
      <c r="E181" s="214"/>
      <c r="F181" s="214"/>
      <c r="G181" s="214"/>
      <c r="H181" s="216"/>
      <c r="I181" s="217"/>
      <c r="J181" s="216"/>
      <c r="K181" s="218"/>
      <c r="L181" s="219">
        <f t="shared" si="13"/>
        <v>0</v>
      </c>
      <c r="M181" s="219"/>
      <c r="N181" s="220">
        <f t="shared" si="14"/>
        <v>0</v>
      </c>
      <c r="O181" s="221"/>
      <c r="P181" s="220">
        <v>0</v>
      </c>
      <c r="Q181" s="223"/>
      <c r="R181" s="223"/>
      <c r="S181" s="223"/>
      <c r="T181" s="223"/>
      <c r="U181" s="223"/>
    </row>
    <row r="182" spans="1:21" ht="15" customHeight="1" x14ac:dyDescent="0.25">
      <c r="A182" s="214"/>
      <c r="B182" s="214"/>
      <c r="C182" s="214"/>
      <c r="D182" s="214"/>
      <c r="E182" s="214"/>
      <c r="F182" s="214"/>
      <c r="G182" s="214"/>
      <c r="H182" s="216"/>
      <c r="I182" s="217"/>
      <c r="J182" s="216"/>
      <c r="K182" s="218"/>
      <c r="L182" s="219">
        <f t="shared" si="13"/>
        <v>0</v>
      </c>
      <c r="M182" s="219"/>
      <c r="N182" s="220">
        <f t="shared" si="14"/>
        <v>0</v>
      </c>
      <c r="O182" s="221"/>
      <c r="P182" s="220">
        <v>0</v>
      </c>
      <c r="Q182" s="223"/>
      <c r="R182" s="223"/>
      <c r="S182" s="223"/>
      <c r="T182" s="223"/>
      <c r="U182" s="223"/>
    </row>
    <row r="183" spans="1:21" ht="15" customHeight="1" x14ac:dyDescent="0.25">
      <c r="A183" s="214"/>
      <c r="B183" s="214"/>
      <c r="C183" s="214"/>
      <c r="D183" s="214"/>
      <c r="E183" s="214"/>
      <c r="F183" s="214"/>
      <c r="G183" s="214"/>
      <c r="H183" s="216"/>
      <c r="I183" s="217"/>
      <c r="J183" s="216"/>
      <c r="K183" s="218"/>
      <c r="L183" s="219">
        <f t="shared" si="13"/>
        <v>0</v>
      </c>
      <c r="M183" s="219"/>
      <c r="N183" s="220">
        <f t="shared" si="14"/>
        <v>0</v>
      </c>
      <c r="O183" s="221"/>
      <c r="P183" s="220">
        <v>0</v>
      </c>
      <c r="Q183" s="223"/>
      <c r="R183" s="223"/>
      <c r="S183" s="223"/>
      <c r="T183" s="223"/>
      <c r="U183" s="223"/>
    </row>
    <row r="184" spans="1:21" ht="15" customHeight="1" x14ac:dyDescent="0.25">
      <c r="A184" s="214"/>
      <c r="B184" s="214"/>
      <c r="C184" s="214"/>
      <c r="D184" s="214"/>
      <c r="E184" s="214"/>
      <c r="F184" s="214"/>
      <c r="G184" s="214"/>
      <c r="H184" s="216"/>
      <c r="I184" s="217"/>
      <c r="J184" s="216"/>
      <c r="K184" s="218"/>
      <c r="L184" s="219">
        <f t="shared" si="13"/>
        <v>0</v>
      </c>
      <c r="M184" s="219"/>
      <c r="N184" s="220">
        <f t="shared" si="14"/>
        <v>0</v>
      </c>
      <c r="O184" s="221"/>
      <c r="P184" s="220">
        <v>0</v>
      </c>
      <c r="Q184" s="223"/>
      <c r="R184" s="223"/>
      <c r="S184" s="223"/>
      <c r="T184" s="223"/>
      <c r="U184" s="223"/>
    </row>
    <row r="185" spans="1:21" ht="15" customHeight="1" x14ac:dyDescent="0.25">
      <c r="A185" s="214"/>
      <c r="B185" s="214"/>
      <c r="C185" s="214"/>
      <c r="D185" s="214"/>
      <c r="E185" s="214"/>
      <c r="F185" s="214"/>
      <c r="G185" s="214"/>
      <c r="H185" s="216"/>
      <c r="I185" s="217"/>
      <c r="J185" s="216"/>
      <c r="K185" s="218"/>
      <c r="L185" s="219">
        <f t="shared" si="13"/>
        <v>0</v>
      </c>
      <c r="M185" s="219"/>
      <c r="N185" s="220">
        <f t="shared" si="14"/>
        <v>0</v>
      </c>
      <c r="O185" s="221"/>
      <c r="P185" s="220">
        <v>0</v>
      </c>
      <c r="Q185" s="223"/>
      <c r="T185" s="223"/>
      <c r="U185" s="223"/>
    </row>
    <row r="186" spans="1:21" ht="15" customHeight="1" x14ac:dyDescent="0.25">
      <c r="A186" s="214"/>
      <c r="B186" s="214"/>
      <c r="C186" s="214"/>
      <c r="D186" s="214"/>
      <c r="E186" s="214"/>
      <c r="F186" s="214"/>
      <c r="G186" s="214"/>
      <c r="H186" s="216"/>
      <c r="I186" s="217"/>
      <c r="J186" s="216"/>
      <c r="K186" s="218"/>
      <c r="L186" s="219">
        <f t="shared" si="13"/>
        <v>0</v>
      </c>
      <c r="M186" s="219"/>
      <c r="N186" s="220">
        <f t="shared" si="14"/>
        <v>0</v>
      </c>
      <c r="O186" s="221"/>
      <c r="P186" s="220">
        <v>0</v>
      </c>
      <c r="Q186" s="223"/>
      <c r="T186" s="223"/>
      <c r="U186" s="223"/>
    </row>
    <row r="187" spans="1:21" ht="15" customHeight="1" x14ac:dyDescent="0.25">
      <c r="A187" s="214"/>
      <c r="B187" s="214"/>
      <c r="C187" s="214"/>
      <c r="D187" s="214"/>
      <c r="E187" s="214"/>
      <c r="F187" s="214"/>
      <c r="G187" s="214"/>
      <c r="H187" s="216"/>
      <c r="I187" s="217"/>
      <c r="J187" s="216"/>
      <c r="K187" s="218"/>
      <c r="L187" s="219">
        <f t="shared" ref="L187:L250" si="16">K187+O187</f>
        <v>0</v>
      </c>
      <c r="M187" s="219"/>
      <c r="N187" s="220">
        <f t="shared" ref="N187:N250" si="17">(M187-K187)</f>
        <v>0</v>
      </c>
      <c r="O187" s="221"/>
      <c r="P187" s="220">
        <v>0</v>
      </c>
      <c r="Q187" s="223"/>
      <c r="T187" s="223"/>
      <c r="U187" s="223"/>
    </row>
    <row r="188" spans="1:21" ht="15" customHeight="1" x14ac:dyDescent="0.25">
      <c r="A188" s="214"/>
      <c r="B188" s="214"/>
      <c r="C188" s="214"/>
      <c r="D188" s="214"/>
      <c r="E188" s="214"/>
      <c r="F188" s="214"/>
      <c r="G188" s="214"/>
      <c r="H188" s="216"/>
      <c r="I188" s="217"/>
      <c r="J188" s="216"/>
      <c r="K188" s="218"/>
      <c r="L188" s="219">
        <f t="shared" si="16"/>
        <v>0</v>
      </c>
      <c r="M188" s="219"/>
      <c r="N188" s="220">
        <f t="shared" si="17"/>
        <v>0</v>
      </c>
      <c r="O188" s="221"/>
      <c r="P188" s="220">
        <v>0</v>
      </c>
      <c r="Q188" s="223"/>
      <c r="T188" s="223"/>
      <c r="U188" s="223"/>
    </row>
    <row r="189" spans="1:21" ht="15" customHeight="1" x14ac:dyDescent="0.25">
      <c r="A189" s="214"/>
      <c r="B189" s="214"/>
      <c r="C189" s="214"/>
      <c r="D189" s="214"/>
      <c r="E189" s="214"/>
      <c r="F189" s="214"/>
      <c r="G189" s="214"/>
      <c r="H189" s="216"/>
      <c r="I189" s="217"/>
      <c r="J189" s="216"/>
      <c r="K189" s="218"/>
      <c r="L189" s="219">
        <f t="shared" si="16"/>
        <v>0</v>
      </c>
      <c r="M189" s="219"/>
      <c r="N189" s="220">
        <f t="shared" si="17"/>
        <v>0</v>
      </c>
      <c r="O189" s="221"/>
      <c r="P189" s="220">
        <v>0</v>
      </c>
      <c r="Q189" s="223"/>
      <c r="T189" s="223"/>
      <c r="U189" s="223"/>
    </row>
    <row r="190" spans="1:21" ht="15" customHeight="1" x14ac:dyDescent="0.25">
      <c r="A190" s="214"/>
      <c r="B190" s="214"/>
      <c r="C190" s="214"/>
      <c r="D190" s="214"/>
      <c r="E190" s="214"/>
      <c r="F190" s="214"/>
      <c r="G190" s="214"/>
      <c r="H190" s="216"/>
      <c r="I190" s="217"/>
      <c r="J190" s="216"/>
      <c r="K190" s="218"/>
      <c r="L190" s="219">
        <f t="shared" si="16"/>
        <v>0</v>
      </c>
      <c r="M190" s="219"/>
      <c r="N190" s="220">
        <f t="shared" si="17"/>
        <v>0</v>
      </c>
      <c r="O190" s="221"/>
      <c r="P190" s="220">
        <v>0</v>
      </c>
      <c r="Q190" s="223"/>
      <c r="T190" s="223"/>
      <c r="U190" s="223"/>
    </row>
    <row r="191" spans="1:21" ht="15" customHeight="1" x14ac:dyDescent="0.25">
      <c r="A191" s="214"/>
      <c r="B191" s="214"/>
      <c r="C191" s="214"/>
      <c r="D191" s="214"/>
      <c r="E191" s="214"/>
      <c r="F191" s="214"/>
      <c r="G191" s="214"/>
      <c r="H191" s="216"/>
      <c r="I191" s="217"/>
      <c r="J191" s="216"/>
      <c r="K191" s="218"/>
      <c r="L191" s="219">
        <f t="shared" si="16"/>
        <v>0</v>
      </c>
      <c r="M191" s="219"/>
      <c r="N191" s="220">
        <f t="shared" si="17"/>
        <v>0</v>
      </c>
      <c r="O191" s="221"/>
      <c r="P191" s="220">
        <v>0</v>
      </c>
      <c r="Q191" s="223"/>
      <c r="T191" s="223"/>
      <c r="U191" s="223"/>
    </row>
    <row r="192" spans="1:21" ht="15" customHeight="1" x14ac:dyDescent="0.25">
      <c r="A192" s="214"/>
      <c r="B192" s="214"/>
      <c r="C192" s="214"/>
      <c r="D192" s="214"/>
      <c r="E192" s="214"/>
      <c r="F192" s="214"/>
      <c r="G192" s="214"/>
      <c r="H192" s="216"/>
      <c r="I192" s="217"/>
      <c r="J192" s="216"/>
      <c r="K192" s="218"/>
      <c r="L192" s="219">
        <f t="shared" si="16"/>
        <v>0</v>
      </c>
      <c r="M192" s="219"/>
      <c r="N192" s="220">
        <f t="shared" si="17"/>
        <v>0</v>
      </c>
      <c r="O192" s="221"/>
      <c r="P192" s="220">
        <v>0</v>
      </c>
      <c r="Q192" s="223"/>
      <c r="T192" s="223"/>
      <c r="U192" s="223"/>
    </row>
    <row r="193" spans="1:21" ht="15" customHeight="1" x14ac:dyDescent="0.25">
      <c r="A193" s="214"/>
      <c r="B193" s="214"/>
      <c r="C193" s="214"/>
      <c r="D193" s="214"/>
      <c r="E193" s="214"/>
      <c r="F193" s="214"/>
      <c r="G193" s="214"/>
      <c r="H193" s="216"/>
      <c r="I193" s="217"/>
      <c r="J193" s="216"/>
      <c r="K193" s="218"/>
      <c r="L193" s="219">
        <f t="shared" si="16"/>
        <v>0</v>
      </c>
      <c r="M193" s="219"/>
      <c r="N193" s="220">
        <f t="shared" si="17"/>
        <v>0</v>
      </c>
      <c r="O193" s="221"/>
      <c r="P193" s="220">
        <v>0</v>
      </c>
      <c r="Q193" s="223"/>
      <c r="T193" s="223"/>
      <c r="U193" s="223"/>
    </row>
    <row r="194" spans="1:21" ht="15" customHeight="1" x14ac:dyDescent="0.25">
      <c r="A194" s="214"/>
      <c r="B194" s="214"/>
      <c r="C194" s="214"/>
      <c r="D194" s="214"/>
      <c r="E194" s="214"/>
      <c r="F194" s="214"/>
      <c r="G194" s="214"/>
      <c r="H194" s="216"/>
      <c r="I194" s="217"/>
      <c r="J194" s="216"/>
      <c r="K194" s="218"/>
      <c r="L194" s="219">
        <f t="shared" si="16"/>
        <v>0</v>
      </c>
      <c r="M194" s="219"/>
      <c r="N194" s="220">
        <f t="shared" si="17"/>
        <v>0</v>
      </c>
      <c r="O194" s="221"/>
      <c r="P194" s="220">
        <v>0</v>
      </c>
      <c r="Q194" s="223"/>
      <c r="T194" s="223"/>
      <c r="U194" s="223"/>
    </row>
    <row r="195" spans="1:21" ht="15" customHeight="1" x14ac:dyDescent="0.25">
      <c r="A195" s="214"/>
      <c r="B195" s="214"/>
      <c r="C195" s="214"/>
      <c r="D195" s="214"/>
      <c r="E195" s="214"/>
      <c r="F195" s="214"/>
      <c r="G195" s="214"/>
      <c r="H195" s="216"/>
      <c r="I195" s="217"/>
      <c r="J195" s="216"/>
      <c r="K195" s="218"/>
      <c r="L195" s="219">
        <f t="shared" si="16"/>
        <v>0</v>
      </c>
      <c r="M195" s="219"/>
      <c r="N195" s="220">
        <f t="shared" si="17"/>
        <v>0</v>
      </c>
      <c r="O195" s="221"/>
      <c r="P195" s="220">
        <v>0</v>
      </c>
      <c r="Q195" s="223"/>
      <c r="T195" s="223"/>
      <c r="U195" s="223"/>
    </row>
    <row r="196" spans="1:21" ht="15" customHeight="1" x14ac:dyDescent="0.25">
      <c r="A196" s="214"/>
      <c r="B196" s="214"/>
      <c r="C196" s="214"/>
      <c r="D196" s="214"/>
      <c r="E196" s="214"/>
      <c r="F196" s="214"/>
      <c r="G196" s="214"/>
      <c r="H196" s="216"/>
      <c r="I196" s="217"/>
      <c r="J196" s="216"/>
      <c r="K196" s="218"/>
      <c r="L196" s="219">
        <f t="shared" si="16"/>
        <v>0</v>
      </c>
      <c r="M196" s="219"/>
      <c r="N196" s="220">
        <f t="shared" si="17"/>
        <v>0</v>
      </c>
      <c r="O196" s="221"/>
      <c r="P196" s="220">
        <v>0</v>
      </c>
      <c r="Q196" s="223"/>
      <c r="T196" s="223"/>
      <c r="U196" s="223"/>
    </row>
    <row r="197" spans="1:21" ht="15" customHeight="1" x14ac:dyDescent="0.25">
      <c r="A197" s="214"/>
      <c r="B197" s="214"/>
      <c r="C197" s="214"/>
      <c r="D197" s="214"/>
      <c r="E197" s="214"/>
      <c r="F197" s="214"/>
      <c r="G197" s="214"/>
      <c r="H197" s="216"/>
      <c r="I197" s="217"/>
      <c r="J197" s="216"/>
      <c r="K197" s="218"/>
      <c r="L197" s="219">
        <f t="shared" si="16"/>
        <v>0</v>
      </c>
      <c r="M197" s="219"/>
      <c r="N197" s="220">
        <f t="shared" si="17"/>
        <v>0</v>
      </c>
      <c r="O197" s="221"/>
      <c r="P197" s="220">
        <v>0</v>
      </c>
      <c r="Q197" s="223"/>
      <c r="T197" s="223"/>
      <c r="U197" s="223"/>
    </row>
    <row r="198" spans="1:21" ht="15" customHeight="1" x14ac:dyDescent="0.25">
      <c r="A198" s="214"/>
      <c r="B198" s="214"/>
      <c r="C198" s="214"/>
      <c r="D198" s="214"/>
      <c r="E198" s="214"/>
      <c r="F198" s="214"/>
      <c r="G198" s="214"/>
      <c r="H198" s="216"/>
      <c r="I198" s="217"/>
      <c r="J198" s="216"/>
      <c r="K198" s="218"/>
      <c r="L198" s="219">
        <f t="shared" si="16"/>
        <v>0</v>
      </c>
      <c r="M198" s="219"/>
      <c r="N198" s="220">
        <f t="shared" si="17"/>
        <v>0</v>
      </c>
      <c r="O198" s="221"/>
      <c r="P198" s="220">
        <v>0</v>
      </c>
      <c r="Q198" s="223"/>
      <c r="T198" s="223"/>
      <c r="U198" s="223"/>
    </row>
    <row r="199" spans="1:21" ht="15" customHeight="1" x14ac:dyDescent="0.25">
      <c r="A199" s="214"/>
      <c r="B199" s="214"/>
      <c r="C199" s="214"/>
      <c r="D199" s="214"/>
      <c r="E199" s="214"/>
      <c r="F199" s="214"/>
      <c r="G199" s="214"/>
      <c r="H199" s="216"/>
      <c r="I199" s="217"/>
      <c r="J199" s="216"/>
      <c r="K199" s="218"/>
      <c r="L199" s="219">
        <f t="shared" si="16"/>
        <v>0</v>
      </c>
      <c r="M199" s="219"/>
      <c r="N199" s="220">
        <f t="shared" si="17"/>
        <v>0</v>
      </c>
      <c r="O199" s="221"/>
      <c r="P199" s="220">
        <v>0</v>
      </c>
      <c r="Q199" s="223"/>
      <c r="T199" s="223"/>
      <c r="U199" s="223"/>
    </row>
    <row r="200" spans="1:21" ht="15" customHeight="1" x14ac:dyDescent="0.25">
      <c r="A200" s="214"/>
      <c r="B200" s="214"/>
      <c r="C200" s="214"/>
      <c r="D200" s="214"/>
      <c r="E200" s="214"/>
      <c r="F200" s="214"/>
      <c r="G200" s="214"/>
      <c r="H200" s="216"/>
      <c r="I200" s="217"/>
      <c r="J200" s="216"/>
      <c r="K200" s="218"/>
      <c r="L200" s="219">
        <f t="shared" si="16"/>
        <v>0</v>
      </c>
      <c r="M200" s="219"/>
      <c r="N200" s="220">
        <f t="shared" si="17"/>
        <v>0</v>
      </c>
      <c r="O200" s="221"/>
      <c r="P200" s="220">
        <v>0</v>
      </c>
      <c r="Q200" s="223"/>
      <c r="T200" s="223"/>
      <c r="U200" s="223"/>
    </row>
    <row r="201" spans="1:21" ht="15" customHeight="1" x14ac:dyDescent="0.25">
      <c r="A201" s="214"/>
      <c r="B201" s="214"/>
      <c r="C201" s="214"/>
      <c r="D201" s="214"/>
      <c r="E201" s="214"/>
      <c r="F201" s="214"/>
      <c r="G201" s="214"/>
      <c r="H201" s="216"/>
      <c r="I201" s="217"/>
      <c r="J201" s="216"/>
      <c r="K201" s="218"/>
      <c r="L201" s="219">
        <f t="shared" si="16"/>
        <v>0</v>
      </c>
      <c r="M201" s="219"/>
      <c r="N201" s="220">
        <f t="shared" si="17"/>
        <v>0</v>
      </c>
      <c r="O201" s="221"/>
      <c r="P201" s="220">
        <v>0</v>
      </c>
      <c r="Q201" s="223"/>
      <c r="T201" s="223"/>
      <c r="U201" s="223"/>
    </row>
    <row r="202" spans="1:21" ht="15" customHeight="1" x14ac:dyDescent="0.25">
      <c r="A202" s="214"/>
      <c r="B202" s="214"/>
      <c r="C202" s="214"/>
      <c r="D202" s="214"/>
      <c r="E202" s="214"/>
      <c r="F202" s="214"/>
      <c r="G202" s="214"/>
      <c r="H202" s="216"/>
      <c r="I202" s="217"/>
      <c r="J202" s="216"/>
      <c r="K202" s="218"/>
      <c r="L202" s="219">
        <f t="shared" si="16"/>
        <v>0</v>
      </c>
      <c r="M202" s="219"/>
      <c r="N202" s="220">
        <f t="shared" si="17"/>
        <v>0</v>
      </c>
      <c r="O202" s="221"/>
      <c r="P202" s="220">
        <v>0</v>
      </c>
      <c r="Q202" s="223"/>
      <c r="T202" s="223"/>
      <c r="U202" s="223"/>
    </row>
    <row r="203" spans="1:21" ht="15" customHeight="1" x14ac:dyDescent="0.25">
      <c r="A203" s="214"/>
      <c r="B203" s="214"/>
      <c r="C203" s="214"/>
      <c r="D203" s="214"/>
      <c r="E203" s="214"/>
      <c r="F203" s="214"/>
      <c r="G203" s="214"/>
      <c r="H203" s="216"/>
      <c r="I203" s="217"/>
      <c r="J203" s="216"/>
      <c r="K203" s="218"/>
      <c r="L203" s="219">
        <f t="shared" si="16"/>
        <v>0</v>
      </c>
      <c r="M203" s="219"/>
      <c r="N203" s="220">
        <f t="shared" si="17"/>
        <v>0</v>
      </c>
      <c r="O203" s="221"/>
      <c r="P203" s="220">
        <v>0</v>
      </c>
      <c r="Q203" s="223"/>
      <c r="T203" s="223"/>
      <c r="U203" s="223"/>
    </row>
    <row r="204" spans="1:21" ht="15" customHeight="1" x14ac:dyDescent="0.25">
      <c r="A204" s="214"/>
      <c r="B204" s="214"/>
      <c r="C204" s="214"/>
      <c r="D204" s="214"/>
      <c r="E204" s="214"/>
      <c r="F204" s="214"/>
      <c r="G204" s="214"/>
      <c r="H204" s="216"/>
      <c r="I204" s="217"/>
      <c r="J204" s="216"/>
      <c r="K204" s="218"/>
      <c r="L204" s="219">
        <f t="shared" si="16"/>
        <v>0</v>
      </c>
      <c r="M204" s="219"/>
      <c r="N204" s="220">
        <f t="shared" si="17"/>
        <v>0</v>
      </c>
      <c r="O204" s="221"/>
      <c r="P204" s="220">
        <v>0</v>
      </c>
      <c r="Q204" s="223"/>
      <c r="T204" s="223"/>
      <c r="U204" s="223"/>
    </row>
    <row r="205" spans="1:21" ht="15" customHeight="1" x14ac:dyDescent="0.25">
      <c r="A205" s="214"/>
      <c r="B205" s="214"/>
      <c r="C205" s="214"/>
      <c r="D205" s="214"/>
      <c r="E205" s="214"/>
      <c r="F205" s="214"/>
      <c r="G205" s="214"/>
      <c r="H205" s="216"/>
      <c r="I205" s="217"/>
      <c r="J205" s="216"/>
      <c r="K205" s="218"/>
      <c r="L205" s="219">
        <f t="shared" si="16"/>
        <v>0</v>
      </c>
      <c r="M205" s="219"/>
      <c r="N205" s="220">
        <f t="shared" si="17"/>
        <v>0</v>
      </c>
      <c r="O205" s="221"/>
      <c r="P205" s="220">
        <v>0</v>
      </c>
      <c r="Q205" s="223"/>
      <c r="T205" s="223"/>
      <c r="U205" s="223"/>
    </row>
    <row r="206" spans="1:21" ht="15" customHeight="1" x14ac:dyDescent="0.25">
      <c r="A206" s="214"/>
      <c r="B206" s="214"/>
      <c r="C206" s="214"/>
      <c r="D206" s="214"/>
      <c r="E206" s="214"/>
      <c r="F206" s="214"/>
      <c r="G206" s="214"/>
      <c r="H206" s="216"/>
      <c r="I206" s="217"/>
      <c r="J206" s="216"/>
      <c r="K206" s="218"/>
      <c r="L206" s="219">
        <f t="shared" si="16"/>
        <v>0</v>
      </c>
      <c r="M206" s="219"/>
      <c r="N206" s="220">
        <f t="shared" si="17"/>
        <v>0</v>
      </c>
      <c r="O206" s="221"/>
      <c r="P206" s="220">
        <v>0</v>
      </c>
      <c r="Q206" s="223"/>
      <c r="T206" s="223"/>
      <c r="U206" s="223"/>
    </row>
    <row r="207" spans="1:21" ht="15" customHeight="1" x14ac:dyDescent="0.25">
      <c r="A207" s="214"/>
      <c r="B207" s="214"/>
      <c r="C207" s="214"/>
      <c r="D207" s="214"/>
      <c r="E207" s="214"/>
      <c r="F207" s="214"/>
      <c r="G207" s="214"/>
      <c r="H207" s="216"/>
      <c r="I207" s="217"/>
      <c r="J207" s="216"/>
      <c r="K207" s="218"/>
      <c r="L207" s="219">
        <f t="shared" si="16"/>
        <v>0</v>
      </c>
      <c r="M207" s="219"/>
      <c r="N207" s="220">
        <f t="shared" si="17"/>
        <v>0</v>
      </c>
      <c r="O207" s="221"/>
      <c r="P207" s="220">
        <v>0</v>
      </c>
      <c r="Q207" s="223"/>
      <c r="T207" s="223"/>
      <c r="U207" s="223"/>
    </row>
    <row r="208" spans="1:21" ht="15" customHeight="1" x14ac:dyDescent="0.25">
      <c r="A208" s="214"/>
      <c r="B208" s="214"/>
      <c r="C208" s="214"/>
      <c r="D208" s="214"/>
      <c r="E208" s="214"/>
      <c r="F208" s="214"/>
      <c r="G208" s="214"/>
      <c r="H208" s="216"/>
      <c r="I208" s="217"/>
      <c r="J208" s="216"/>
      <c r="K208" s="218"/>
      <c r="L208" s="219">
        <f t="shared" si="16"/>
        <v>0</v>
      </c>
      <c r="M208" s="219"/>
      <c r="N208" s="220">
        <f t="shared" si="17"/>
        <v>0</v>
      </c>
      <c r="O208" s="221"/>
      <c r="P208" s="220">
        <v>0</v>
      </c>
      <c r="Q208" s="223"/>
      <c r="T208" s="223"/>
      <c r="U208" s="223"/>
    </row>
    <row r="209" spans="1:21" ht="15" customHeight="1" x14ac:dyDescent="0.25">
      <c r="A209" s="214"/>
      <c r="B209" s="214"/>
      <c r="C209" s="214"/>
      <c r="D209" s="214"/>
      <c r="E209" s="214"/>
      <c r="F209" s="214"/>
      <c r="G209" s="214"/>
      <c r="H209" s="216"/>
      <c r="I209" s="217"/>
      <c r="J209" s="216"/>
      <c r="K209" s="218"/>
      <c r="L209" s="219">
        <f t="shared" si="16"/>
        <v>0</v>
      </c>
      <c r="M209" s="219"/>
      <c r="N209" s="220">
        <f t="shared" si="17"/>
        <v>0</v>
      </c>
      <c r="O209" s="221"/>
      <c r="P209" s="220">
        <v>0</v>
      </c>
      <c r="Q209" s="223"/>
      <c r="T209" s="223"/>
      <c r="U209" s="223"/>
    </row>
    <row r="210" spans="1:21" ht="15" customHeight="1" x14ac:dyDescent="0.25">
      <c r="A210" s="214"/>
      <c r="B210" s="214"/>
      <c r="C210" s="214"/>
      <c r="D210" s="214"/>
      <c r="E210" s="214"/>
      <c r="F210" s="214"/>
      <c r="G210" s="214"/>
      <c r="H210" s="216"/>
      <c r="I210" s="217"/>
      <c r="J210" s="216"/>
      <c r="K210" s="218"/>
      <c r="L210" s="219">
        <f t="shared" si="16"/>
        <v>0</v>
      </c>
      <c r="M210" s="219"/>
      <c r="N210" s="220">
        <f t="shared" si="17"/>
        <v>0</v>
      </c>
      <c r="O210" s="221"/>
      <c r="P210" s="220">
        <v>0</v>
      </c>
      <c r="Q210" s="223"/>
      <c r="T210" s="223"/>
      <c r="U210" s="223"/>
    </row>
    <row r="211" spans="1:21" ht="15" customHeight="1" x14ac:dyDescent="0.25">
      <c r="A211" s="214"/>
      <c r="B211" s="214"/>
      <c r="C211" s="214"/>
      <c r="D211" s="214"/>
      <c r="E211" s="214"/>
      <c r="F211" s="214"/>
      <c r="G211" s="214"/>
      <c r="H211" s="216"/>
      <c r="I211" s="217"/>
      <c r="J211" s="216"/>
      <c r="K211" s="218"/>
      <c r="L211" s="219">
        <f t="shared" si="16"/>
        <v>0</v>
      </c>
      <c r="M211" s="219"/>
      <c r="N211" s="220">
        <f t="shared" si="17"/>
        <v>0</v>
      </c>
      <c r="O211" s="221"/>
      <c r="P211" s="220">
        <v>0</v>
      </c>
      <c r="Q211" s="223"/>
      <c r="T211" s="223"/>
      <c r="U211" s="223"/>
    </row>
    <row r="212" spans="1:21" ht="15" customHeight="1" x14ac:dyDescent="0.25">
      <c r="A212" s="214"/>
      <c r="B212" s="214"/>
      <c r="C212" s="214"/>
      <c r="D212" s="214"/>
      <c r="E212" s="214"/>
      <c r="F212" s="214"/>
      <c r="G212" s="214"/>
      <c r="H212" s="216"/>
      <c r="I212" s="217"/>
      <c r="J212" s="216"/>
      <c r="K212" s="218"/>
      <c r="L212" s="219">
        <f t="shared" si="16"/>
        <v>0</v>
      </c>
      <c r="M212" s="219"/>
      <c r="N212" s="220">
        <f t="shared" si="17"/>
        <v>0</v>
      </c>
      <c r="O212" s="221"/>
      <c r="P212" s="220">
        <v>0</v>
      </c>
      <c r="Q212" s="223"/>
      <c r="T212" s="223"/>
      <c r="U212" s="223"/>
    </row>
    <row r="213" spans="1:21" ht="15" customHeight="1" x14ac:dyDescent="0.25">
      <c r="A213" s="214"/>
      <c r="B213" s="214"/>
      <c r="C213" s="214"/>
      <c r="D213" s="214"/>
      <c r="E213" s="214"/>
      <c r="F213" s="214"/>
      <c r="G213" s="214"/>
      <c r="H213" s="216"/>
      <c r="I213" s="217"/>
      <c r="J213" s="216"/>
      <c r="K213" s="218"/>
      <c r="L213" s="219">
        <f t="shared" si="16"/>
        <v>0</v>
      </c>
      <c r="M213" s="219"/>
      <c r="N213" s="220">
        <f t="shared" si="17"/>
        <v>0</v>
      </c>
      <c r="O213" s="221"/>
      <c r="P213" s="220">
        <v>0</v>
      </c>
      <c r="Q213" s="223"/>
      <c r="T213" s="223"/>
      <c r="U213" s="223"/>
    </row>
    <row r="214" spans="1:21" ht="15" customHeight="1" x14ac:dyDescent="0.25">
      <c r="A214" s="214"/>
      <c r="B214" s="214"/>
      <c r="C214" s="214"/>
      <c r="D214" s="214"/>
      <c r="E214" s="214"/>
      <c r="F214" s="214"/>
      <c r="G214" s="214"/>
      <c r="H214" s="216"/>
      <c r="I214" s="217"/>
      <c r="J214" s="216"/>
      <c r="K214" s="218"/>
      <c r="L214" s="219">
        <f t="shared" si="16"/>
        <v>0</v>
      </c>
      <c r="M214" s="219"/>
      <c r="N214" s="220">
        <f t="shared" si="17"/>
        <v>0</v>
      </c>
      <c r="O214" s="221"/>
      <c r="P214" s="220">
        <v>0</v>
      </c>
      <c r="Q214" s="223"/>
      <c r="T214" s="223"/>
      <c r="U214" s="223"/>
    </row>
    <row r="215" spans="1:21" ht="15" customHeight="1" x14ac:dyDescent="0.25">
      <c r="A215" s="214"/>
      <c r="B215" s="214"/>
      <c r="C215" s="214"/>
      <c r="D215" s="214"/>
      <c r="E215" s="214"/>
      <c r="F215" s="214"/>
      <c r="G215" s="214"/>
      <c r="H215" s="216"/>
      <c r="I215" s="217"/>
      <c r="J215" s="216"/>
      <c r="K215" s="218"/>
      <c r="L215" s="219">
        <f t="shared" si="16"/>
        <v>0</v>
      </c>
      <c r="M215" s="219"/>
      <c r="N215" s="220">
        <f t="shared" si="17"/>
        <v>0</v>
      </c>
      <c r="O215" s="221"/>
      <c r="P215" s="220">
        <v>0</v>
      </c>
      <c r="Q215" s="223"/>
      <c r="T215" s="223"/>
      <c r="U215" s="223"/>
    </row>
    <row r="216" spans="1:21" ht="15" customHeight="1" x14ac:dyDescent="0.25">
      <c r="A216" s="214"/>
      <c r="B216" s="214"/>
      <c r="C216" s="214"/>
      <c r="D216" s="214"/>
      <c r="E216" s="214"/>
      <c r="F216" s="214"/>
      <c r="G216" s="214"/>
      <c r="H216" s="216"/>
      <c r="I216" s="217"/>
      <c r="J216" s="216"/>
      <c r="K216" s="218"/>
      <c r="L216" s="219">
        <f t="shared" si="16"/>
        <v>0</v>
      </c>
      <c r="M216" s="219"/>
      <c r="N216" s="220">
        <f t="shared" si="17"/>
        <v>0</v>
      </c>
      <c r="O216" s="221"/>
      <c r="P216" s="220">
        <v>0</v>
      </c>
      <c r="Q216" s="223"/>
      <c r="T216" s="223"/>
      <c r="U216" s="223"/>
    </row>
    <row r="217" spans="1:21" ht="15" customHeight="1" x14ac:dyDescent="0.25">
      <c r="A217" s="214"/>
      <c r="B217" s="214"/>
      <c r="C217" s="214"/>
      <c r="D217" s="214"/>
      <c r="E217" s="214"/>
      <c r="F217" s="214"/>
      <c r="G217" s="214"/>
      <c r="H217" s="216"/>
      <c r="I217" s="217"/>
      <c r="J217" s="216"/>
      <c r="K217" s="218"/>
      <c r="L217" s="219">
        <f t="shared" si="16"/>
        <v>0</v>
      </c>
      <c r="M217" s="219"/>
      <c r="N217" s="220">
        <f t="shared" si="17"/>
        <v>0</v>
      </c>
      <c r="O217" s="221"/>
      <c r="P217" s="220">
        <v>0</v>
      </c>
      <c r="Q217" s="223"/>
      <c r="T217" s="223"/>
      <c r="U217" s="223"/>
    </row>
    <row r="218" spans="1:21" ht="15" customHeight="1" x14ac:dyDescent="0.25">
      <c r="A218" s="214"/>
      <c r="B218" s="214"/>
      <c r="C218" s="214"/>
      <c r="D218" s="214"/>
      <c r="E218" s="214"/>
      <c r="F218" s="214"/>
      <c r="G218" s="214"/>
      <c r="H218" s="216"/>
      <c r="I218" s="217"/>
      <c r="J218" s="216"/>
      <c r="K218" s="218"/>
      <c r="L218" s="219">
        <f t="shared" si="16"/>
        <v>0</v>
      </c>
      <c r="M218" s="219"/>
      <c r="N218" s="220">
        <f t="shared" si="17"/>
        <v>0</v>
      </c>
      <c r="O218" s="221"/>
      <c r="P218" s="220">
        <v>0</v>
      </c>
      <c r="Q218" s="223"/>
      <c r="T218" s="223"/>
      <c r="U218" s="223"/>
    </row>
    <row r="219" spans="1:21" ht="15" customHeight="1" x14ac:dyDescent="0.25">
      <c r="A219" s="214"/>
      <c r="B219" s="214"/>
      <c r="C219" s="214"/>
      <c r="D219" s="214"/>
      <c r="E219" s="214"/>
      <c r="F219" s="214"/>
      <c r="G219" s="214"/>
      <c r="H219" s="216"/>
      <c r="I219" s="217"/>
      <c r="J219" s="216"/>
      <c r="K219" s="218"/>
      <c r="L219" s="219">
        <f t="shared" si="16"/>
        <v>0</v>
      </c>
      <c r="M219" s="219"/>
      <c r="N219" s="220">
        <f t="shared" si="17"/>
        <v>0</v>
      </c>
      <c r="O219" s="221"/>
      <c r="P219" s="220">
        <v>0</v>
      </c>
      <c r="Q219" s="223"/>
      <c r="T219" s="223"/>
      <c r="U219" s="223"/>
    </row>
    <row r="220" spans="1:21" ht="15" customHeight="1" x14ac:dyDescent="0.25">
      <c r="A220" s="214"/>
      <c r="B220" s="214"/>
      <c r="C220" s="214"/>
      <c r="D220" s="214"/>
      <c r="E220" s="214"/>
      <c r="F220" s="214"/>
      <c r="G220" s="214"/>
      <c r="H220" s="216"/>
      <c r="I220" s="217"/>
      <c r="J220" s="216"/>
      <c r="K220" s="218"/>
      <c r="L220" s="219">
        <f t="shared" si="16"/>
        <v>0</v>
      </c>
      <c r="M220" s="219"/>
      <c r="N220" s="220">
        <f t="shared" si="17"/>
        <v>0</v>
      </c>
      <c r="O220" s="221"/>
      <c r="P220" s="220">
        <v>0</v>
      </c>
      <c r="Q220" s="223"/>
      <c r="T220" s="223"/>
      <c r="U220" s="223"/>
    </row>
    <row r="221" spans="1:21" ht="15" customHeight="1" x14ac:dyDescent="0.25">
      <c r="A221" s="214"/>
      <c r="B221" s="214"/>
      <c r="C221" s="214"/>
      <c r="D221" s="214"/>
      <c r="E221" s="214"/>
      <c r="F221" s="214"/>
      <c r="G221" s="214"/>
      <c r="H221" s="216"/>
      <c r="I221" s="217"/>
      <c r="J221" s="216"/>
      <c r="K221" s="218"/>
      <c r="L221" s="219">
        <f t="shared" si="16"/>
        <v>0</v>
      </c>
      <c r="M221" s="219"/>
      <c r="N221" s="220">
        <f t="shared" si="17"/>
        <v>0</v>
      </c>
      <c r="O221" s="221"/>
      <c r="P221" s="220">
        <v>0</v>
      </c>
      <c r="Q221" s="223"/>
      <c r="T221" s="223"/>
      <c r="U221" s="223"/>
    </row>
    <row r="222" spans="1:21" ht="15" customHeight="1" x14ac:dyDescent="0.25">
      <c r="A222" s="214"/>
      <c r="B222" s="214"/>
      <c r="C222" s="214"/>
      <c r="D222" s="214"/>
      <c r="E222" s="214"/>
      <c r="F222" s="214"/>
      <c r="G222" s="214"/>
      <c r="H222" s="216"/>
      <c r="I222" s="217"/>
      <c r="J222" s="216"/>
      <c r="K222" s="218"/>
      <c r="L222" s="219">
        <f t="shared" si="16"/>
        <v>0</v>
      </c>
      <c r="M222" s="219"/>
      <c r="N222" s="220">
        <f t="shared" si="17"/>
        <v>0</v>
      </c>
      <c r="O222" s="221"/>
      <c r="P222" s="220">
        <v>0</v>
      </c>
      <c r="Q222" s="223"/>
      <c r="T222" s="223"/>
      <c r="U222" s="223"/>
    </row>
    <row r="223" spans="1:21" ht="15" customHeight="1" x14ac:dyDescent="0.25">
      <c r="A223" s="214"/>
      <c r="B223" s="214"/>
      <c r="C223" s="214"/>
      <c r="D223" s="214"/>
      <c r="E223" s="214"/>
      <c r="F223" s="214"/>
      <c r="G223" s="214"/>
      <c r="H223" s="216"/>
      <c r="I223" s="217"/>
      <c r="J223" s="216"/>
      <c r="K223" s="218"/>
      <c r="L223" s="219">
        <f t="shared" si="16"/>
        <v>0</v>
      </c>
      <c r="M223" s="219"/>
      <c r="N223" s="220">
        <f t="shared" si="17"/>
        <v>0</v>
      </c>
      <c r="O223" s="221"/>
      <c r="P223" s="220">
        <v>0</v>
      </c>
      <c r="Q223" s="223"/>
      <c r="T223" s="223"/>
      <c r="U223" s="223"/>
    </row>
    <row r="224" spans="1:21" ht="15" customHeight="1" x14ac:dyDescent="0.25">
      <c r="A224" s="214"/>
      <c r="B224" s="214"/>
      <c r="C224" s="214"/>
      <c r="D224" s="214"/>
      <c r="E224" s="214"/>
      <c r="F224" s="214"/>
      <c r="G224" s="214"/>
      <c r="H224" s="216"/>
      <c r="I224" s="217"/>
      <c r="J224" s="216"/>
      <c r="K224" s="218"/>
      <c r="L224" s="219">
        <f t="shared" si="16"/>
        <v>0</v>
      </c>
      <c r="M224" s="219"/>
      <c r="N224" s="220">
        <f t="shared" si="17"/>
        <v>0</v>
      </c>
      <c r="O224" s="221"/>
      <c r="P224" s="220">
        <v>0</v>
      </c>
      <c r="Q224" s="223"/>
      <c r="T224" s="223"/>
      <c r="U224" s="223"/>
    </row>
    <row r="225" spans="1:21" ht="15" customHeight="1" x14ac:dyDescent="0.25">
      <c r="A225" s="214"/>
      <c r="B225" s="214"/>
      <c r="C225" s="214"/>
      <c r="D225" s="214"/>
      <c r="E225" s="214"/>
      <c r="F225" s="214"/>
      <c r="G225" s="214"/>
      <c r="H225" s="216"/>
      <c r="I225" s="217"/>
      <c r="J225" s="216"/>
      <c r="K225" s="218"/>
      <c r="L225" s="219">
        <f t="shared" si="16"/>
        <v>0</v>
      </c>
      <c r="M225" s="219"/>
      <c r="N225" s="220">
        <f t="shared" si="17"/>
        <v>0</v>
      </c>
      <c r="O225" s="221"/>
      <c r="P225" s="220">
        <v>0</v>
      </c>
      <c r="Q225" s="223"/>
      <c r="T225" s="223"/>
      <c r="U225" s="223"/>
    </row>
    <row r="226" spans="1:21" ht="15" customHeight="1" x14ac:dyDescent="0.25">
      <c r="A226" s="214"/>
      <c r="B226" s="214"/>
      <c r="C226" s="214"/>
      <c r="D226" s="214"/>
      <c r="E226" s="214"/>
      <c r="F226" s="214"/>
      <c r="G226" s="214"/>
      <c r="H226" s="216"/>
      <c r="I226" s="217"/>
      <c r="J226" s="216"/>
      <c r="K226" s="218"/>
      <c r="L226" s="219">
        <f t="shared" si="16"/>
        <v>0</v>
      </c>
      <c r="M226" s="219"/>
      <c r="N226" s="220">
        <f t="shared" si="17"/>
        <v>0</v>
      </c>
      <c r="O226" s="221"/>
      <c r="P226" s="220">
        <v>0</v>
      </c>
      <c r="Q226" s="223"/>
      <c r="T226" s="223"/>
      <c r="U226" s="223"/>
    </row>
    <row r="227" spans="1:21" ht="15" customHeight="1" x14ac:dyDescent="0.25">
      <c r="A227" s="214"/>
      <c r="B227" s="214"/>
      <c r="C227" s="214"/>
      <c r="D227" s="214"/>
      <c r="E227" s="214"/>
      <c r="F227" s="214"/>
      <c r="G227" s="214"/>
      <c r="H227" s="216"/>
      <c r="I227" s="217"/>
      <c r="J227" s="216"/>
      <c r="K227" s="218"/>
      <c r="L227" s="219">
        <f t="shared" si="16"/>
        <v>0</v>
      </c>
      <c r="M227" s="219"/>
      <c r="N227" s="220">
        <f t="shared" si="17"/>
        <v>0</v>
      </c>
      <c r="O227" s="221"/>
      <c r="P227" s="220">
        <v>0</v>
      </c>
      <c r="Q227" s="223"/>
      <c r="T227" s="223"/>
      <c r="U227" s="223"/>
    </row>
    <row r="228" spans="1:21" ht="15" customHeight="1" x14ac:dyDescent="0.25">
      <c r="A228" s="214"/>
      <c r="B228" s="214"/>
      <c r="C228" s="214"/>
      <c r="D228" s="214"/>
      <c r="E228" s="214"/>
      <c r="F228" s="214"/>
      <c r="G228" s="214"/>
      <c r="H228" s="216"/>
      <c r="I228" s="217"/>
      <c r="J228" s="216"/>
      <c r="K228" s="218"/>
      <c r="L228" s="219">
        <f t="shared" si="16"/>
        <v>0</v>
      </c>
      <c r="M228" s="219"/>
      <c r="N228" s="220">
        <f t="shared" si="17"/>
        <v>0</v>
      </c>
      <c r="O228" s="221"/>
      <c r="P228" s="220">
        <v>0</v>
      </c>
      <c r="Q228" s="223"/>
      <c r="T228" s="223"/>
      <c r="U228" s="223"/>
    </row>
    <row r="229" spans="1:21" ht="15" customHeight="1" x14ac:dyDescent="0.25">
      <c r="A229" s="214"/>
      <c r="B229" s="214"/>
      <c r="C229" s="214"/>
      <c r="D229" s="214"/>
      <c r="E229" s="214"/>
      <c r="F229" s="214"/>
      <c r="G229" s="214"/>
      <c r="H229" s="216"/>
      <c r="I229" s="217"/>
      <c r="J229" s="216"/>
      <c r="K229" s="218"/>
      <c r="L229" s="219">
        <f t="shared" si="16"/>
        <v>0</v>
      </c>
      <c r="M229" s="219"/>
      <c r="N229" s="220">
        <f t="shared" si="17"/>
        <v>0</v>
      </c>
      <c r="O229" s="221"/>
      <c r="P229" s="220">
        <v>0</v>
      </c>
      <c r="Q229" s="223"/>
      <c r="T229" s="223"/>
      <c r="U229" s="223"/>
    </row>
    <row r="230" spans="1:21" ht="15" customHeight="1" x14ac:dyDescent="0.25">
      <c r="A230" s="214"/>
      <c r="B230" s="214"/>
      <c r="C230" s="214"/>
      <c r="D230" s="214"/>
      <c r="E230" s="214"/>
      <c r="F230" s="214"/>
      <c r="G230" s="214"/>
      <c r="H230" s="216"/>
      <c r="I230" s="217"/>
      <c r="J230" s="216"/>
      <c r="K230" s="218"/>
      <c r="L230" s="219">
        <f t="shared" si="16"/>
        <v>0</v>
      </c>
      <c r="M230" s="219"/>
      <c r="N230" s="220">
        <f t="shared" si="17"/>
        <v>0</v>
      </c>
      <c r="O230" s="221"/>
      <c r="P230" s="220">
        <v>0</v>
      </c>
      <c r="Q230" s="223"/>
      <c r="T230" s="223"/>
      <c r="U230" s="223"/>
    </row>
    <row r="231" spans="1:21" ht="15" customHeight="1" x14ac:dyDescent="0.25">
      <c r="A231" s="214"/>
      <c r="B231" s="214"/>
      <c r="C231" s="214"/>
      <c r="D231" s="214"/>
      <c r="E231" s="214"/>
      <c r="F231" s="214"/>
      <c r="G231" s="214"/>
      <c r="H231" s="216"/>
      <c r="I231" s="217"/>
      <c r="J231" s="216"/>
      <c r="K231" s="218"/>
      <c r="L231" s="219">
        <f t="shared" si="16"/>
        <v>0</v>
      </c>
      <c r="M231" s="219"/>
      <c r="N231" s="220">
        <f t="shared" si="17"/>
        <v>0</v>
      </c>
      <c r="O231" s="221"/>
      <c r="P231" s="220">
        <v>0</v>
      </c>
      <c r="Q231" s="223"/>
      <c r="T231" s="223"/>
      <c r="U231" s="223"/>
    </row>
    <row r="232" spans="1:21" ht="15" customHeight="1" x14ac:dyDescent="0.25">
      <c r="A232" s="214"/>
      <c r="B232" s="214"/>
      <c r="C232" s="214"/>
      <c r="D232" s="214"/>
      <c r="E232" s="214"/>
      <c r="F232" s="214"/>
      <c r="G232" s="214"/>
      <c r="H232" s="216"/>
      <c r="I232" s="217"/>
      <c r="J232" s="216"/>
      <c r="K232" s="218"/>
      <c r="L232" s="219">
        <f t="shared" si="16"/>
        <v>0</v>
      </c>
      <c r="M232" s="219"/>
      <c r="N232" s="220">
        <f t="shared" si="17"/>
        <v>0</v>
      </c>
      <c r="O232" s="221"/>
      <c r="P232" s="220">
        <v>0</v>
      </c>
      <c r="Q232" s="223"/>
      <c r="T232" s="223"/>
      <c r="U232" s="223"/>
    </row>
    <row r="233" spans="1:21" ht="15" customHeight="1" x14ac:dyDescent="0.25">
      <c r="A233" s="214"/>
      <c r="B233" s="214"/>
      <c r="C233" s="214"/>
      <c r="D233" s="214"/>
      <c r="E233" s="214"/>
      <c r="F233" s="214"/>
      <c r="G233" s="214"/>
      <c r="H233" s="216"/>
      <c r="I233" s="217"/>
      <c r="J233" s="216"/>
      <c r="K233" s="218"/>
      <c r="L233" s="219">
        <f t="shared" si="16"/>
        <v>0</v>
      </c>
      <c r="M233" s="219"/>
      <c r="N233" s="220">
        <f t="shared" si="17"/>
        <v>0</v>
      </c>
      <c r="O233" s="221"/>
      <c r="P233" s="220">
        <v>0</v>
      </c>
      <c r="Q233" s="223"/>
      <c r="T233" s="223"/>
      <c r="U233" s="223"/>
    </row>
    <row r="234" spans="1:21" ht="15" customHeight="1" x14ac:dyDescent="0.25">
      <c r="A234" s="214"/>
      <c r="B234" s="214"/>
      <c r="C234" s="214"/>
      <c r="D234" s="214"/>
      <c r="E234" s="214"/>
      <c r="F234" s="214"/>
      <c r="G234" s="214"/>
      <c r="H234" s="216"/>
      <c r="I234" s="217"/>
      <c r="J234" s="216"/>
      <c r="K234" s="218"/>
      <c r="L234" s="219">
        <f t="shared" si="16"/>
        <v>0</v>
      </c>
      <c r="M234" s="219"/>
      <c r="N234" s="220">
        <f t="shared" si="17"/>
        <v>0</v>
      </c>
      <c r="O234" s="221"/>
      <c r="P234" s="220">
        <v>0</v>
      </c>
      <c r="Q234" s="223"/>
      <c r="T234" s="223"/>
      <c r="U234" s="223"/>
    </row>
    <row r="235" spans="1:21" ht="15" customHeight="1" x14ac:dyDescent="0.25">
      <c r="A235" s="214"/>
      <c r="B235" s="214"/>
      <c r="C235" s="214"/>
      <c r="D235" s="214"/>
      <c r="E235" s="214"/>
      <c r="F235" s="214"/>
      <c r="G235" s="214"/>
      <c r="H235" s="216"/>
      <c r="I235" s="217"/>
      <c r="J235" s="216"/>
      <c r="K235" s="218"/>
      <c r="L235" s="219">
        <f t="shared" si="16"/>
        <v>0</v>
      </c>
      <c r="M235" s="219"/>
      <c r="N235" s="220">
        <f t="shared" si="17"/>
        <v>0</v>
      </c>
      <c r="O235" s="221"/>
      <c r="P235" s="220">
        <v>0</v>
      </c>
      <c r="Q235" s="223"/>
      <c r="T235" s="223"/>
      <c r="U235" s="223"/>
    </row>
    <row r="236" spans="1:21" ht="15" customHeight="1" x14ac:dyDescent="0.25">
      <c r="A236" s="214"/>
      <c r="B236" s="214"/>
      <c r="C236" s="214"/>
      <c r="D236" s="214"/>
      <c r="E236" s="214"/>
      <c r="F236" s="214"/>
      <c r="G236" s="214"/>
      <c r="H236" s="216"/>
      <c r="I236" s="217"/>
      <c r="J236" s="216"/>
      <c r="K236" s="218"/>
      <c r="L236" s="219">
        <f t="shared" si="16"/>
        <v>0</v>
      </c>
      <c r="M236" s="219"/>
      <c r="N236" s="220">
        <f t="shared" si="17"/>
        <v>0</v>
      </c>
      <c r="O236" s="221"/>
      <c r="P236" s="220">
        <v>0</v>
      </c>
      <c r="Q236" s="223"/>
      <c r="T236" s="223"/>
      <c r="U236" s="223"/>
    </row>
    <row r="237" spans="1:21" ht="15" customHeight="1" x14ac:dyDescent="0.25">
      <c r="A237" s="214"/>
      <c r="B237" s="214"/>
      <c r="C237" s="214"/>
      <c r="D237" s="214"/>
      <c r="E237" s="214"/>
      <c r="F237" s="214"/>
      <c r="G237" s="214"/>
      <c r="H237" s="216"/>
      <c r="I237" s="217"/>
      <c r="J237" s="216"/>
      <c r="K237" s="218"/>
      <c r="L237" s="219">
        <f t="shared" si="16"/>
        <v>0</v>
      </c>
      <c r="M237" s="219"/>
      <c r="N237" s="220">
        <f t="shared" si="17"/>
        <v>0</v>
      </c>
      <c r="O237" s="221"/>
      <c r="P237" s="220">
        <v>0</v>
      </c>
      <c r="Q237" s="223"/>
      <c r="T237" s="223"/>
      <c r="U237" s="223"/>
    </row>
    <row r="238" spans="1:21" ht="15" customHeight="1" x14ac:dyDescent="0.25">
      <c r="A238" s="214"/>
      <c r="B238" s="214"/>
      <c r="C238" s="214"/>
      <c r="D238" s="214"/>
      <c r="E238" s="214"/>
      <c r="F238" s="214"/>
      <c r="G238" s="214"/>
      <c r="H238" s="216"/>
      <c r="I238" s="217"/>
      <c r="J238" s="216"/>
      <c r="K238" s="218"/>
      <c r="L238" s="219">
        <f t="shared" si="16"/>
        <v>0</v>
      </c>
      <c r="M238" s="219"/>
      <c r="N238" s="220">
        <f t="shared" si="17"/>
        <v>0</v>
      </c>
      <c r="O238" s="221"/>
      <c r="P238" s="220">
        <v>0</v>
      </c>
      <c r="Q238" s="223"/>
      <c r="T238" s="223"/>
      <c r="U238" s="223"/>
    </row>
    <row r="239" spans="1:21" ht="15" customHeight="1" x14ac:dyDescent="0.25">
      <c r="A239" s="214"/>
      <c r="B239" s="214"/>
      <c r="C239" s="214"/>
      <c r="D239" s="214"/>
      <c r="E239" s="214"/>
      <c r="F239" s="214"/>
      <c r="G239" s="214"/>
      <c r="H239" s="216"/>
      <c r="I239" s="217"/>
      <c r="J239" s="216"/>
      <c r="K239" s="218"/>
      <c r="L239" s="219">
        <f t="shared" si="16"/>
        <v>0</v>
      </c>
      <c r="M239" s="219"/>
      <c r="N239" s="220">
        <f t="shared" si="17"/>
        <v>0</v>
      </c>
      <c r="O239" s="221"/>
      <c r="P239" s="220">
        <v>0</v>
      </c>
      <c r="Q239" s="223"/>
      <c r="T239" s="223"/>
      <c r="U239" s="223"/>
    </row>
    <row r="240" spans="1:21" ht="15" customHeight="1" x14ac:dyDescent="0.25">
      <c r="A240" s="214"/>
      <c r="B240" s="214"/>
      <c r="C240" s="214"/>
      <c r="D240" s="214"/>
      <c r="E240" s="214"/>
      <c r="F240" s="214"/>
      <c r="G240" s="214"/>
      <c r="H240" s="216"/>
      <c r="I240" s="217"/>
      <c r="J240" s="216"/>
      <c r="K240" s="218"/>
      <c r="L240" s="219">
        <f t="shared" si="16"/>
        <v>0</v>
      </c>
      <c r="M240" s="219"/>
      <c r="N240" s="220">
        <f t="shared" si="17"/>
        <v>0</v>
      </c>
      <c r="O240" s="221"/>
      <c r="P240" s="220">
        <v>0</v>
      </c>
      <c r="Q240" s="223"/>
      <c r="T240" s="223"/>
      <c r="U240" s="223"/>
    </row>
    <row r="241" spans="1:21" ht="15" customHeight="1" x14ac:dyDescent="0.25">
      <c r="A241" s="214"/>
      <c r="B241" s="214"/>
      <c r="C241" s="214"/>
      <c r="D241" s="214"/>
      <c r="E241" s="214"/>
      <c r="F241" s="214"/>
      <c r="G241" s="214"/>
      <c r="H241" s="216"/>
      <c r="I241" s="217"/>
      <c r="J241" s="216"/>
      <c r="K241" s="218"/>
      <c r="L241" s="219">
        <f t="shared" si="16"/>
        <v>0</v>
      </c>
      <c r="M241" s="219"/>
      <c r="N241" s="220">
        <f t="shared" si="17"/>
        <v>0</v>
      </c>
      <c r="O241" s="221"/>
      <c r="P241" s="220">
        <v>0</v>
      </c>
      <c r="Q241" s="223"/>
      <c r="T241" s="223"/>
      <c r="U241" s="223"/>
    </row>
    <row r="242" spans="1:21" ht="15" customHeight="1" x14ac:dyDescent="0.25">
      <c r="A242" s="214"/>
      <c r="B242" s="214"/>
      <c r="C242" s="214"/>
      <c r="D242" s="214"/>
      <c r="E242" s="214"/>
      <c r="F242" s="214"/>
      <c r="G242" s="214"/>
      <c r="H242" s="216"/>
      <c r="I242" s="217"/>
      <c r="J242" s="216"/>
      <c r="K242" s="218"/>
      <c r="L242" s="219">
        <f t="shared" si="16"/>
        <v>0</v>
      </c>
      <c r="M242" s="219"/>
      <c r="N242" s="220">
        <f t="shared" si="17"/>
        <v>0</v>
      </c>
      <c r="O242" s="221"/>
      <c r="P242" s="220">
        <v>0</v>
      </c>
      <c r="Q242" s="223"/>
      <c r="T242" s="223"/>
      <c r="U242" s="223"/>
    </row>
    <row r="243" spans="1:21" ht="15" customHeight="1" x14ac:dyDescent="0.25">
      <c r="A243" s="214"/>
      <c r="B243" s="214"/>
      <c r="C243" s="214"/>
      <c r="D243" s="214"/>
      <c r="E243" s="214"/>
      <c r="F243" s="214"/>
      <c r="G243" s="214"/>
      <c r="H243" s="216"/>
      <c r="I243" s="217"/>
      <c r="J243" s="216"/>
      <c r="K243" s="218"/>
      <c r="L243" s="219">
        <f t="shared" si="16"/>
        <v>0</v>
      </c>
      <c r="M243" s="219"/>
      <c r="N243" s="220">
        <f t="shared" si="17"/>
        <v>0</v>
      </c>
      <c r="O243" s="221"/>
      <c r="P243" s="220">
        <v>0</v>
      </c>
      <c r="Q243" s="223"/>
      <c r="T243" s="223"/>
      <c r="U243" s="223"/>
    </row>
    <row r="244" spans="1:21" ht="15" customHeight="1" x14ac:dyDescent="0.25">
      <c r="A244" s="214"/>
      <c r="B244" s="214"/>
      <c r="C244" s="214"/>
      <c r="D244" s="214"/>
      <c r="E244" s="214"/>
      <c r="F244" s="214"/>
      <c r="G244" s="214"/>
      <c r="H244" s="216"/>
      <c r="I244" s="217"/>
      <c r="J244" s="216"/>
      <c r="K244" s="218"/>
      <c r="L244" s="219">
        <f t="shared" si="16"/>
        <v>0</v>
      </c>
      <c r="M244" s="219"/>
      <c r="N244" s="220">
        <f t="shared" si="17"/>
        <v>0</v>
      </c>
      <c r="O244" s="221"/>
      <c r="P244" s="220">
        <v>0</v>
      </c>
      <c r="Q244" s="223"/>
      <c r="T244" s="223"/>
      <c r="U244" s="223"/>
    </row>
    <row r="245" spans="1:21" ht="15" customHeight="1" x14ac:dyDescent="0.25">
      <c r="A245" s="214"/>
      <c r="B245" s="214"/>
      <c r="C245" s="214"/>
      <c r="D245" s="214"/>
      <c r="E245" s="214"/>
      <c r="F245" s="214"/>
      <c r="G245" s="214"/>
      <c r="H245" s="216"/>
      <c r="I245" s="217"/>
      <c r="J245" s="216"/>
      <c r="K245" s="218"/>
      <c r="L245" s="219">
        <f t="shared" si="16"/>
        <v>0</v>
      </c>
      <c r="M245" s="219"/>
      <c r="N245" s="220">
        <f t="shared" si="17"/>
        <v>0</v>
      </c>
      <c r="O245" s="221"/>
      <c r="P245" s="220">
        <v>0</v>
      </c>
      <c r="Q245" s="223"/>
      <c r="T245" s="223"/>
      <c r="U245" s="223"/>
    </row>
    <row r="246" spans="1:21" ht="15" customHeight="1" x14ac:dyDescent="0.25">
      <c r="A246" s="214"/>
      <c r="B246" s="214"/>
      <c r="C246" s="214"/>
      <c r="D246" s="214"/>
      <c r="E246" s="214"/>
      <c r="F246" s="214"/>
      <c r="G246" s="214"/>
      <c r="H246" s="216"/>
      <c r="I246" s="217"/>
      <c r="J246" s="216"/>
      <c r="K246" s="218"/>
      <c r="L246" s="219">
        <f t="shared" si="16"/>
        <v>0</v>
      </c>
      <c r="M246" s="219"/>
      <c r="N246" s="220">
        <f t="shared" si="17"/>
        <v>0</v>
      </c>
      <c r="O246" s="221"/>
      <c r="P246" s="220">
        <v>0</v>
      </c>
      <c r="Q246" s="223"/>
      <c r="T246" s="223"/>
      <c r="U246" s="223"/>
    </row>
    <row r="247" spans="1:21" ht="15" customHeight="1" x14ac:dyDescent="0.25">
      <c r="A247" s="214"/>
      <c r="B247" s="214"/>
      <c r="C247" s="214"/>
      <c r="D247" s="214"/>
      <c r="E247" s="214"/>
      <c r="F247" s="214"/>
      <c r="G247" s="214"/>
      <c r="H247" s="216"/>
      <c r="I247" s="217"/>
      <c r="J247" s="216"/>
      <c r="K247" s="218"/>
      <c r="L247" s="219">
        <f t="shared" si="16"/>
        <v>0</v>
      </c>
      <c r="M247" s="219"/>
      <c r="N247" s="220">
        <f t="shared" si="17"/>
        <v>0</v>
      </c>
      <c r="O247" s="221"/>
      <c r="P247" s="220">
        <v>0</v>
      </c>
      <c r="Q247" s="223"/>
      <c r="T247" s="223"/>
      <c r="U247" s="223"/>
    </row>
    <row r="248" spans="1:21" ht="15" customHeight="1" x14ac:dyDescent="0.25">
      <c r="A248" s="214"/>
      <c r="B248" s="214"/>
      <c r="C248" s="214"/>
      <c r="D248" s="214"/>
      <c r="E248" s="214"/>
      <c r="F248" s="214"/>
      <c r="G248" s="214"/>
      <c r="H248" s="216"/>
      <c r="I248" s="217"/>
      <c r="J248" s="216"/>
      <c r="K248" s="218"/>
      <c r="L248" s="219">
        <f t="shared" si="16"/>
        <v>0</v>
      </c>
      <c r="M248" s="219"/>
      <c r="N248" s="220">
        <f t="shared" si="17"/>
        <v>0</v>
      </c>
      <c r="O248" s="221"/>
      <c r="P248" s="220">
        <v>0</v>
      </c>
      <c r="Q248" s="223"/>
      <c r="T248" s="223"/>
      <c r="U248" s="223"/>
    </row>
    <row r="249" spans="1:21" ht="15" customHeight="1" x14ac:dyDescent="0.25">
      <c r="A249" s="214"/>
      <c r="B249" s="214"/>
      <c r="C249" s="214"/>
      <c r="D249" s="214"/>
      <c r="E249" s="214"/>
      <c r="F249" s="214"/>
      <c r="G249" s="214"/>
      <c r="H249" s="216"/>
      <c r="I249" s="217"/>
      <c r="J249" s="216"/>
      <c r="K249" s="218"/>
      <c r="L249" s="219">
        <f t="shared" si="16"/>
        <v>0</v>
      </c>
      <c r="M249" s="219"/>
      <c r="N249" s="220">
        <f t="shared" si="17"/>
        <v>0</v>
      </c>
      <c r="O249" s="221"/>
      <c r="P249" s="220">
        <v>0</v>
      </c>
      <c r="Q249" s="223"/>
      <c r="T249" s="223"/>
      <c r="U249" s="223"/>
    </row>
    <row r="250" spans="1:21" ht="15" customHeight="1" x14ac:dyDescent="0.25">
      <c r="A250" s="214"/>
      <c r="B250" s="214"/>
      <c r="C250" s="214"/>
      <c r="D250" s="214"/>
      <c r="E250" s="214"/>
      <c r="F250" s="214"/>
      <c r="G250" s="214"/>
      <c r="H250" s="216"/>
      <c r="I250" s="217"/>
      <c r="J250" s="216"/>
      <c r="K250" s="218"/>
      <c r="L250" s="219">
        <f t="shared" si="16"/>
        <v>0</v>
      </c>
      <c r="M250" s="219"/>
      <c r="N250" s="220">
        <f t="shared" si="17"/>
        <v>0</v>
      </c>
      <c r="O250" s="221"/>
      <c r="P250" s="220">
        <v>0</v>
      </c>
      <c r="Q250" s="223"/>
      <c r="T250" s="223"/>
      <c r="U250" s="223"/>
    </row>
    <row r="251" spans="1:21" ht="15" customHeight="1" x14ac:dyDescent="0.25">
      <c r="A251" s="214"/>
      <c r="B251" s="214"/>
      <c r="C251" s="214"/>
      <c r="D251" s="214"/>
      <c r="E251" s="214"/>
      <c r="F251" s="214"/>
      <c r="G251" s="214"/>
      <c r="H251" s="216"/>
      <c r="I251" s="217"/>
      <c r="J251" s="216"/>
      <c r="K251" s="218"/>
      <c r="L251" s="219">
        <f t="shared" ref="L251:L266" si="18">K251+O251</f>
        <v>0</v>
      </c>
      <c r="M251" s="219"/>
      <c r="N251" s="220">
        <f t="shared" ref="N251:N266" si="19">(M251-K251)</f>
        <v>0</v>
      </c>
      <c r="O251" s="221"/>
      <c r="P251" s="220">
        <v>0</v>
      </c>
      <c r="Q251" s="223"/>
      <c r="T251" s="223"/>
      <c r="U251" s="223"/>
    </row>
    <row r="252" spans="1:21" ht="15" customHeight="1" x14ac:dyDescent="0.25">
      <c r="A252" s="214"/>
      <c r="B252" s="214"/>
      <c r="C252" s="214"/>
      <c r="D252" s="214"/>
      <c r="E252" s="214"/>
      <c r="F252" s="214"/>
      <c r="G252" s="214"/>
      <c r="H252" s="216"/>
      <c r="I252" s="217"/>
      <c r="J252" s="216"/>
      <c r="K252" s="218"/>
      <c r="L252" s="219">
        <f t="shared" si="18"/>
        <v>0</v>
      </c>
      <c r="M252" s="219"/>
      <c r="N252" s="220">
        <f t="shared" si="19"/>
        <v>0</v>
      </c>
      <c r="O252" s="221"/>
      <c r="P252" s="220">
        <v>0</v>
      </c>
      <c r="Q252" s="223"/>
      <c r="T252" s="223"/>
      <c r="U252" s="223"/>
    </row>
    <row r="253" spans="1:21" ht="15" customHeight="1" x14ac:dyDescent="0.25">
      <c r="A253" s="214"/>
      <c r="B253" s="214"/>
      <c r="C253" s="214"/>
      <c r="D253" s="214"/>
      <c r="E253" s="214"/>
      <c r="F253" s="214"/>
      <c r="G253" s="214"/>
      <c r="H253" s="216"/>
      <c r="I253" s="217"/>
      <c r="J253" s="216"/>
      <c r="K253" s="218"/>
      <c r="L253" s="219">
        <f t="shared" si="18"/>
        <v>0</v>
      </c>
      <c r="M253" s="219"/>
      <c r="N253" s="220">
        <f t="shared" si="19"/>
        <v>0</v>
      </c>
      <c r="O253" s="221"/>
      <c r="P253" s="220">
        <v>0</v>
      </c>
      <c r="Q253" s="223"/>
      <c r="T253" s="223"/>
      <c r="U253" s="223"/>
    </row>
    <row r="254" spans="1:21" ht="15" customHeight="1" x14ac:dyDescent="0.25">
      <c r="A254" s="214"/>
      <c r="B254" s="214"/>
      <c r="C254" s="214"/>
      <c r="D254" s="214"/>
      <c r="E254" s="214"/>
      <c r="F254" s="214"/>
      <c r="G254" s="214"/>
      <c r="H254" s="216"/>
      <c r="I254" s="217"/>
      <c r="J254" s="216"/>
      <c r="K254" s="218"/>
      <c r="L254" s="219">
        <f t="shared" si="18"/>
        <v>0</v>
      </c>
      <c r="M254" s="219"/>
      <c r="N254" s="220">
        <f t="shared" si="19"/>
        <v>0</v>
      </c>
      <c r="O254" s="221"/>
      <c r="P254" s="220">
        <v>0</v>
      </c>
      <c r="Q254" s="223"/>
      <c r="T254" s="223"/>
      <c r="U254" s="223"/>
    </row>
    <row r="255" spans="1:21" ht="15" customHeight="1" x14ac:dyDescent="0.25">
      <c r="A255" s="214"/>
      <c r="B255" s="214"/>
      <c r="C255" s="214"/>
      <c r="D255" s="214"/>
      <c r="E255" s="214"/>
      <c r="F255" s="214"/>
      <c r="G255" s="214"/>
      <c r="H255" s="216"/>
      <c r="I255" s="217"/>
      <c r="J255" s="216"/>
      <c r="K255" s="218"/>
      <c r="L255" s="219">
        <f t="shared" si="18"/>
        <v>0</v>
      </c>
      <c r="M255" s="219"/>
      <c r="N255" s="220">
        <f t="shared" si="19"/>
        <v>0</v>
      </c>
      <c r="O255" s="221"/>
      <c r="P255" s="220">
        <v>0</v>
      </c>
      <c r="Q255" s="223"/>
      <c r="T255" s="223"/>
      <c r="U255" s="223"/>
    </row>
    <row r="256" spans="1:21" ht="15" customHeight="1" x14ac:dyDescent="0.25">
      <c r="A256" s="214"/>
      <c r="B256" s="214"/>
      <c r="C256" s="214"/>
      <c r="D256" s="214"/>
      <c r="E256" s="214"/>
      <c r="F256" s="214"/>
      <c r="G256" s="214"/>
      <c r="H256" s="216"/>
      <c r="I256" s="217"/>
      <c r="J256" s="216"/>
      <c r="K256" s="218"/>
      <c r="L256" s="219">
        <f t="shared" si="18"/>
        <v>0</v>
      </c>
      <c r="M256" s="219"/>
      <c r="N256" s="220">
        <f t="shared" si="19"/>
        <v>0</v>
      </c>
      <c r="O256" s="221"/>
      <c r="P256" s="220">
        <v>0</v>
      </c>
      <c r="Q256" s="223"/>
      <c r="T256" s="223"/>
      <c r="U256" s="223"/>
    </row>
    <row r="257" spans="1:21" ht="15" customHeight="1" x14ac:dyDescent="0.25">
      <c r="A257" s="214"/>
      <c r="B257" s="214"/>
      <c r="C257" s="214"/>
      <c r="D257" s="214"/>
      <c r="E257" s="214"/>
      <c r="F257" s="214"/>
      <c r="G257" s="214"/>
      <c r="H257" s="216"/>
      <c r="I257" s="217"/>
      <c r="J257" s="216"/>
      <c r="K257" s="218"/>
      <c r="L257" s="219">
        <f t="shared" si="18"/>
        <v>0</v>
      </c>
      <c r="M257" s="219"/>
      <c r="N257" s="220">
        <f t="shared" si="19"/>
        <v>0</v>
      </c>
      <c r="O257" s="221"/>
      <c r="P257" s="220">
        <v>0</v>
      </c>
      <c r="Q257" s="223"/>
      <c r="T257" s="223"/>
      <c r="U257" s="223"/>
    </row>
    <row r="258" spans="1:21" ht="15" customHeight="1" x14ac:dyDescent="0.25">
      <c r="A258" s="214"/>
      <c r="B258" s="214"/>
      <c r="C258" s="214"/>
      <c r="D258" s="214"/>
      <c r="E258" s="214"/>
      <c r="F258" s="214"/>
      <c r="G258" s="214"/>
      <c r="H258" s="216"/>
      <c r="I258" s="217"/>
      <c r="J258" s="216"/>
      <c r="K258" s="218"/>
      <c r="L258" s="219">
        <f t="shared" si="18"/>
        <v>0</v>
      </c>
      <c r="M258" s="219"/>
      <c r="N258" s="220">
        <f t="shared" si="19"/>
        <v>0</v>
      </c>
      <c r="O258" s="221"/>
      <c r="P258" s="220">
        <v>0</v>
      </c>
      <c r="Q258" s="223"/>
      <c r="T258" s="223"/>
      <c r="U258" s="223"/>
    </row>
    <row r="259" spans="1:21" ht="15" customHeight="1" x14ac:dyDescent="0.25">
      <c r="A259" s="214"/>
      <c r="B259" s="214"/>
      <c r="C259" s="214"/>
      <c r="D259" s="214"/>
      <c r="E259" s="214"/>
      <c r="F259" s="214"/>
      <c r="G259" s="214"/>
      <c r="H259" s="216"/>
      <c r="I259" s="217"/>
      <c r="J259" s="216"/>
      <c r="K259" s="218"/>
      <c r="L259" s="219">
        <f t="shared" si="18"/>
        <v>0</v>
      </c>
      <c r="M259" s="219"/>
      <c r="N259" s="220">
        <f t="shared" si="19"/>
        <v>0</v>
      </c>
      <c r="O259" s="221"/>
      <c r="P259" s="220">
        <v>0</v>
      </c>
      <c r="Q259" s="223"/>
      <c r="T259" s="223"/>
      <c r="U259" s="223"/>
    </row>
    <row r="260" spans="1:21" ht="15" customHeight="1" x14ac:dyDescent="0.25">
      <c r="A260" s="214"/>
      <c r="B260" s="214"/>
      <c r="C260" s="214"/>
      <c r="D260" s="214"/>
      <c r="E260" s="214"/>
      <c r="F260" s="214"/>
      <c r="G260" s="214"/>
      <c r="H260" s="216"/>
      <c r="I260" s="217"/>
      <c r="J260" s="216"/>
      <c r="K260" s="218"/>
      <c r="L260" s="219">
        <f t="shared" si="18"/>
        <v>0</v>
      </c>
      <c r="M260" s="219"/>
      <c r="N260" s="220">
        <f t="shared" si="19"/>
        <v>0</v>
      </c>
      <c r="O260" s="221"/>
      <c r="P260" s="220">
        <v>0</v>
      </c>
      <c r="Q260" s="223"/>
      <c r="T260" s="223"/>
      <c r="U260" s="223"/>
    </row>
    <row r="261" spans="1:21" ht="15" customHeight="1" x14ac:dyDescent="0.25">
      <c r="A261" s="214"/>
      <c r="B261" s="214"/>
      <c r="C261" s="214"/>
      <c r="D261" s="214"/>
      <c r="E261" s="214"/>
      <c r="F261" s="214"/>
      <c r="G261" s="214"/>
      <c r="H261" s="216"/>
      <c r="I261" s="217"/>
      <c r="J261" s="216"/>
      <c r="K261" s="218"/>
      <c r="L261" s="219">
        <f t="shared" si="18"/>
        <v>0</v>
      </c>
      <c r="M261" s="219"/>
      <c r="N261" s="220">
        <f t="shared" si="19"/>
        <v>0</v>
      </c>
      <c r="O261" s="221"/>
      <c r="P261" s="220">
        <v>0</v>
      </c>
      <c r="Q261" s="223"/>
      <c r="T261" s="223"/>
      <c r="U261" s="223"/>
    </row>
    <row r="262" spans="1:21" ht="15" customHeight="1" x14ac:dyDescent="0.25">
      <c r="A262" s="214"/>
      <c r="B262" s="214"/>
      <c r="C262" s="214"/>
      <c r="D262" s="214"/>
      <c r="E262" s="214"/>
      <c r="F262" s="214"/>
      <c r="G262" s="214"/>
      <c r="H262" s="216"/>
      <c r="I262" s="217"/>
      <c r="J262" s="216"/>
      <c r="K262" s="218"/>
      <c r="L262" s="219">
        <f t="shared" si="18"/>
        <v>0</v>
      </c>
      <c r="M262" s="219"/>
      <c r="N262" s="220">
        <f t="shared" si="19"/>
        <v>0</v>
      </c>
      <c r="O262" s="221"/>
      <c r="P262" s="220">
        <v>0</v>
      </c>
      <c r="Q262" s="223"/>
      <c r="T262" s="223"/>
      <c r="U262" s="223"/>
    </row>
    <row r="263" spans="1:21" ht="15" customHeight="1" x14ac:dyDescent="0.25">
      <c r="A263" s="214"/>
      <c r="B263" s="214"/>
      <c r="C263" s="214"/>
      <c r="D263" s="214"/>
      <c r="E263" s="214"/>
      <c r="F263" s="214"/>
      <c r="G263" s="214"/>
      <c r="H263" s="216"/>
      <c r="I263" s="217"/>
      <c r="J263" s="216"/>
      <c r="K263" s="218"/>
      <c r="L263" s="219">
        <f t="shared" si="18"/>
        <v>0</v>
      </c>
      <c r="M263" s="219"/>
      <c r="N263" s="220">
        <f t="shared" si="19"/>
        <v>0</v>
      </c>
      <c r="O263" s="221"/>
      <c r="P263" s="220">
        <v>0</v>
      </c>
      <c r="Q263" s="223"/>
      <c r="T263" s="223"/>
      <c r="U263" s="223"/>
    </row>
    <row r="264" spans="1:21" ht="15" customHeight="1" x14ac:dyDescent="0.25">
      <c r="A264" s="214"/>
      <c r="B264" s="214"/>
      <c r="C264" s="214"/>
      <c r="D264" s="214"/>
      <c r="E264" s="214"/>
      <c r="F264" s="214"/>
      <c r="G264" s="214"/>
      <c r="H264" s="216"/>
      <c r="I264" s="217"/>
      <c r="J264" s="216"/>
      <c r="K264" s="218"/>
      <c r="L264" s="219">
        <f t="shared" si="18"/>
        <v>0</v>
      </c>
      <c r="M264" s="219"/>
      <c r="N264" s="220">
        <f t="shared" si="19"/>
        <v>0</v>
      </c>
      <c r="O264" s="221"/>
      <c r="P264" s="220">
        <v>0</v>
      </c>
      <c r="Q264" s="223"/>
      <c r="T264" s="223"/>
      <c r="U264" s="223"/>
    </row>
    <row r="265" spans="1:21" ht="15" customHeight="1" x14ac:dyDescent="0.25">
      <c r="A265" s="214"/>
      <c r="B265" s="214"/>
      <c r="C265" s="214"/>
      <c r="D265" s="214"/>
      <c r="E265" s="214"/>
      <c r="F265" s="214"/>
      <c r="G265" s="214"/>
      <c r="H265" s="216"/>
      <c r="I265" s="217"/>
      <c r="J265" s="216"/>
      <c r="K265" s="218"/>
      <c r="L265" s="219">
        <f t="shared" si="18"/>
        <v>0</v>
      </c>
      <c r="M265" s="219"/>
      <c r="N265" s="220">
        <f t="shared" si="19"/>
        <v>0</v>
      </c>
      <c r="O265" s="221"/>
      <c r="P265" s="220">
        <v>0</v>
      </c>
      <c r="Q265" s="223"/>
      <c r="T265" s="223"/>
      <c r="U265" s="223"/>
    </row>
    <row r="266" spans="1:21" ht="15" customHeight="1" x14ac:dyDescent="0.25">
      <c r="A266" s="214"/>
      <c r="B266" s="214"/>
      <c r="C266" s="214"/>
      <c r="D266" s="214"/>
      <c r="E266" s="214"/>
      <c r="F266" s="214"/>
      <c r="G266" s="214"/>
      <c r="H266" s="216"/>
      <c r="I266" s="217"/>
      <c r="J266" s="216"/>
      <c r="K266" s="218"/>
      <c r="L266" s="219">
        <f t="shared" si="18"/>
        <v>0</v>
      </c>
      <c r="M266" s="219"/>
      <c r="N266" s="220">
        <f t="shared" si="19"/>
        <v>0</v>
      </c>
      <c r="O266" s="221"/>
      <c r="P266" s="220">
        <v>0</v>
      </c>
      <c r="Q266" s="223"/>
      <c r="T266" s="223"/>
      <c r="U266" s="223"/>
    </row>
    <row r="267" spans="1:21" x14ac:dyDescent="0.25">
      <c r="K267" s="235"/>
      <c r="L267" s="235"/>
    </row>
  </sheetData>
  <sheetProtection selectLockedCells="1" sort="0" autoFilter="0" selectUnlockedCells="1"/>
  <autoFilter ref="A7:U266">
    <sortState ref="A189:U512">
      <sortCondition ref="F7:F508"/>
    </sortState>
  </autoFilter>
  <dataValidations count="1">
    <dataValidation allowBlank="1" showErrorMessage="1" sqref="N6 P6 F10 F23 F26:F29 F36 F31:F33 F41 F46:F47 F75:F76"/>
  </dataValidations>
  <pageMargins left="0.23622047244094491" right="0" top="0.39370078740157483" bottom="0.39370078740157483" header="0.51181102362204722" footer="0.51181102362204722"/>
  <pageSetup paperSize="9" scale="54" firstPageNumber="0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>
      <selection activeCell="C33" sqref="C33"/>
    </sheetView>
  </sheetViews>
  <sheetFormatPr defaultRowHeight="15" x14ac:dyDescent="0.25"/>
  <cols>
    <col min="1" max="1" width="24.85546875" bestFit="1" customWidth="1"/>
    <col min="2" max="2" width="34.42578125" customWidth="1"/>
    <col min="3" max="3" width="35.85546875" bestFit="1" customWidth="1"/>
    <col min="4" max="4" width="40.7109375" customWidth="1"/>
    <col min="5" max="5" width="40.42578125" customWidth="1"/>
  </cols>
  <sheetData>
    <row r="1" spans="1:5" x14ac:dyDescent="0.25">
      <c r="A1" s="205" t="s">
        <v>1016</v>
      </c>
      <c r="B1" s="206" t="s">
        <v>1019</v>
      </c>
    </row>
    <row r="2" spans="1:5" x14ac:dyDescent="0.25">
      <c r="A2" s="205" t="s">
        <v>467</v>
      </c>
      <c r="B2" s="206" t="s">
        <v>278</v>
      </c>
    </row>
    <row r="4" spans="1:5" x14ac:dyDescent="0.25">
      <c r="A4" s="203"/>
      <c r="B4" s="599"/>
      <c r="C4" s="202" t="s">
        <v>474</v>
      </c>
      <c r="D4" s="599"/>
      <c r="E4" s="600"/>
    </row>
    <row r="5" spans="1:5" x14ac:dyDescent="0.25">
      <c r="A5" s="202" t="s">
        <v>238</v>
      </c>
      <c r="B5" s="202" t="s">
        <v>26</v>
      </c>
      <c r="C5" s="203" t="s">
        <v>1221</v>
      </c>
      <c r="D5" s="610" t="s">
        <v>1222</v>
      </c>
      <c r="E5" s="603" t="s">
        <v>1082</v>
      </c>
    </row>
    <row r="6" spans="1:5" x14ac:dyDescent="0.25">
      <c r="A6" s="203" t="s">
        <v>719</v>
      </c>
      <c r="B6" s="203" t="s">
        <v>1069</v>
      </c>
      <c r="C6" s="604">
        <v>1</v>
      </c>
      <c r="D6" s="611">
        <v>1</v>
      </c>
      <c r="E6" s="605">
        <v>1</v>
      </c>
    </row>
    <row r="7" spans="1:5" x14ac:dyDescent="0.25">
      <c r="A7" s="203" t="s">
        <v>1219</v>
      </c>
      <c r="B7" s="599"/>
      <c r="C7" s="604">
        <v>1</v>
      </c>
      <c r="D7" s="611">
        <v>1</v>
      </c>
      <c r="E7" s="605">
        <v>1</v>
      </c>
    </row>
    <row r="8" spans="1:5" x14ac:dyDescent="0.25">
      <c r="A8" s="203" t="s">
        <v>279</v>
      </c>
      <c r="B8" s="203" t="s">
        <v>1148</v>
      </c>
      <c r="C8" s="604">
        <v>1</v>
      </c>
      <c r="D8" s="611">
        <v>1</v>
      </c>
      <c r="E8" s="605">
        <v>1</v>
      </c>
    </row>
    <row r="9" spans="1:5" x14ac:dyDescent="0.25">
      <c r="A9" s="601"/>
      <c r="B9" s="204" t="s">
        <v>415</v>
      </c>
      <c r="C9" s="606">
        <v>1</v>
      </c>
      <c r="D9" s="612">
        <v>1</v>
      </c>
      <c r="E9" s="607"/>
    </row>
    <row r="10" spans="1:5" x14ac:dyDescent="0.25">
      <c r="A10" s="601"/>
      <c r="B10" s="204" t="s">
        <v>418</v>
      </c>
      <c r="C10" s="606">
        <v>1</v>
      </c>
      <c r="D10" s="612">
        <v>1</v>
      </c>
      <c r="E10" s="607">
        <v>1</v>
      </c>
    </row>
    <row r="11" spans="1:5" x14ac:dyDescent="0.25">
      <c r="A11" s="601"/>
      <c r="B11" s="204" t="s">
        <v>1025</v>
      </c>
      <c r="C11" s="606">
        <v>1</v>
      </c>
      <c r="D11" s="612">
        <v>1</v>
      </c>
      <c r="E11" s="607"/>
    </row>
    <row r="12" spans="1:5" x14ac:dyDescent="0.25">
      <c r="A12" s="601"/>
      <c r="B12" s="204" t="s">
        <v>1039</v>
      </c>
      <c r="C12" s="606">
        <v>1</v>
      </c>
      <c r="D12" s="612">
        <v>1</v>
      </c>
      <c r="E12" s="607">
        <v>1</v>
      </c>
    </row>
    <row r="13" spans="1:5" x14ac:dyDescent="0.25">
      <c r="A13" s="601"/>
      <c r="B13" s="204" t="s">
        <v>223</v>
      </c>
      <c r="C13" s="606">
        <v>1</v>
      </c>
      <c r="D13" s="612">
        <v>1</v>
      </c>
      <c r="E13" s="607"/>
    </row>
    <row r="14" spans="1:5" x14ac:dyDescent="0.25">
      <c r="A14" s="601"/>
      <c r="B14" s="204" t="s">
        <v>1183</v>
      </c>
      <c r="C14" s="606">
        <v>1</v>
      </c>
      <c r="D14" s="612">
        <v>1</v>
      </c>
      <c r="E14" s="607">
        <v>1</v>
      </c>
    </row>
    <row r="15" spans="1:5" x14ac:dyDescent="0.25">
      <c r="A15" s="601"/>
      <c r="B15" s="204" t="s">
        <v>1187</v>
      </c>
      <c r="C15" s="606">
        <v>1</v>
      </c>
      <c r="D15" s="612">
        <v>1</v>
      </c>
      <c r="E15" s="607">
        <v>1</v>
      </c>
    </row>
    <row r="16" spans="1:5" x14ac:dyDescent="0.25">
      <c r="A16" s="601"/>
      <c r="B16" s="204" t="s">
        <v>1040</v>
      </c>
      <c r="C16" s="606">
        <v>4</v>
      </c>
      <c r="D16" s="612">
        <v>4</v>
      </c>
      <c r="E16" s="607">
        <v>4</v>
      </c>
    </row>
    <row r="17" spans="1:5" x14ac:dyDescent="0.25">
      <c r="A17" s="601"/>
      <c r="B17" s="204" t="s">
        <v>1160</v>
      </c>
      <c r="C17" s="606">
        <v>3</v>
      </c>
      <c r="D17" s="612">
        <v>3</v>
      </c>
      <c r="E17" s="607">
        <v>3</v>
      </c>
    </row>
    <row r="18" spans="1:5" x14ac:dyDescent="0.25">
      <c r="A18" s="601"/>
      <c r="B18" s="204" t="s">
        <v>486</v>
      </c>
      <c r="C18" s="606">
        <v>1</v>
      </c>
      <c r="D18" s="612">
        <v>1</v>
      </c>
      <c r="E18" s="607">
        <v>1</v>
      </c>
    </row>
    <row r="19" spans="1:5" x14ac:dyDescent="0.25">
      <c r="A19" s="203" t="s">
        <v>1220</v>
      </c>
      <c r="B19" s="599"/>
      <c r="C19" s="604">
        <v>16</v>
      </c>
      <c r="D19" s="611">
        <v>16</v>
      </c>
      <c r="E19" s="605">
        <v>13</v>
      </c>
    </row>
    <row r="20" spans="1:5" x14ac:dyDescent="0.25">
      <c r="A20" s="314" t="s">
        <v>422</v>
      </c>
      <c r="B20" s="602"/>
      <c r="C20" s="608">
        <v>17</v>
      </c>
      <c r="D20" s="613">
        <v>17</v>
      </c>
      <c r="E20" s="609">
        <v>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9"/>
  <sheetViews>
    <sheetView workbookViewId="0">
      <selection activeCell="F2" sqref="F1:AO65536"/>
    </sheetView>
  </sheetViews>
  <sheetFormatPr defaultRowHeight="15" outlineLevelCol="1" x14ac:dyDescent="0.25"/>
  <cols>
    <col min="1" max="1" width="30.85546875" customWidth="1"/>
    <col min="2" max="2" width="12" customWidth="1"/>
    <col min="6" max="41" width="0" hidden="1" customWidth="1" outlineLevel="1"/>
    <col min="42" max="42" width="9.140625" collapsed="1"/>
    <col min="44" max="44" width="11.42578125" customWidth="1"/>
  </cols>
  <sheetData>
    <row r="1" spans="1:44" ht="37.5" x14ac:dyDescent="0.3">
      <c r="A1" s="141" t="s">
        <v>1216</v>
      </c>
      <c r="B1" s="625" t="s">
        <v>1119</v>
      </c>
      <c r="C1" s="625" t="s">
        <v>610</v>
      </c>
      <c r="D1" s="627" t="s">
        <v>735</v>
      </c>
      <c r="E1" s="629" t="s">
        <v>736</v>
      </c>
      <c r="F1" s="622" t="s">
        <v>426</v>
      </c>
      <c r="G1" s="619"/>
      <c r="H1" s="619"/>
      <c r="I1" s="619" t="s">
        <v>427</v>
      </c>
      <c r="J1" s="619"/>
      <c r="K1" s="619"/>
      <c r="L1" s="619" t="s">
        <v>428</v>
      </c>
      <c r="M1" s="619"/>
      <c r="N1" s="619"/>
      <c r="O1" s="619" t="s">
        <v>429</v>
      </c>
      <c r="P1" s="619"/>
      <c r="Q1" s="619"/>
      <c r="R1" s="619" t="s">
        <v>423</v>
      </c>
      <c r="S1" s="619"/>
      <c r="T1" s="619"/>
      <c r="U1" s="619" t="s">
        <v>430</v>
      </c>
      <c r="V1" s="619"/>
      <c r="W1" s="619"/>
      <c r="X1" s="619" t="s">
        <v>431</v>
      </c>
      <c r="Y1" s="619"/>
      <c r="Z1" s="619"/>
      <c r="AA1" s="619" t="s">
        <v>432</v>
      </c>
      <c r="AB1" s="619"/>
      <c r="AC1" s="619"/>
      <c r="AD1" s="619" t="s">
        <v>433</v>
      </c>
      <c r="AE1" s="619"/>
      <c r="AF1" s="619"/>
      <c r="AG1" s="619" t="s">
        <v>434</v>
      </c>
      <c r="AH1" s="619"/>
      <c r="AI1" s="619"/>
      <c r="AJ1" s="619" t="s">
        <v>435</v>
      </c>
      <c r="AK1" s="619"/>
      <c r="AL1" s="619"/>
      <c r="AM1" s="619" t="s">
        <v>436</v>
      </c>
      <c r="AN1" s="619"/>
      <c r="AO1" s="619"/>
      <c r="AP1" s="621" t="s">
        <v>437</v>
      </c>
      <c r="AQ1" s="621"/>
      <c r="AR1" s="621"/>
    </row>
    <row r="2" spans="1:44" ht="15" customHeight="1" x14ac:dyDescent="0.25">
      <c r="A2" s="72" t="s">
        <v>238</v>
      </c>
      <c r="B2" s="626"/>
      <c r="C2" s="626"/>
      <c r="D2" s="628"/>
      <c r="E2" s="630"/>
      <c r="F2" s="71" t="s">
        <v>1217</v>
      </c>
      <c r="G2" s="48" t="s">
        <v>735</v>
      </c>
      <c r="H2" s="48" t="s">
        <v>1218</v>
      </c>
      <c r="I2" s="71" t="s">
        <v>1217</v>
      </c>
      <c r="J2" s="48" t="s">
        <v>735</v>
      </c>
      <c r="K2" s="48" t="s">
        <v>1218</v>
      </c>
      <c r="L2" s="71" t="s">
        <v>1217</v>
      </c>
      <c r="M2" s="48" t="s">
        <v>735</v>
      </c>
      <c r="N2" s="48" t="s">
        <v>1218</v>
      </c>
      <c r="O2" s="71" t="s">
        <v>1217</v>
      </c>
      <c r="P2" s="48" t="s">
        <v>735</v>
      </c>
      <c r="Q2" s="48" t="s">
        <v>1218</v>
      </c>
      <c r="R2" s="71" t="s">
        <v>1217</v>
      </c>
      <c r="S2" s="48" t="s">
        <v>735</v>
      </c>
      <c r="T2" s="48" t="s">
        <v>1218</v>
      </c>
      <c r="U2" s="71" t="s">
        <v>1217</v>
      </c>
      <c r="V2" s="48" t="s">
        <v>735</v>
      </c>
      <c r="W2" s="48" t="s">
        <v>1218</v>
      </c>
      <c r="X2" s="71" t="s">
        <v>1217</v>
      </c>
      <c r="Y2" s="48" t="s">
        <v>735</v>
      </c>
      <c r="Z2" s="48" t="s">
        <v>1218</v>
      </c>
      <c r="AA2" s="71" t="s">
        <v>1217</v>
      </c>
      <c r="AB2" s="48" t="s">
        <v>735</v>
      </c>
      <c r="AC2" s="48" t="s">
        <v>1218</v>
      </c>
      <c r="AD2" s="71" t="s">
        <v>1217</v>
      </c>
      <c r="AE2" s="48" t="s">
        <v>735</v>
      </c>
      <c r="AF2" s="48" t="s">
        <v>1218</v>
      </c>
      <c r="AG2" s="71" t="s">
        <v>1217</v>
      </c>
      <c r="AH2" s="48" t="s">
        <v>735</v>
      </c>
      <c r="AI2" s="48" t="s">
        <v>1218</v>
      </c>
      <c r="AJ2" s="71" t="s">
        <v>1217</v>
      </c>
      <c r="AK2" s="48" t="s">
        <v>735</v>
      </c>
      <c r="AL2" s="48" t="s">
        <v>1218</v>
      </c>
      <c r="AM2" s="71" t="s">
        <v>1217</v>
      </c>
      <c r="AN2" s="48" t="s">
        <v>735</v>
      </c>
      <c r="AO2" s="48" t="s">
        <v>1218</v>
      </c>
      <c r="AP2" s="71" t="s">
        <v>1217</v>
      </c>
      <c r="AQ2" s="48" t="s">
        <v>735</v>
      </c>
      <c r="AR2" s="48" t="s">
        <v>1218</v>
      </c>
    </row>
    <row r="3" spans="1:44" x14ac:dyDescent="0.25">
      <c r="A3" s="263" t="s">
        <v>712</v>
      </c>
      <c r="B3" s="320">
        <v>0</v>
      </c>
      <c r="C3" s="320">
        <f t="shared" ref="C3:C8" si="0">B3/12*$C$14</f>
        <v>0</v>
      </c>
      <c r="D3" s="262" t="e">
        <f>AR3</f>
        <v>#DIV/0!</v>
      </c>
      <c r="E3" s="265" t="e">
        <f t="shared" ref="E3:E8" si="1">IF(D3&gt;0%,C3/D3,100%)</f>
        <v>#DIV/0!</v>
      </c>
      <c r="F3" s="99">
        <v>0</v>
      </c>
      <c r="G3" s="100">
        <v>0</v>
      </c>
      <c r="H3" s="266">
        <v>0</v>
      </c>
      <c r="I3" s="99">
        <v>0</v>
      </c>
      <c r="J3" s="100">
        <v>0</v>
      </c>
      <c r="K3" s="266">
        <v>0</v>
      </c>
      <c r="L3" s="99">
        <v>0</v>
      </c>
      <c r="M3" s="100">
        <v>0</v>
      </c>
      <c r="N3" s="266">
        <v>0</v>
      </c>
      <c r="O3" s="99">
        <v>0</v>
      </c>
      <c r="P3" s="100">
        <v>0</v>
      </c>
      <c r="Q3" s="266">
        <v>0</v>
      </c>
      <c r="R3" s="99">
        <v>0</v>
      </c>
      <c r="S3" s="100">
        <v>0</v>
      </c>
      <c r="T3" s="266">
        <v>0</v>
      </c>
      <c r="U3" s="99">
        <v>0</v>
      </c>
      <c r="V3" s="100">
        <v>0</v>
      </c>
      <c r="W3" s="266">
        <v>0</v>
      </c>
      <c r="X3" s="99">
        <v>0</v>
      </c>
      <c r="Y3" s="100">
        <v>0</v>
      </c>
      <c r="Z3" s="266" t="e">
        <f t="shared" ref="Z3:Z9" si="2">Y3/X3</f>
        <v>#DIV/0!</v>
      </c>
      <c r="AA3" s="99">
        <v>0</v>
      </c>
      <c r="AB3" s="100">
        <v>0</v>
      </c>
      <c r="AC3" s="266" t="e">
        <f t="shared" ref="AC3:AC9" si="3">AB3/AA3</f>
        <v>#DIV/0!</v>
      </c>
      <c r="AD3" s="99">
        <v>0</v>
      </c>
      <c r="AE3" s="100">
        <v>0</v>
      </c>
      <c r="AF3" s="266" t="e">
        <f t="shared" ref="AF3:AF9" si="4">AE3/AD3</f>
        <v>#DIV/0!</v>
      </c>
      <c r="AG3" s="99">
        <v>0</v>
      </c>
      <c r="AH3" s="100">
        <v>0</v>
      </c>
      <c r="AI3" s="266" t="e">
        <f t="shared" ref="AI3:AI9" si="5">AH3/AG3</f>
        <v>#DIV/0!</v>
      </c>
      <c r="AJ3" s="99">
        <v>0</v>
      </c>
      <c r="AK3" s="100">
        <v>0</v>
      </c>
      <c r="AL3" s="266" t="e">
        <f t="shared" ref="AL3:AL9" si="6">AK3/AJ3</f>
        <v>#DIV/0!</v>
      </c>
      <c r="AM3" s="99">
        <v>0</v>
      </c>
      <c r="AN3" s="100">
        <v>0</v>
      </c>
      <c r="AO3" s="270" t="e">
        <f t="shared" ref="AO3:AO9" si="7">AN3/AM3</f>
        <v>#DIV/0!</v>
      </c>
      <c r="AP3" s="271">
        <f t="shared" ref="AP3:AP9" si="8">AVERAGE(F3,I3,L3,O3,R3,U3,X3,AA3,AD3,AG3,AJ3,AM3)</f>
        <v>0</v>
      </c>
      <c r="AQ3" s="271">
        <f t="shared" ref="AQ3:AQ9" si="9">SUM(G3,J3,M3,P3,S3,V3,Y3,AB3,AE3,AH3,AK3,AN3)</f>
        <v>0</v>
      </c>
      <c r="AR3" s="272" t="e">
        <f t="shared" ref="AR3:AR9" si="10">AQ3/AP3</f>
        <v>#DIV/0!</v>
      </c>
    </row>
    <row r="4" spans="1:44" x14ac:dyDescent="0.25">
      <c r="A4" s="263" t="s">
        <v>250</v>
      </c>
      <c r="B4" s="320">
        <v>0</v>
      </c>
      <c r="C4" s="320">
        <f t="shared" si="0"/>
        <v>0</v>
      </c>
      <c r="D4" s="262" t="e">
        <f t="shared" ref="D4:D8" si="11">AR4</f>
        <v>#DIV/0!</v>
      </c>
      <c r="E4" s="265" t="e">
        <f t="shared" si="1"/>
        <v>#DIV/0!</v>
      </c>
      <c r="F4" s="106">
        <v>0</v>
      </c>
      <c r="G4" s="103">
        <v>0</v>
      </c>
      <c r="H4" s="266">
        <v>0</v>
      </c>
      <c r="I4" s="106">
        <v>0</v>
      </c>
      <c r="J4" s="103">
        <v>0</v>
      </c>
      <c r="K4" s="266">
        <v>0</v>
      </c>
      <c r="L4" s="106">
        <v>0</v>
      </c>
      <c r="M4" s="103">
        <v>0</v>
      </c>
      <c r="N4" s="266">
        <v>0</v>
      </c>
      <c r="O4" s="106">
        <v>0</v>
      </c>
      <c r="P4" s="103">
        <v>0</v>
      </c>
      <c r="Q4" s="266">
        <v>0</v>
      </c>
      <c r="R4" s="106">
        <v>0</v>
      </c>
      <c r="S4" s="103">
        <v>0</v>
      </c>
      <c r="T4" s="266">
        <v>0</v>
      </c>
      <c r="U4" s="106">
        <v>0</v>
      </c>
      <c r="V4" s="103">
        <v>0</v>
      </c>
      <c r="W4" s="266">
        <v>0</v>
      </c>
      <c r="X4" s="106">
        <v>0</v>
      </c>
      <c r="Y4" s="103">
        <v>0</v>
      </c>
      <c r="Z4" s="266" t="e">
        <f t="shared" si="2"/>
        <v>#DIV/0!</v>
      </c>
      <c r="AA4" s="106">
        <v>0</v>
      </c>
      <c r="AB4" s="103">
        <v>0</v>
      </c>
      <c r="AC4" s="266" t="e">
        <f t="shared" si="3"/>
        <v>#DIV/0!</v>
      </c>
      <c r="AD4" s="106">
        <v>0</v>
      </c>
      <c r="AE4" s="103">
        <v>0</v>
      </c>
      <c r="AF4" s="266" t="e">
        <f t="shared" si="4"/>
        <v>#DIV/0!</v>
      </c>
      <c r="AG4" s="106">
        <v>0</v>
      </c>
      <c r="AH4" s="103">
        <v>0</v>
      </c>
      <c r="AI4" s="266" t="e">
        <f t="shared" si="5"/>
        <v>#DIV/0!</v>
      </c>
      <c r="AJ4" s="106">
        <v>0</v>
      </c>
      <c r="AK4" s="103">
        <v>0</v>
      </c>
      <c r="AL4" s="266" t="e">
        <f t="shared" si="6"/>
        <v>#DIV/0!</v>
      </c>
      <c r="AM4" s="106">
        <v>0</v>
      </c>
      <c r="AN4" s="103">
        <v>0</v>
      </c>
      <c r="AO4" s="270" t="e">
        <f t="shared" si="7"/>
        <v>#DIV/0!</v>
      </c>
      <c r="AP4" s="271">
        <f t="shared" si="8"/>
        <v>0</v>
      </c>
      <c r="AQ4" s="271">
        <f t="shared" si="9"/>
        <v>0</v>
      </c>
      <c r="AR4" s="272" t="e">
        <f t="shared" si="10"/>
        <v>#DIV/0!</v>
      </c>
    </row>
    <row r="5" spans="1:44" x14ac:dyDescent="0.25">
      <c r="A5" s="274" t="s">
        <v>262</v>
      </c>
      <c r="B5" s="58">
        <v>0</v>
      </c>
      <c r="C5" s="58">
        <f t="shared" si="0"/>
        <v>0</v>
      </c>
      <c r="D5" s="152" t="e">
        <f t="shared" si="11"/>
        <v>#DIV/0!</v>
      </c>
      <c r="E5" s="275" t="e">
        <f t="shared" si="1"/>
        <v>#DIV/0!</v>
      </c>
      <c r="F5" s="106">
        <v>0</v>
      </c>
      <c r="G5" s="103">
        <v>0</v>
      </c>
      <c r="H5" s="266">
        <v>0</v>
      </c>
      <c r="I5" s="106">
        <v>0</v>
      </c>
      <c r="J5" s="103">
        <v>0</v>
      </c>
      <c r="K5" s="266">
        <v>0</v>
      </c>
      <c r="L5" s="106">
        <v>0</v>
      </c>
      <c r="M5" s="103">
        <v>0</v>
      </c>
      <c r="N5" s="266">
        <v>0</v>
      </c>
      <c r="O5" s="106">
        <v>0</v>
      </c>
      <c r="P5" s="103">
        <v>0</v>
      </c>
      <c r="Q5" s="266">
        <v>0</v>
      </c>
      <c r="R5" s="106">
        <v>0</v>
      </c>
      <c r="S5" s="103">
        <v>0</v>
      </c>
      <c r="T5" s="266">
        <v>0</v>
      </c>
      <c r="U5" s="106">
        <v>0</v>
      </c>
      <c r="V5" s="103">
        <v>0</v>
      </c>
      <c r="W5" s="266">
        <v>0</v>
      </c>
      <c r="X5" s="106">
        <v>0</v>
      </c>
      <c r="Y5" s="103">
        <v>0</v>
      </c>
      <c r="Z5" s="266" t="e">
        <f t="shared" si="2"/>
        <v>#DIV/0!</v>
      </c>
      <c r="AA5" s="106">
        <v>0</v>
      </c>
      <c r="AB5" s="103">
        <v>0</v>
      </c>
      <c r="AC5" s="266" t="e">
        <f t="shared" si="3"/>
        <v>#DIV/0!</v>
      </c>
      <c r="AD5" s="106">
        <v>0</v>
      </c>
      <c r="AE5" s="103">
        <v>0</v>
      </c>
      <c r="AF5" s="266" t="e">
        <f t="shared" si="4"/>
        <v>#DIV/0!</v>
      </c>
      <c r="AG5" s="106">
        <v>0</v>
      </c>
      <c r="AH5" s="103">
        <v>0</v>
      </c>
      <c r="AI5" s="266" t="e">
        <f t="shared" si="5"/>
        <v>#DIV/0!</v>
      </c>
      <c r="AJ5" s="106">
        <v>0</v>
      </c>
      <c r="AK5" s="103">
        <v>0</v>
      </c>
      <c r="AL5" s="266" t="e">
        <f t="shared" si="6"/>
        <v>#DIV/0!</v>
      </c>
      <c r="AM5" s="106">
        <v>0</v>
      </c>
      <c r="AN5" s="103">
        <v>0</v>
      </c>
      <c r="AO5" s="270" t="e">
        <f t="shared" si="7"/>
        <v>#DIV/0!</v>
      </c>
      <c r="AP5" s="271">
        <f t="shared" si="8"/>
        <v>0</v>
      </c>
      <c r="AQ5" s="271">
        <f t="shared" si="9"/>
        <v>0</v>
      </c>
      <c r="AR5" s="272" t="e">
        <f t="shared" si="10"/>
        <v>#DIV/0!</v>
      </c>
    </row>
    <row r="6" spans="1:44" x14ac:dyDescent="0.25">
      <c r="A6" s="263" t="s">
        <v>424</v>
      </c>
      <c r="B6" s="320">
        <v>0</v>
      </c>
      <c r="C6" s="320">
        <f t="shared" si="0"/>
        <v>0</v>
      </c>
      <c r="D6" s="262" t="e">
        <f t="shared" si="11"/>
        <v>#DIV/0!</v>
      </c>
      <c r="E6" s="265" t="e">
        <f t="shared" si="1"/>
        <v>#DIV/0!</v>
      </c>
      <c r="F6" s="105">
        <v>0</v>
      </c>
      <c r="G6" s="102">
        <v>0</v>
      </c>
      <c r="H6" s="277">
        <v>0</v>
      </c>
      <c r="I6" s="105">
        <v>0</v>
      </c>
      <c r="J6" s="102">
        <v>0</v>
      </c>
      <c r="K6" s="277">
        <v>0</v>
      </c>
      <c r="L6" s="105">
        <v>0</v>
      </c>
      <c r="M6" s="102">
        <v>0</v>
      </c>
      <c r="N6" s="277">
        <v>0</v>
      </c>
      <c r="O6" s="105">
        <v>0</v>
      </c>
      <c r="P6" s="102">
        <v>0</v>
      </c>
      <c r="Q6" s="277">
        <v>0</v>
      </c>
      <c r="R6" s="105">
        <v>0</v>
      </c>
      <c r="S6" s="102">
        <v>0</v>
      </c>
      <c r="T6" s="277">
        <v>0</v>
      </c>
      <c r="U6" s="105">
        <v>0</v>
      </c>
      <c r="V6" s="102">
        <v>0</v>
      </c>
      <c r="W6" s="277">
        <v>0</v>
      </c>
      <c r="X6" s="105">
        <v>0</v>
      </c>
      <c r="Y6" s="102">
        <v>0</v>
      </c>
      <c r="Z6" s="277" t="e">
        <f t="shared" si="2"/>
        <v>#DIV/0!</v>
      </c>
      <c r="AA6" s="105">
        <v>0</v>
      </c>
      <c r="AB6" s="102">
        <v>0</v>
      </c>
      <c r="AC6" s="277" t="e">
        <f t="shared" si="3"/>
        <v>#DIV/0!</v>
      </c>
      <c r="AD6" s="105">
        <v>0</v>
      </c>
      <c r="AE6" s="102">
        <v>0</v>
      </c>
      <c r="AF6" s="277" t="e">
        <f t="shared" si="4"/>
        <v>#DIV/0!</v>
      </c>
      <c r="AG6" s="105">
        <v>0</v>
      </c>
      <c r="AH6" s="102">
        <v>0</v>
      </c>
      <c r="AI6" s="277" t="e">
        <f t="shared" si="5"/>
        <v>#DIV/0!</v>
      </c>
      <c r="AJ6" s="105">
        <v>0</v>
      </c>
      <c r="AK6" s="102">
        <v>0</v>
      </c>
      <c r="AL6" s="277" t="e">
        <f t="shared" si="6"/>
        <v>#DIV/0!</v>
      </c>
      <c r="AM6" s="105">
        <v>0</v>
      </c>
      <c r="AN6" s="102">
        <v>0</v>
      </c>
      <c r="AO6" s="270" t="e">
        <f t="shared" si="7"/>
        <v>#DIV/0!</v>
      </c>
      <c r="AP6" s="271">
        <f t="shared" si="8"/>
        <v>0</v>
      </c>
      <c r="AQ6" s="271">
        <f t="shared" si="9"/>
        <v>0</v>
      </c>
      <c r="AR6" s="272" t="e">
        <f t="shared" si="10"/>
        <v>#DIV/0!</v>
      </c>
    </row>
    <row r="7" spans="1:44" x14ac:dyDescent="0.25">
      <c r="A7" s="149" t="s">
        <v>571</v>
      </c>
      <c r="B7" s="156">
        <v>0</v>
      </c>
      <c r="C7" s="58">
        <f t="shared" si="0"/>
        <v>0</v>
      </c>
      <c r="D7" s="152" t="e">
        <f>AR7</f>
        <v>#DIV/0!</v>
      </c>
      <c r="E7" s="275" t="e">
        <f t="shared" si="1"/>
        <v>#DIV/0!</v>
      </c>
      <c r="F7" s="101">
        <v>0</v>
      </c>
      <c r="G7" s="102">
        <v>0</v>
      </c>
      <c r="H7" s="277">
        <v>0</v>
      </c>
      <c r="I7" s="101">
        <v>0</v>
      </c>
      <c r="J7" s="102">
        <v>0</v>
      </c>
      <c r="K7" s="277">
        <v>0</v>
      </c>
      <c r="L7" s="101">
        <v>0</v>
      </c>
      <c r="M7" s="102">
        <v>0</v>
      </c>
      <c r="N7" s="277">
        <v>0</v>
      </c>
      <c r="O7" s="101">
        <v>0</v>
      </c>
      <c r="P7" s="102">
        <v>0</v>
      </c>
      <c r="Q7" s="277">
        <v>0</v>
      </c>
      <c r="R7" s="101">
        <v>0</v>
      </c>
      <c r="S7" s="102">
        <v>0</v>
      </c>
      <c r="T7" s="277">
        <v>0</v>
      </c>
      <c r="U7" s="101">
        <v>0</v>
      </c>
      <c r="V7" s="102">
        <v>0</v>
      </c>
      <c r="W7" s="277">
        <v>0</v>
      </c>
      <c r="X7" s="101">
        <v>0</v>
      </c>
      <c r="Y7" s="102">
        <v>0</v>
      </c>
      <c r="Z7" s="277" t="e">
        <f t="shared" si="2"/>
        <v>#DIV/0!</v>
      </c>
      <c r="AA7" s="101">
        <v>0</v>
      </c>
      <c r="AB7" s="102">
        <v>0</v>
      </c>
      <c r="AC7" s="277" t="e">
        <f t="shared" si="3"/>
        <v>#DIV/0!</v>
      </c>
      <c r="AD7" s="101">
        <v>0</v>
      </c>
      <c r="AE7" s="102">
        <v>0</v>
      </c>
      <c r="AF7" s="277" t="e">
        <f t="shared" si="4"/>
        <v>#DIV/0!</v>
      </c>
      <c r="AG7" s="101">
        <v>0</v>
      </c>
      <c r="AH7" s="102">
        <v>0</v>
      </c>
      <c r="AI7" s="277" t="e">
        <f t="shared" si="5"/>
        <v>#DIV/0!</v>
      </c>
      <c r="AJ7" s="101">
        <v>0</v>
      </c>
      <c r="AK7" s="102">
        <v>0</v>
      </c>
      <c r="AL7" s="277" t="e">
        <f t="shared" si="6"/>
        <v>#DIV/0!</v>
      </c>
      <c r="AM7" s="101">
        <v>0</v>
      </c>
      <c r="AN7" s="102">
        <v>0</v>
      </c>
      <c r="AO7" s="270" t="e">
        <f t="shared" si="7"/>
        <v>#DIV/0!</v>
      </c>
      <c r="AP7" s="271">
        <f t="shared" si="8"/>
        <v>0</v>
      </c>
      <c r="AQ7" s="271">
        <f t="shared" si="9"/>
        <v>0</v>
      </c>
      <c r="AR7" s="272" t="e">
        <f t="shared" si="10"/>
        <v>#DIV/0!</v>
      </c>
    </row>
    <row r="8" spans="1:44" x14ac:dyDescent="0.25">
      <c r="A8" s="280" t="s">
        <v>714</v>
      </c>
      <c r="B8" s="320">
        <v>0</v>
      </c>
      <c r="C8" s="320">
        <f t="shared" si="0"/>
        <v>0</v>
      </c>
      <c r="D8" s="262" t="e">
        <f t="shared" si="11"/>
        <v>#DIV/0!</v>
      </c>
      <c r="E8" s="265" t="e">
        <f t="shared" si="1"/>
        <v>#DIV/0!</v>
      </c>
      <c r="F8" s="101">
        <v>0</v>
      </c>
      <c r="G8" s="102">
        <v>0</v>
      </c>
      <c r="H8" s="277">
        <v>0</v>
      </c>
      <c r="I8" s="101">
        <v>0</v>
      </c>
      <c r="J8" s="102">
        <v>0</v>
      </c>
      <c r="K8" s="277">
        <v>0</v>
      </c>
      <c r="L8" s="101">
        <v>0</v>
      </c>
      <c r="M8" s="102">
        <v>0</v>
      </c>
      <c r="N8" s="277">
        <v>0</v>
      </c>
      <c r="O8" s="101">
        <v>0</v>
      </c>
      <c r="P8" s="102">
        <v>0</v>
      </c>
      <c r="Q8" s="277">
        <v>0</v>
      </c>
      <c r="R8" s="101">
        <v>0</v>
      </c>
      <c r="S8" s="102">
        <v>0</v>
      </c>
      <c r="T8" s="277">
        <v>0</v>
      </c>
      <c r="U8" s="101">
        <v>0</v>
      </c>
      <c r="V8" s="102">
        <v>0</v>
      </c>
      <c r="W8" s="277">
        <v>0</v>
      </c>
      <c r="X8" s="101">
        <v>0</v>
      </c>
      <c r="Y8" s="102">
        <v>0</v>
      </c>
      <c r="Z8" s="277" t="e">
        <f>Y8/X8</f>
        <v>#DIV/0!</v>
      </c>
      <c r="AA8" s="101">
        <v>0</v>
      </c>
      <c r="AB8" s="102">
        <v>0</v>
      </c>
      <c r="AC8" s="277" t="e">
        <f>AB8/AA8</f>
        <v>#DIV/0!</v>
      </c>
      <c r="AD8" s="101">
        <v>0</v>
      </c>
      <c r="AE8" s="102">
        <v>0</v>
      </c>
      <c r="AF8" s="277" t="e">
        <f>AE8/AD8</f>
        <v>#DIV/0!</v>
      </c>
      <c r="AG8" s="101">
        <v>0</v>
      </c>
      <c r="AH8" s="102">
        <v>0</v>
      </c>
      <c r="AI8" s="277" t="e">
        <f>AH8/AG8</f>
        <v>#DIV/0!</v>
      </c>
      <c r="AJ8" s="101">
        <v>0</v>
      </c>
      <c r="AK8" s="102">
        <v>0</v>
      </c>
      <c r="AL8" s="277" t="e">
        <f>AK8/AJ8</f>
        <v>#DIV/0!</v>
      </c>
      <c r="AM8" s="101">
        <v>0</v>
      </c>
      <c r="AN8" s="102">
        <v>0</v>
      </c>
      <c r="AO8" s="270" t="e">
        <f>AN8/AM8</f>
        <v>#DIV/0!</v>
      </c>
      <c r="AP8" s="271">
        <f>AVERAGE(F8,I8,L8,O8,R8,U8,X8,AA8,AD8,AG8,AJ8,AM8)</f>
        <v>0</v>
      </c>
      <c r="AQ8" s="271">
        <f>SUM(G8,J8,M8,P8,S8,V8,Y8,AB8,AE8,AH8,AK8,AN8)</f>
        <v>0</v>
      </c>
      <c r="AR8" s="272" t="e">
        <f>AQ8/AP8</f>
        <v>#DIV/0!</v>
      </c>
    </row>
    <row r="9" spans="1:44" x14ac:dyDescent="0.25">
      <c r="A9" s="281" t="s">
        <v>441</v>
      </c>
      <c r="B9" s="298">
        <v>0</v>
      </c>
      <c r="C9" s="298">
        <f>AVERAGE(C3:C8)</f>
        <v>0</v>
      </c>
      <c r="D9" s="298" t="e">
        <f>AVERAGE(D3:D8)</f>
        <v>#DIV/0!</v>
      </c>
      <c r="E9" s="298" t="e">
        <f>IF(D9&gt;0%,C9/D9,100%)</f>
        <v>#DIV/0!</v>
      </c>
      <c r="F9" s="283">
        <f>SUM(F3:F8)</f>
        <v>0</v>
      </c>
      <c r="G9" s="283">
        <f>SUM(G3:G8)</f>
        <v>0</v>
      </c>
      <c r="H9" s="282" t="e">
        <f>G9/F9</f>
        <v>#DIV/0!</v>
      </c>
      <c r="I9" s="283">
        <f>SUM(I3:I8)</f>
        <v>0</v>
      </c>
      <c r="J9" s="283">
        <f>SUM(J3:J8)</f>
        <v>0</v>
      </c>
      <c r="K9" s="282" t="e">
        <f>J9/I9</f>
        <v>#DIV/0!</v>
      </c>
      <c r="L9" s="283">
        <f>SUM(L3:L8)</f>
        <v>0</v>
      </c>
      <c r="M9" s="283">
        <f>SUM(M3:M8)</f>
        <v>0</v>
      </c>
      <c r="N9" s="282" t="e">
        <f>M9/L9</f>
        <v>#DIV/0!</v>
      </c>
      <c r="O9" s="283">
        <f>SUM(O3:O8)</f>
        <v>0</v>
      </c>
      <c r="P9" s="283">
        <f>SUM(P3:P8)</f>
        <v>0</v>
      </c>
      <c r="Q9" s="282" t="e">
        <f>P9/O9</f>
        <v>#DIV/0!</v>
      </c>
      <c r="R9" s="283">
        <f>SUM(R3:R8)</f>
        <v>0</v>
      </c>
      <c r="S9" s="283">
        <f>SUM(S3:S8)</f>
        <v>0</v>
      </c>
      <c r="T9" s="282" t="e">
        <f>S9/R9</f>
        <v>#DIV/0!</v>
      </c>
      <c r="U9" s="283">
        <f>SUM(U3:U8)</f>
        <v>0</v>
      </c>
      <c r="V9" s="283">
        <f>SUM(V3:V8)</f>
        <v>0</v>
      </c>
      <c r="W9" s="282" t="e">
        <f>V9/U9</f>
        <v>#DIV/0!</v>
      </c>
      <c r="X9" s="283">
        <f>SUM(X3:X8)</f>
        <v>0</v>
      </c>
      <c r="Y9" s="283">
        <f>SUM(Y3:Y8)</f>
        <v>0</v>
      </c>
      <c r="Z9" s="282" t="e">
        <f t="shared" si="2"/>
        <v>#DIV/0!</v>
      </c>
      <c r="AA9" s="283">
        <f>SUM(AA3:AA8)</f>
        <v>0</v>
      </c>
      <c r="AB9" s="283">
        <f>SUM(AB3:AB8)</f>
        <v>0</v>
      </c>
      <c r="AC9" s="282" t="e">
        <f t="shared" si="3"/>
        <v>#DIV/0!</v>
      </c>
      <c r="AD9" s="283">
        <f>SUM(AD3:AD8)</f>
        <v>0</v>
      </c>
      <c r="AE9" s="283">
        <f>SUM(AE3:AE8)</f>
        <v>0</v>
      </c>
      <c r="AF9" s="282" t="e">
        <f t="shared" si="4"/>
        <v>#DIV/0!</v>
      </c>
      <c r="AG9" s="283">
        <f>SUM(AG3:AG8)</f>
        <v>0</v>
      </c>
      <c r="AH9" s="283">
        <f>SUM(AH3:AH8)</f>
        <v>0</v>
      </c>
      <c r="AI9" s="282" t="e">
        <f t="shared" si="5"/>
        <v>#DIV/0!</v>
      </c>
      <c r="AJ9" s="283">
        <f>SUM(AJ3:AJ8)</f>
        <v>0</v>
      </c>
      <c r="AK9" s="283">
        <f>SUM(AK3:AK8)</f>
        <v>0</v>
      </c>
      <c r="AL9" s="282" t="e">
        <f t="shared" si="6"/>
        <v>#DIV/0!</v>
      </c>
      <c r="AM9" s="283">
        <f>SUM(AM3:AM8)</f>
        <v>0</v>
      </c>
      <c r="AN9" s="283">
        <f>SUM(AN3:AN8)</f>
        <v>0</v>
      </c>
      <c r="AO9" s="282" t="e">
        <f t="shared" si="7"/>
        <v>#DIV/0!</v>
      </c>
      <c r="AP9" s="284">
        <f t="shared" si="8"/>
        <v>0</v>
      </c>
      <c r="AQ9" s="284">
        <f t="shared" si="9"/>
        <v>0</v>
      </c>
      <c r="AR9" s="282" t="e">
        <f t="shared" si="10"/>
        <v>#DIV/0!</v>
      </c>
    </row>
  </sheetData>
  <mergeCells count="17">
    <mergeCell ref="AA1:AC1"/>
    <mergeCell ref="B1:B2"/>
    <mergeCell ref="C1:C2"/>
    <mergeCell ref="D1:D2"/>
    <mergeCell ref="E1:E2"/>
    <mergeCell ref="F1:H1"/>
    <mergeCell ref="I1:K1"/>
    <mergeCell ref="AD1:AF1"/>
    <mergeCell ref="AG1:AI1"/>
    <mergeCell ref="AJ1:AL1"/>
    <mergeCell ref="AM1:AO1"/>
    <mergeCell ref="AP1:AR1"/>
    <mergeCell ref="L1:N1"/>
    <mergeCell ref="O1:Q1"/>
    <mergeCell ref="R1:T1"/>
    <mergeCell ref="U1:W1"/>
    <mergeCell ref="X1:Z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2">
    <tabColor indexed="47"/>
    <pageSetUpPr fitToPage="1"/>
  </sheetPr>
  <dimension ref="A1:F10"/>
  <sheetViews>
    <sheetView workbookViewId="0">
      <selection activeCell="B16" sqref="B16"/>
    </sheetView>
  </sheetViews>
  <sheetFormatPr defaultColWidth="8.85546875" defaultRowHeight="15" x14ac:dyDescent="0.25"/>
  <cols>
    <col min="1" max="1" width="21.140625" style="65" customWidth="1"/>
    <col min="2" max="2" width="13.85546875" style="65" customWidth="1"/>
    <col min="3" max="3" width="10.42578125" style="65" customWidth="1"/>
    <col min="4" max="4" width="10.140625" style="65" customWidth="1"/>
    <col min="5" max="5" width="27.28515625" style="65" customWidth="1"/>
    <col min="6" max="6" width="10" style="65" customWidth="1"/>
    <col min="7" max="7" width="33.28515625" style="65" customWidth="1"/>
    <col min="8" max="9" width="39.42578125" style="65" customWidth="1"/>
    <col min="10" max="10" width="33.85546875" style="65" customWidth="1"/>
    <col min="11" max="11" width="45.140625" style="65" customWidth="1"/>
    <col min="12" max="12" width="44.140625" style="65" customWidth="1"/>
    <col min="13" max="13" width="40.28515625" style="65" customWidth="1"/>
    <col min="14" max="14" width="8.5703125" style="65" customWidth="1"/>
    <col min="15" max="15" width="11.7109375" style="65" customWidth="1"/>
    <col min="16" max="16384" width="8.85546875" style="65"/>
  </cols>
  <sheetData>
    <row r="1" spans="1:6" x14ac:dyDescent="0.25">
      <c r="A1" s="191" t="s">
        <v>467</v>
      </c>
      <c r="B1" s="191" t="s">
        <v>421</v>
      </c>
      <c r="E1" s="59" t="s">
        <v>630</v>
      </c>
    </row>
    <row r="2" spans="1:6" x14ac:dyDescent="0.25">
      <c r="A2" s="191" t="s">
        <v>621</v>
      </c>
      <c r="B2" s="191" t="s">
        <v>421</v>
      </c>
    </row>
    <row r="3" spans="1:6" x14ac:dyDescent="0.25">
      <c r="A3" s="191" t="s">
        <v>622</v>
      </c>
      <c r="B3" s="191" t="s">
        <v>421</v>
      </c>
    </row>
    <row r="4" spans="1:6" x14ac:dyDescent="0.25">
      <c r="A4" s="191" t="s">
        <v>248</v>
      </c>
      <c r="B4" s="191" t="s">
        <v>421</v>
      </c>
    </row>
    <row r="5" spans="1:6" x14ac:dyDescent="0.25">
      <c r="A5"/>
      <c r="B5"/>
      <c r="C5"/>
      <c r="D5"/>
      <c r="E5"/>
    </row>
    <row r="6" spans="1:6" s="66" customFormat="1" x14ac:dyDescent="0.25">
      <c r="A6" s="192"/>
      <c r="B6" s="193"/>
      <c r="C6" s="192" t="s">
        <v>474</v>
      </c>
      <c r="D6" s="193"/>
      <c r="E6" s="193"/>
      <c r="F6" s="194"/>
    </row>
    <row r="7" spans="1:6" s="153" customFormat="1" ht="75" x14ac:dyDescent="0.25">
      <c r="A7" s="199" t="s">
        <v>696</v>
      </c>
      <c r="B7" s="199" t="s">
        <v>466</v>
      </c>
      <c r="C7" s="199" t="s">
        <v>475</v>
      </c>
      <c r="D7" s="200" t="s">
        <v>477</v>
      </c>
      <c r="E7" s="200" t="s">
        <v>476</v>
      </c>
      <c r="F7" s="201" t="s">
        <v>478</v>
      </c>
    </row>
    <row r="8" spans="1:6" x14ac:dyDescent="0.25">
      <c r="A8" s="195" t="s">
        <v>422</v>
      </c>
      <c r="B8" s="227"/>
      <c r="C8" s="196"/>
      <c r="D8" s="197"/>
      <c r="E8" s="197"/>
      <c r="F8" s="198"/>
    </row>
    <row r="9" spans="1:6" x14ac:dyDescent="0.25">
      <c r="A9"/>
      <c r="B9"/>
      <c r="C9"/>
      <c r="D9"/>
      <c r="E9"/>
      <c r="F9"/>
    </row>
    <row r="10" spans="1:6" x14ac:dyDescent="0.25">
      <c r="A10"/>
      <c r="B10"/>
      <c r="C10"/>
      <c r="D10"/>
      <c r="E10"/>
      <c r="F10"/>
    </row>
  </sheetData>
  <sheetProtection selectLockedCells="1" selectUnlockedCells="1"/>
  <pageMargins left="0.7" right="0.7" top="0.75" bottom="0.75" header="0.51180555555555551" footer="0.51180555555555551"/>
  <pageSetup paperSize="9" firstPageNumber="0" fitToHeight="0" orientation="landscape" r:id="rId2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3">
    <tabColor indexed="47"/>
    <pageSetUpPr fitToPage="1"/>
  </sheetPr>
  <dimension ref="A1:F85"/>
  <sheetViews>
    <sheetView topLeftCell="A40" workbookViewId="0">
      <selection activeCell="C59" sqref="C59:C61"/>
    </sheetView>
  </sheetViews>
  <sheetFormatPr defaultColWidth="8.85546875" defaultRowHeight="15" x14ac:dyDescent="0.25"/>
  <cols>
    <col min="1" max="1" width="28" style="65" customWidth="1"/>
    <col min="2" max="2" width="42.140625" style="65" customWidth="1"/>
    <col min="3" max="3" width="9.42578125" style="65" customWidth="1"/>
    <col min="4" max="4" width="10.140625" style="65" customWidth="1"/>
    <col min="5" max="5" width="27.5703125" style="65" customWidth="1"/>
    <col min="6" max="6" width="11.140625" style="65" customWidth="1"/>
    <col min="7" max="9" width="39.42578125" style="65" customWidth="1"/>
    <col min="10" max="10" width="33.85546875" style="65" customWidth="1"/>
    <col min="11" max="11" width="45.140625" style="65" customWidth="1"/>
    <col min="12" max="12" width="44.140625" style="65" customWidth="1"/>
    <col min="13" max="13" width="40.28515625" style="65" customWidth="1"/>
    <col min="14" max="14" width="8.5703125" style="65" customWidth="1"/>
    <col min="15" max="15" width="11.7109375" style="65" customWidth="1"/>
    <col min="16" max="16384" width="8.85546875" style="65"/>
  </cols>
  <sheetData>
    <row r="1" spans="1:6" x14ac:dyDescent="0.25">
      <c r="A1" s="191" t="s">
        <v>467</v>
      </c>
      <c r="B1" s="191" t="s">
        <v>421</v>
      </c>
      <c r="E1" s="59" t="s">
        <v>631</v>
      </c>
    </row>
    <row r="2" spans="1:6" x14ac:dyDescent="0.25">
      <c r="A2" s="191" t="s">
        <v>621</v>
      </c>
      <c r="B2" s="191" t="s">
        <v>421</v>
      </c>
    </row>
    <row r="3" spans="1:6" x14ac:dyDescent="0.25">
      <c r="A3" s="191" t="s">
        <v>622</v>
      </c>
      <c r="B3" s="191" t="s">
        <v>421</v>
      </c>
    </row>
    <row r="5" spans="1:6" x14ac:dyDescent="0.25">
      <c r="A5" s="192"/>
      <c r="B5" s="193"/>
      <c r="C5" s="192" t="s">
        <v>474</v>
      </c>
      <c r="D5" s="193"/>
      <c r="E5" s="193"/>
      <c r="F5" s="194"/>
    </row>
    <row r="6" spans="1:6" s="153" customFormat="1" ht="75" x14ac:dyDescent="0.25">
      <c r="A6" s="199" t="s">
        <v>696</v>
      </c>
      <c r="B6" s="199" t="s">
        <v>466</v>
      </c>
      <c r="C6" s="199" t="s">
        <v>475</v>
      </c>
      <c r="D6" s="200" t="s">
        <v>477</v>
      </c>
      <c r="E6" s="200" t="s">
        <v>476</v>
      </c>
      <c r="F6" s="201" t="s">
        <v>478</v>
      </c>
    </row>
    <row r="7" spans="1:6" x14ac:dyDescent="0.25">
      <c r="A7" s="192" t="s">
        <v>821</v>
      </c>
      <c r="B7" s="192" t="s">
        <v>584</v>
      </c>
      <c r="C7" s="208">
        <v>1</v>
      </c>
      <c r="D7" s="209">
        <v>42</v>
      </c>
      <c r="E7" s="209">
        <v>-45709</v>
      </c>
      <c r="F7" s="210">
        <v>45751</v>
      </c>
    </row>
    <row r="8" spans="1:6" x14ac:dyDescent="0.25">
      <c r="A8" s="228"/>
      <c r="B8" s="211" t="s">
        <v>549</v>
      </c>
      <c r="C8" s="212">
        <v>6</v>
      </c>
      <c r="D8" s="169">
        <v>504</v>
      </c>
      <c r="E8" s="169">
        <v>-228379</v>
      </c>
      <c r="F8" s="213">
        <v>228883</v>
      </c>
    </row>
    <row r="9" spans="1:6" x14ac:dyDescent="0.25">
      <c r="A9" s="228"/>
      <c r="B9" s="211" t="s">
        <v>178</v>
      </c>
      <c r="C9" s="212">
        <v>5</v>
      </c>
      <c r="D9" s="169">
        <v>462</v>
      </c>
      <c r="E9" s="169">
        <v>-228389</v>
      </c>
      <c r="F9" s="213">
        <v>228851</v>
      </c>
    </row>
    <row r="10" spans="1:6" x14ac:dyDescent="0.25">
      <c r="A10" s="228"/>
      <c r="B10" s="211" t="s">
        <v>1027</v>
      </c>
      <c r="C10" s="212">
        <v>1</v>
      </c>
      <c r="D10" s="169">
        <v>84</v>
      </c>
      <c r="E10" s="169">
        <v>-45671</v>
      </c>
      <c r="F10" s="213">
        <v>45755</v>
      </c>
    </row>
    <row r="11" spans="1:6" x14ac:dyDescent="0.25">
      <c r="A11" s="192" t="s">
        <v>817</v>
      </c>
      <c r="B11" s="192" t="s">
        <v>1034</v>
      </c>
      <c r="C11" s="208">
        <v>1</v>
      </c>
      <c r="D11" s="209">
        <v>84</v>
      </c>
      <c r="E11" s="209">
        <v>-45677</v>
      </c>
      <c r="F11" s="210">
        <v>45761</v>
      </c>
    </row>
    <row r="12" spans="1:6" x14ac:dyDescent="0.25">
      <c r="A12" s="228"/>
      <c r="B12" s="211" t="s">
        <v>942</v>
      </c>
      <c r="C12" s="212">
        <v>1</v>
      </c>
      <c r="D12" s="169">
        <v>42</v>
      </c>
      <c r="E12" s="169">
        <v>-45709</v>
      </c>
      <c r="F12" s="213">
        <v>45751</v>
      </c>
    </row>
    <row r="13" spans="1:6" x14ac:dyDescent="0.25">
      <c r="A13" s="192" t="s">
        <v>820</v>
      </c>
      <c r="B13" s="192" t="s">
        <v>541</v>
      </c>
      <c r="C13" s="208">
        <v>1</v>
      </c>
      <c r="D13" s="209">
        <v>42</v>
      </c>
      <c r="E13" s="209">
        <v>-45680</v>
      </c>
      <c r="F13" s="210">
        <v>45722</v>
      </c>
    </row>
    <row r="14" spans="1:6" x14ac:dyDescent="0.25">
      <c r="A14" s="228"/>
      <c r="B14" s="211" t="s">
        <v>1035</v>
      </c>
      <c r="C14" s="212">
        <v>1</v>
      </c>
      <c r="D14" s="169">
        <v>42</v>
      </c>
      <c r="E14" s="169">
        <v>-45680</v>
      </c>
      <c r="F14" s="213">
        <v>45722</v>
      </c>
    </row>
    <row r="15" spans="1:6" x14ac:dyDescent="0.25">
      <c r="A15" s="192" t="s">
        <v>811</v>
      </c>
      <c r="B15" s="192" t="s">
        <v>1012</v>
      </c>
      <c r="C15" s="208">
        <v>1</v>
      </c>
      <c r="D15" s="209">
        <v>84</v>
      </c>
      <c r="E15" s="209">
        <v>-45671</v>
      </c>
      <c r="F15" s="210">
        <v>45755</v>
      </c>
    </row>
    <row r="16" spans="1:6" x14ac:dyDescent="0.25">
      <c r="A16" s="228"/>
      <c r="B16" s="211" t="s">
        <v>1028</v>
      </c>
      <c r="C16" s="212">
        <v>1</v>
      </c>
      <c r="D16" s="169">
        <v>84</v>
      </c>
      <c r="E16" s="169">
        <v>-45671</v>
      </c>
      <c r="F16" s="213">
        <v>45755</v>
      </c>
    </row>
    <row r="17" spans="1:6" x14ac:dyDescent="0.25">
      <c r="A17" s="228"/>
      <c r="B17" s="211" t="s">
        <v>1029</v>
      </c>
      <c r="C17" s="212">
        <v>1</v>
      </c>
      <c r="D17" s="169">
        <v>42</v>
      </c>
      <c r="E17" s="169">
        <v>48</v>
      </c>
      <c r="F17" s="213">
        <v>-6</v>
      </c>
    </row>
    <row r="18" spans="1:6" x14ac:dyDescent="0.25">
      <c r="A18" s="228"/>
      <c r="B18" s="211" t="s">
        <v>886</v>
      </c>
      <c r="C18" s="212">
        <v>1</v>
      </c>
      <c r="D18" s="169">
        <v>42</v>
      </c>
      <c r="E18" s="169">
        <v>47</v>
      </c>
      <c r="F18" s="213">
        <v>-5</v>
      </c>
    </row>
    <row r="19" spans="1:6" x14ac:dyDescent="0.25">
      <c r="A19" s="228"/>
      <c r="B19" s="211" t="s">
        <v>1042</v>
      </c>
      <c r="C19" s="212">
        <v>3</v>
      </c>
      <c r="D19" s="169">
        <v>252</v>
      </c>
      <c r="E19" s="169">
        <v>-137085</v>
      </c>
      <c r="F19" s="213">
        <v>137337</v>
      </c>
    </row>
    <row r="20" spans="1:6" x14ac:dyDescent="0.25">
      <c r="A20" s="228"/>
      <c r="B20" s="211" t="s">
        <v>1043</v>
      </c>
      <c r="C20" s="212">
        <v>2</v>
      </c>
      <c r="D20" s="169">
        <v>126</v>
      </c>
      <c r="E20" s="169">
        <v>-45674</v>
      </c>
      <c r="F20" s="213">
        <v>45800</v>
      </c>
    </row>
    <row r="21" spans="1:6" x14ac:dyDescent="0.25">
      <c r="A21" s="228"/>
      <c r="B21" s="211" t="s">
        <v>1046</v>
      </c>
      <c r="C21" s="212">
        <v>1</v>
      </c>
      <c r="D21" s="169">
        <v>42</v>
      </c>
      <c r="E21" s="169">
        <v>-45709</v>
      </c>
      <c r="F21" s="213">
        <v>45751</v>
      </c>
    </row>
    <row r="22" spans="1:6" x14ac:dyDescent="0.25">
      <c r="A22" s="192" t="s">
        <v>808</v>
      </c>
      <c r="B22" s="192" t="s">
        <v>197</v>
      </c>
      <c r="C22" s="208">
        <v>3</v>
      </c>
      <c r="D22" s="209">
        <v>105</v>
      </c>
      <c r="E22" s="209">
        <v>-91396</v>
      </c>
      <c r="F22" s="210">
        <v>91501</v>
      </c>
    </row>
    <row r="23" spans="1:6" x14ac:dyDescent="0.25">
      <c r="A23" s="228"/>
      <c r="B23" s="211" t="s">
        <v>506</v>
      </c>
      <c r="C23" s="212">
        <v>1</v>
      </c>
      <c r="D23" s="169">
        <v>35</v>
      </c>
      <c r="E23" s="169">
        <v>-45705</v>
      </c>
      <c r="F23" s="213">
        <v>45740</v>
      </c>
    </row>
    <row r="24" spans="1:6" x14ac:dyDescent="0.25">
      <c r="A24" s="192" t="s">
        <v>807</v>
      </c>
      <c r="B24" s="192" t="s">
        <v>1017</v>
      </c>
      <c r="C24" s="208">
        <v>1</v>
      </c>
      <c r="D24" s="209">
        <v>42</v>
      </c>
      <c r="E24" s="209">
        <v>-45671</v>
      </c>
      <c r="F24" s="210">
        <v>45713</v>
      </c>
    </row>
    <row r="25" spans="1:6" x14ac:dyDescent="0.25">
      <c r="A25" s="228"/>
      <c r="B25" s="211" t="s">
        <v>1032</v>
      </c>
      <c r="C25" s="212">
        <v>1</v>
      </c>
      <c r="D25" s="169">
        <v>42</v>
      </c>
      <c r="E25" s="169">
        <v>25</v>
      </c>
      <c r="F25" s="213">
        <v>17</v>
      </c>
    </row>
    <row r="26" spans="1:6" x14ac:dyDescent="0.25">
      <c r="A26" s="228"/>
      <c r="B26" s="211" t="s">
        <v>1045</v>
      </c>
      <c r="C26" s="212">
        <v>1</v>
      </c>
      <c r="D26" s="169">
        <v>42</v>
      </c>
      <c r="E26" s="169">
        <v>-45705</v>
      </c>
      <c r="F26" s="213">
        <v>45747</v>
      </c>
    </row>
    <row r="27" spans="1:6" x14ac:dyDescent="0.25">
      <c r="A27" s="228"/>
      <c r="B27" s="211" t="s">
        <v>195</v>
      </c>
      <c r="C27" s="212">
        <v>1</v>
      </c>
      <c r="D27" s="169">
        <v>42</v>
      </c>
      <c r="E27" s="169">
        <v>9</v>
      </c>
      <c r="F27" s="213">
        <v>33</v>
      </c>
    </row>
    <row r="28" spans="1:6" x14ac:dyDescent="0.25">
      <c r="A28" s="192" t="s">
        <v>813</v>
      </c>
      <c r="B28" s="192" t="s">
        <v>1021</v>
      </c>
      <c r="C28" s="208">
        <v>1</v>
      </c>
      <c r="D28" s="209">
        <v>42</v>
      </c>
      <c r="E28" s="209">
        <v>55</v>
      </c>
      <c r="F28" s="210">
        <v>-13</v>
      </c>
    </row>
    <row r="29" spans="1:6" x14ac:dyDescent="0.25">
      <c r="A29" s="192" t="s">
        <v>812</v>
      </c>
      <c r="B29" s="192" t="s">
        <v>140</v>
      </c>
      <c r="C29" s="208">
        <v>1</v>
      </c>
      <c r="D29" s="209">
        <v>42</v>
      </c>
      <c r="E29" s="209">
        <v>-45709</v>
      </c>
      <c r="F29" s="210">
        <v>45751</v>
      </c>
    </row>
    <row r="30" spans="1:6" x14ac:dyDescent="0.25">
      <c r="A30" s="192" t="s">
        <v>762</v>
      </c>
      <c r="B30" s="192" t="s">
        <v>1014</v>
      </c>
      <c r="C30" s="208">
        <v>1</v>
      </c>
      <c r="D30" s="209">
        <v>35</v>
      </c>
      <c r="E30" s="209">
        <v>-45677</v>
      </c>
      <c r="F30" s="210">
        <v>45712</v>
      </c>
    </row>
    <row r="31" spans="1:6" x14ac:dyDescent="0.25">
      <c r="A31" s="192" t="s">
        <v>896</v>
      </c>
      <c r="B31" s="192" t="s">
        <v>578</v>
      </c>
      <c r="C31" s="208">
        <v>1</v>
      </c>
      <c r="D31" s="209">
        <v>42</v>
      </c>
      <c r="E31" s="209">
        <v>-45677</v>
      </c>
      <c r="F31" s="210">
        <v>45719</v>
      </c>
    </row>
    <row r="32" spans="1:6" x14ac:dyDescent="0.25">
      <c r="A32" s="228"/>
      <c r="B32" s="211" t="s">
        <v>585</v>
      </c>
      <c r="C32" s="212">
        <v>1</v>
      </c>
      <c r="D32" s="169">
        <v>42</v>
      </c>
      <c r="E32" s="169">
        <v>53</v>
      </c>
      <c r="F32" s="213">
        <v>-11</v>
      </c>
    </row>
    <row r="33" spans="1:6" x14ac:dyDescent="0.25">
      <c r="A33" s="192" t="s">
        <v>897</v>
      </c>
      <c r="B33" s="192" t="s">
        <v>1013</v>
      </c>
      <c r="C33" s="208">
        <v>1</v>
      </c>
      <c r="D33" s="209">
        <v>84</v>
      </c>
      <c r="E33" s="209">
        <v>-45671</v>
      </c>
      <c r="F33" s="210">
        <v>45755</v>
      </c>
    </row>
    <row r="34" spans="1:6" x14ac:dyDescent="0.25">
      <c r="A34" s="192" t="s">
        <v>950</v>
      </c>
      <c r="B34" s="192" t="s">
        <v>1013</v>
      </c>
      <c r="C34" s="208">
        <v>1</v>
      </c>
      <c r="D34" s="209">
        <v>84</v>
      </c>
      <c r="E34" s="209">
        <v>17</v>
      </c>
      <c r="F34" s="210">
        <v>67</v>
      </c>
    </row>
    <row r="35" spans="1:6" x14ac:dyDescent="0.25">
      <c r="A35" s="228"/>
      <c r="B35" s="211" t="s">
        <v>1047</v>
      </c>
      <c r="C35" s="212">
        <v>1</v>
      </c>
      <c r="D35" s="169">
        <v>84</v>
      </c>
      <c r="E35" s="169">
        <v>-45709</v>
      </c>
      <c r="F35" s="213">
        <v>45793</v>
      </c>
    </row>
    <row r="36" spans="1:6" x14ac:dyDescent="0.25">
      <c r="A36" s="228"/>
      <c r="B36" s="211" t="s">
        <v>1048</v>
      </c>
      <c r="C36" s="212">
        <v>1</v>
      </c>
      <c r="D36" s="169">
        <v>84</v>
      </c>
      <c r="E36" s="169">
        <v>-45709</v>
      </c>
      <c r="F36" s="213">
        <v>45793</v>
      </c>
    </row>
    <row r="37" spans="1:6" x14ac:dyDescent="0.25">
      <c r="A37" s="228"/>
      <c r="B37" s="211" t="s">
        <v>1049</v>
      </c>
      <c r="C37" s="212">
        <v>1</v>
      </c>
      <c r="D37" s="169">
        <v>84</v>
      </c>
      <c r="E37" s="169">
        <v>-45709</v>
      </c>
      <c r="F37" s="213">
        <v>45793</v>
      </c>
    </row>
    <row r="38" spans="1:6" x14ac:dyDescent="0.25">
      <c r="A38" s="192" t="s">
        <v>818</v>
      </c>
      <c r="B38" s="192" t="s">
        <v>1041</v>
      </c>
      <c r="C38" s="208">
        <v>1</v>
      </c>
      <c r="D38" s="209">
        <v>42</v>
      </c>
      <c r="E38" s="209">
        <v>-45691</v>
      </c>
      <c r="F38" s="210">
        <v>45733</v>
      </c>
    </row>
    <row r="39" spans="1:6" x14ac:dyDescent="0.25">
      <c r="A39" s="192" t="s">
        <v>814</v>
      </c>
      <c r="B39" s="192" t="s">
        <v>159</v>
      </c>
      <c r="C39" s="208">
        <v>1</v>
      </c>
      <c r="D39" s="209">
        <v>42</v>
      </c>
      <c r="E39" s="209">
        <v>-45712</v>
      </c>
      <c r="F39" s="210">
        <v>45754</v>
      </c>
    </row>
    <row r="40" spans="1:6" x14ac:dyDescent="0.25">
      <c r="A40" s="228"/>
      <c r="B40" s="211" t="s">
        <v>1037</v>
      </c>
      <c r="C40" s="212">
        <v>1</v>
      </c>
      <c r="D40" s="169">
        <v>42</v>
      </c>
      <c r="E40" s="169">
        <v>-45684</v>
      </c>
      <c r="F40" s="213">
        <v>45726</v>
      </c>
    </row>
    <row r="41" spans="1:6" x14ac:dyDescent="0.25">
      <c r="A41" s="195" t="s">
        <v>422</v>
      </c>
      <c r="B41" s="227"/>
      <c r="C41" s="196">
        <v>48</v>
      </c>
      <c r="D41" s="197">
        <v>3031</v>
      </c>
      <c r="E41" s="197">
        <v>-1735875</v>
      </c>
      <c r="F41" s="198">
        <v>1738906</v>
      </c>
    </row>
    <row r="42" spans="1:6" x14ac:dyDescent="0.25">
      <c r="A42"/>
      <c r="B42"/>
      <c r="C42"/>
      <c r="D42"/>
      <c r="E42"/>
      <c r="F42"/>
    </row>
    <row r="43" spans="1:6" x14ac:dyDescent="0.25">
      <c r="A43"/>
      <c r="B43"/>
      <c r="C43"/>
      <c r="D43"/>
      <c r="E43"/>
      <c r="F43"/>
    </row>
    <row r="44" spans="1:6" x14ac:dyDescent="0.25">
      <c r="A44"/>
      <c r="B44"/>
      <c r="C44"/>
      <c r="D44"/>
      <c r="E44"/>
      <c r="F44"/>
    </row>
    <row r="45" spans="1:6" x14ac:dyDescent="0.25">
      <c r="A45"/>
      <c r="B45"/>
      <c r="C45"/>
      <c r="D45"/>
      <c r="E45"/>
      <c r="F45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6" x14ac:dyDescent="0.25">
      <c r="A49"/>
      <c r="B49"/>
      <c r="C49"/>
      <c r="D49"/>
      <c r="E49"/>
      <c r="F49"/>
    </row>
    <row r="50" spans="1:6" x14ac:dyDescent="0.25">
      <c r="A50"/>
      <c r="B50"/>
      <c r="C50"/>
      <c r="D50"/>
      <c r="E50"/>
      <c r="F50"/>
    </row>
    <row r="51" spans="1:6" x14ac:dyDescent="0.25">
      <c r="A51"/>
      <c r="B51"/>
      <c r="C51"/>
      <c r="D51"/>
      <c r="E51"/>
      <c r="F51"/>
    </row>
    <row r="52" spans="1:6" x14ac:dyDescent="0.25">
      <c r="A52"/>
      <c r="B52"/>
      <c r="C52"/>
      <c r="D52"/>
      <c r="E52"/>
      <c r="F52"/>
    </row>
    <row r="53" spans="1:6" x14ac:dyDescent="0.25">
      <c r="A53"/>
      <c r="B53"/>
      <c r="C53"/>
      <c r="D53"/>
      <c r="E53"/>
      <c r="F53"/>
    </row>
    <row r="54" spans="1:6" x14ac:dyDescent="0.25">
      <c r="A54"/>
      <c r="B54"/>
      <c r="C54"/>
      <c r="D54"/>
      <c r="E54"/>
      <c r="F54"/>
    </row>
    <row r="55" spans="1:6" x14ac:dyDescent="0.25">
      <c r="A55"/>
      <c r="B55"/>
      <c r="C55"/>
      <c r="D55"/>
      <c r="E55"/>
      <c r="F55"/>
    </row>
    <row r="56" spans="1:6" x14ac:dyDescent="0.25">
      <c r="A56"/>
      <c r="B56"/>
      <c r="C56"/>
      <c r="D56"/>
      <c r="E56"/>
      <c r="F56"/>
    </row>
    <row r="57" spans="1:6" x14ac:dyDescent="0.25">
      <c r="A57"/>
      <c r="B57"/>
      <c r="C57"/>
      <c r="D57"/>
      <c r="E57"/>
      <c r="F57"/>
    </row>
    <row r="58" spans="1:6" x14ac:dyDescent="0.25">
      <c r="A58"/>
      <c r="B58"/>
      <c r="C58"/>
      <c r="D58"/>
      <c r="E58"/>
      <c r="F58"/>
    </row>
    <row r="59" spans="1:6" x14ac:dyDescent="0.25">
      <c r="A59"/>
      <c r="B59"/>
      <c r="C59"/>
      <c r="D59"/>
      <c r="E59"/>
      <c r="F59"/>
    </row>
    <row r="60" spans="1:6" x14ac:dyDescent="0.25">
      <c r="A60"/>
      <c r="B60"/>
      <c r="C60"/>
      <c r="D60"/>
      <c r="E60"/>
      <c r="F60"/>
    </row>
    <row r="61" spans="1:6" x14ac:dyDescent="0.25">
      <c r="A61"/>
      <c r="B61"/>
      <c r="C61"/>
      <c r="D61"/>
      <c r="E61"/>
      <c r="F61"/>
    </row>
    <row r="62" spans="1:6" x14ac:dyDescent="0.25">
      <c r="A62"/>
      <c r="B62"/>
      <c r="C62"/>
      <c r="D62"/>
      <c r="E62"/>
      <c r="F62"/>
    </row>
    <row r="63" spans="1:6" x14ac:dyDescent="0.25">
      <c r="A63"/>
      <c r="B63"/>
      <c r="C63"/>
      <c r="D63"/>
      <c r="E63"/>
      <c r="F63"/>
    </row>
    <row r="64" spans="1:6" x14ac:dyDescent="0.25">
      <c r="A64"/>
      <c r="B64"/>
      <c r="C64"/>
      <c r="D64"/>
      <c r="E64"/>
      <c r="F64"/>
    </row>
    <row r="65" spans="1:6" x14ac:dyDescent="0.25">
      <c r="A65"/>
      <c r="B65"/>
      <c r="C65"/>
      <c r="D65"/>
      <c r="E65"/>
      <c r="F65"/>
    </row>
    <row r="66" spans="1:6" x14ac:dyDescent="0.25">
      <c r="A66"/>
      <c r="B66"/>
      <c r="C66"/>
      <c r="D66"/>
      <c r="E66"/>
      <c r="F66"/>
    </row>
    <row r="67" spans="1:6" x14ac:dyDescent="0.25">
      <c r="A67"/>
      <c r="B67"/>
      <c r="C67"/>
      <c r="D67"/>
      <c r="E67"/>
      <c r="F67"/>
    </row>
    <row r="68" spans="1:6" x14ac:dyDescent="0.25">
      <c r="A68"/>
      <c r="B68"/>
      <c r="C68"/>
      <c r="D68"/>
      <c r="E68"/>
      <c r="F68"/>
    </row>
    <row r="69" spans="1:6" x14ac:dyDescent="0.25">
      <c r="A69"/>
      <c r="B69"/>
      <c r="C69"/>
      <c r="D69"/>
      <c r="E69"/>
      <c r="F69"/>
    </row>
    <row r="70" spans="1:6" x14ac:dyDescent="0.25">
      <c r="A70"/>
      <c r="B70"/>
      <c r="C70"/>
      <c r="D70"/>
      <c r="E70"/>
      <c r="F70"/>
    </row>
    <row r="71" spans="1:6" x14ac:dyDescent="0.25">
      <c r="A71"/>
      <c r="B71"/>
      <c r="C71"/>
      <c r="D71"/>
      <c r="E71"/>
      <c r="F71"/>
    </row>
    <row r="72" spans="1:6" x14ac:dyDescent="0.25">
      <c r="A72"/>
      <c r="B72"/>
      <c r="C72"/>
      <c r="D72"/>
      <c r="E72"/>
      <c r="F72"/>
    </row>
    <row r="73" spans="1:6" x14ac:dyDescent="0.25">
      <c r="A73"/>
      <c r="B73"/>
      <c r="C73"/>
      <c r="D73"/>
      <c r="E73"/>
      <c r="F73"/>
    </row>
    <row r="74" spans="1:6" x14ac:dyDescent="0.25">
      <c r="A74"/>
      <c r="B74"/>
      <c r="C74"/>
      <c r="D74"/>
      <c r="E74"/>
      <c r="F74"/>
    </row>
    <row r="75" spans="1:6" x14ac:dyDescent="0.25">
      <c r="A75"/>
      <c r="B75"/>
      <c r="C75"/>
      <c r="D75"/>
      <c r="E75"/>
      <c r="F75"/>
    </row>
    <row r="76" spans="1:6" x14ac:dyDescent="0.25">
      <c r="A76"/>
      <c r="B76"/>
      <c r="C76"/>
      <c r="D76"/>
      <c r="E76"/>
      <c r="F76"/>
    </row>
    <row r="77" spans="1:6" x14ac:dyDescent="0.25">
      <c r="A77"/>
      <c r="B77"/>
      <c r="C77"/>
      <c r="D77"/>
      <c r="E77"/>
      <c r="F77"/>
    </row>
    <row r="78" spans="1:6" x14ac:dyDescent="0.25">
      <c r="A78"/>
      <c r="B78"/>
      <c r="C78"/>
      <c r="D78"/>
      <c r="E78"/>
      <c r="F78"/>
    </row>
    <row r="79" spans="1:6" x14ac:dyDescent="0.25">
      <c r="A79"/>
      <c r="B79"/>
      <c r="C79"/>
      <c r="D79"/>
      <c r="E79"/>
      <c r="F79"/>
    </row>
    <row r="80" spans="1:6" x14ac:dyDescent="0.25">
      <c r="A80"/>
      <c r="B80"/>
      <c r="C80"/>
      <c r="D80"/>
      <c r="E80"/>
      <c r="F80"/>
    </row>
    <row r="81" spans="1:6" x14ac:dyDescent="0.25">
      <c r="A81"/>
      <c r="B81"/>
      <c r="C81"/>
      <c r="D81"/>
      <c r="E81"/>
      <c r="F81"/>
    </row>
    <row r="82" spans="1:6" x14ac:dyDescent="0.25">
      <c r="A82"/>
      <c r="B82"/>
      <c r="C82"/>
      <c r="D82"/>
      <c r="E82"/>
      <c r="F82"/>
    </row>
    <row r="83" spans="1:6" x14ac:dyDescent="0.25">
      <c r="A83"/>
      <c r="B83"/>
      <c r="C83"/>
      <c r="D83"/>
      <c r="E83"/>
      <c r="F83"/>
    </row>
    <row r="84" spans="1:6" x14ac:dyDescent="0.25">
      <c r="A84"/>
      <c r="B84"/>
      <c r="C84"/>
      <c r="D84"/>
      <c r="E84"/>
      <c r="F84"/>
    </row>
    <row r="85" spans="1:6" x14ac:dyDescent="0.25">
      <c r="A85"/>
      <c r="B85"/>
      <c r="C85"/>
      <c r="D85"/>
      <c r="E85"/>
      <c r="F85"/>
    </row>
  </sheetData>
  <sheetProtection selectLockedCells="1" selectUnlockedCells="1"/>
  <pageMargins left="0.7" right="0.7" top="0.75" bottom="0.75" header="0.51180555555555551" footer="0.51180555555555551"/>
  <pageSetup paperSize="9" scale="83" firstPageNumber="0" fitToHeight="0" orientation="portrait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23</vt:i4>
      </vt:variant>
    </vt:vector>
  </HeadingPairs>
  <TitlesOfParts>
    <vt:vector size="39" baseType="lpstr">
      <vt:lpstr>Инструкция</vt:lpstr>
      <vt:lpstr>Справочник</vt:lpstr>
      <vt:lpstr>Вып_списки</vt:lpstr>
      <vt:lpstr>Реальные причины увольнения</vt:lpstr>
      <vt:lpstr>Расшифровка статей увольнения</vt:lpstr>
      <vt:lpstr>Включаем не включаем</vt:lpstr>
      <vt:lpstr>Текучесть</vt:lpstr>
      <vt:lpstr>Обучение</vt:lpstr>
      <vt:lpstr>Нетрудоспособность </vt:lpstr>
      <vt:lpstr>Пенсия</vt:lpstr>
      <vt:lpstr>ЭТК</vt:lpstr>
      <vt:lpstr>Вакансии</vt:lpstr>
      <vt:lpstr>Свод  по критичным вакансиям</vt:lpstr>
      <vt:lpstr>Обучение кадровый резерв</vt:lpstr>
      <vt:lpstr>Вакансии_срок</vt:lpstr>
      <vt:lpstr>Вакансии_план</vt:lpstr>
      <vt:lpstr>'Нетрудоспособность '!Excel_BuiltIn__FilterDatabase</vt:lpstr>
      <vt:lpstr>Справочник!Excel_BuiltIn__FilterDatabase</vt:lpstr>
      <vt:lpstr>Текучесть!Excel_BuiltIn__FilterDatabase</vt:lpstr>
      <vt:lpstr>Вид_занятости</vt:lpstr>
      <vt:lpstr>Вид_обучения</vt:lpstr>
      <vt:lpstr>Город</vt:lpstr>
      <vt:lpstr>Категория_должности</vt:lpstr>
      <vt:lpstr>Компания</vt:lpstr>
      <vt:lpstr>Месяц</vt:lpstr>
      <vt:lpstr>Направление_обучения</vt:lpstr>
      <vt:lpstr>Вакансии!Область_печати</vt:lpstr>
      <vt:lpstr>Приоритет_закрытия</vt:lpstr>
      <vt:lpstr>Причина_нетрудоспособности</vt:lpstr>
      <vt:lpstr>Причины_изменения</vt:lpstr>
      <vt:lpstr>Причины_невключения</vt:lpstr>
      <vt:lpstr>Продуктивный</vt:lpstr>
      <vt:lpstr>Рабочий_день</vt:lpstr>
      <vt:lpstr>Расшифровка_статей_увольнения</vt:lpstr>
      <vt:lpstr>Реальные_причины_увольнения</vt:lpstr>
      <vt:lpstr>Статьи_увольнения</vt:lpstr>
      <vt:lpstr>Тип_договора</vt:lpstr>
      <vt:lpstr>Функция</vt:lpstr>
      <vt:lpstr>ЦФО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Е.Биденко</dc:creator>
  <cp:lastModifiedBy>Комарькова Анастасия Эдуардовна</cp:lastModifiedBy>
  <cp:lastPrinted>2026-05-04T09:15:20Z</cp:lastPrinted>
  <dcterms:created xsi:type="dcterms:W3CDTF">2016-12-29T08:29:55Z</dcterms:created>
  <dcterms:modified xsi:type="dcterms:W3CDTF">2026-05-14T10:02:39Z</dcterms:modified>
</cp:coreProperties>
</file>