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 refMode="R1C1"/>
</workbook>
</file>

<file path=xl/calcChain.xml><?xml version="1.0" encoding="utf-8"?>
<calcChain xmlns="http://schemas.openxmlformats.org/spreadsheetml/2006/main">
  <c r="C38" i="1" l="1"/>
  <c r="C22" i="1"/>
  <c r="C3" i="1"/>
  <c r="C16" i="1"/>
  <c r="D16" i="1"/>
  <c r="D3" i="1"/>
  <c r="D38" i="1" s="1"/>
</calcChain>
</file>

<file path=xl/sharedStrings.xml><?xml version="1.0" encoding="utf-8"?>
<sst xmlns="http://schemas.openxmlformats.org/spreadsheetml/2006/main" count="73" uniqueCount="48">
  <si>
    <t xml:space="preserve">Контрагент </t>
  </si>
  <si>
    <t>Номенклатура</t>
  </si>
  <si>
    <t>План</t>
  </si>
  <si>
    <t>Факт</t>
  </si>
  <si>
    <t xml:space="preserve">Гранд </t>
  </si>
  <si>
    <t>Толстикова Ирина Борисовна ИП</t>
  </si>
  <si>
    <t>Метрогазсервис ООО</t>
  </si>
  <si>
    <t>Счетчик газа Гранд 4 3/4"  РОССИЯ</t>
  </si>
  <si>
    <t>ТЕХНОГАЗПРИБОР-М ООО</t>
  </si>
  <si>
    <t xml:space="preserve">Счетчик газа Гранд 4 ТК  М  1 </t>
  </si>
  <si>
    <t>АКТИВ компани ТД</t>
  </si>
  <si>
    <t>СМК-Новатор ООО</t>
  </si>
  <si>
    <t>Счетчик газа Гранд 6 Б/К 3/4"  РОССИЯ</t>
  </si>
  <si>
    <t>СЭС</t>
  </si>
  <si>
    <t>Счетчик газа Гранд 4 Б\К</t>
  </si>
  <si>
    <t>Кравчук Глеб Вячеславович (ФЛ)</t>
  </si>
  <si>
    <t>Счетчик газа Гранд 4 1 1/4 попросил замену на  4 3/4</t>
  </si>
  <si>
    <t xml:space="preserve">Резникова Юлия Геннадьевна (ФЛ) (Красноярсккрайгаз) </t>
  </si>
  <si>
    <t>Счетчик газа Гранд Гранд 1.6 1/2</t>
  </si>
  <si>
    <t xml:space="preserve">Гранд SPI </t>
  </si>
  <si>
    <t>ЮМЦ ООО</t>
  </si>
  <si>
    <t>Счетчик газа Гранд-SPI-4-20-АH-T-01-0 РОССИЯ</t>
  </si>
  <si>
    <t>Лысенко Александр Васильевич (ФЛ)</t>
  </si>
  <si>
    <t>Счетчик газа Гранд-SPI-16-50-АH-TP-01-А160 РОССИЯ</t>
  </si>
  <si>
    <t xml:space="preserve">ООО СЕРВИС-ИНЖИНИРИНГ </t>
  </si>
  <si>
    <t>Счетчик газа Гранд-SPI-25-50-АH-TP-01-А160 РОССИЯ</t>
  </si>
  <si>
    <t xml:space="preserve">                                                                   UFG-H</t>
  </si>
  <si>
    <t xml:space="preserve">Расходомер UFG-H </t>
  </si>
  <si>
    <t xml:space="preserve"> Абоненский участок №14 в г.РнД</t>
  </si>
  <si>
    <t xml:space="preserve"> Абоненский пункт  №8/2 в г.Донецке</t>
  </si>
  <si>
    <t xml:space="preserve"> Абоненский пункт  №6/2 в ст. Кагальницкой</t>
  </si>
  <si>
    <t>Абоненский пункт  №6/5 в п. Целина</t>
  </si>
  <si>
    <t>Абоненский участок №11 в г.Новочеркасске</t>
  </si>
  <si>
    <t>Абоненский участок №2 в г.Аксае</t>
  </si>
  <si>
    <t>Абоненский участок №4 в г.Белая Калитва</t>
  </si>
  <si>
    <t>Абоненский участок №18 в г.Шахты</t>
  </si>
  <si>
    <t>Абоненский участок №17 в г.Таганроге</t>
  </si>
  <si>
    <t xml:space="preserve">ВСЕГО: </t>
  </si>
  <si>
    <t>ЕГСС</t>
  </si>
  <si>
    <t>Счетчик газа Гранд 10 ТК  1</t>
  </si>
  <si>
    <t xml:space="preserve">Счетчик газа Гранд 4 ТК </t>
  </si>
  <si>
    <t>Счетчик газа Гранд 6 БК</t>
  </si>
  <si>
    <t xml:space="preserve">Счетчик газа Гранд 6 ТК </t>
  </si>
  <si>
    <t>ИП Хасьян А. К.</t>
  </si>
  <si>
    <t xml:space="preserve">Счетчик газа Гранд-SPI-10-32-АH-T-01-0 </t>
  </si>
  <si>
    <t>ООО Газпром межрегионгаз Махачкала</t>
  </si>
  <si>
    <t xml:space="preserve">Счетчик газа Гранд-SPI-10-32-АH-T-01-0 РОССИЯ </t>
  </si>
  <si>
    <t xml:space="preserve"> Отчет за неделю по рекламационным приборам 27.04-30.04.2026 (план-факт)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</si>
</sst>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8"/>
      <color rgb="FFC00000"/>
      <name val="Segoe UI"/>
      <family val="2"/>
      <charset val="204"/>
    </font>
    <font>
      <sz val="18"/>
      <color theme="1"/>
      <name val="Times New Roman"/>
      <family val="1"/>
      <charset val="204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Arial"/>
      <family val="2"/>
    </font>
    <font>
      <sz val="10"/>
      <name val="Times New Roman"/>
      <family val="1"/>
      <charset val="204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Fill="0" applyBorder="0" applyProtection="0">
      <alignment horizontal="left" vertical="center"/>
    </xf>
    <xf numFmtId="0" fontId="11" fillId="0" borderId="0"/>
  </cellStyleXfs>
  <cellXfs count="31">
    <xf numFmtId="0" fontId="0" fillId="0" borderId="0" xfId="0"/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3" fillId="5" borderId="2" xfId="2" applyNumberFormat="1" applyFill="1" applyBorder="1" applyAlignment="1">
      <alignment horizontal="center" vertical="center"/>
    </xf>
    <xf numFmtId="0" fontId="2" fillId="5" borderId="2" xfId="1" applyNumberForma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horizontal="center" vertical="center"/>
    </xf>
    <xf numFmtId="0" fontId="1" fillId="6" borderId="2" xfId="2" applyNumberFormat="1" applyFont="1" applyFill="1" applyBorder="1" applyAlignment="1">
      <alignment horizontal="center" vertical="center"/>
    </xf>
    <xf numFmtId="0" fontId="1" fillId="6" borderId="2" xfId="1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wrapText="1"/>
    </xf>
    <xf numFmtId="0" fontId="9" fillId="5" borderId="2" xfId="0" applyFont="1" applyFill="1" applyBorder="1" applyAlignment="1">
      <alignment horizontal="center" vertical="top" wrapText="1"/>
    </xf>
    <xf numFmtId="0" fontId="9" fillId="6" borderId="2" xfId="0" applyFont="1" applyFill="1" applyBorder="1" applyAlignment="1">
      <alignment vertical="center"/>
    </xf>
    <xf numFmtId="14" fontId="10" fillId="6" borderId="2" xfId="3" applyNumberFormat="1" applyFont="1" applyFill="1" applyBorder="1" applyAlignment="1">
      <alignment horizontal="center" vertical="center"/>
    </xf>
    <xf numFmtId="0" fontId="10" fillId="6" borderId="2" xfId="3" applyNumberFormat="1" applyFont="1" applyFill="1" applyBorder="1" applyAlignment="1">
      <alignment horizontal="center" vertical="center"/>
    </xf>
    <xf numFmtId="14" fontId="9" fillId="5" borderId="2" xfId="5" applyNumberFormat="1" applyFont="1" applyFill="1" applyBorder="1" applyAlignment="1">
      <alignment horizontal="left" vertical="top" wrapText="1"/>
    </xf>
    <xf numFmtId="0" fontId="9" fillId="5" borderId="2" xfId="5" applyNumberFormat="1" applyFont="1" applyFill="1" applyBorder="1" applyAlignment="1">
      <alignment horizontal="center" vertical="top" wrapText="1"/>
    </xf>
    <xf numFmtId="0" fontId="10" fillId="5" borderId="2" xfId="3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/>
    </xf>
    <xf numFmtId="0" fontId="12" fillId="5" borderId="2" xfId="3" applyNumberFormat="1" applyFont="1" applyFill="1" applyBorder="1" applyAlignment="1">
      <alignment horizontal="right" vertical="center" wrapText="1"/>
    </xf>
    <xf numFmtId="0" fontId="9" fillId="0" borderId="2" xfId="0" applyFont="1" applyFill="1" applyBorder="1" applyAlignment="1">
      <alignment vertical="center"/>
    </xf>
    <xf numFmtId="14" fontId="10" fillId="0" borderId="2" xfId="3" applyNumberFormat="1" applyFont="1" applyFill="1" applyBorder="1" applyAlignment="1">
      <alignment horizontal="center" vertical="center"/>
    </xf>
    <xf numFmtId="0" fontId="10" fillId="0" borderId="2" xfId="3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3" fillId="0" borderId="0" xfId="0" applyFont="1" applyFill="1"/>
    <xf numFmtId="0" fontId="7" fillId="5" borderId="0" xfId="0" applyFont="1" applyFill="1" applyAlignment="1">
      <alignment vertical="center"/>
    </xf>
    <xf numFmtId="0" fontId="6" fillId="0" borderId="1" xfId="4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</cellXfs>
  <cellStyles count="6">
    <cellStyle name="Название 2" xfId="4"/>
    <cellStyle name="Нейтральный" xfId="3" builtinId="28"/>
    <cellStyle name="Обычный" xfId="0" builtinId="0"/>
    <cellStyle name="Обычный_ДЗ 24.02.2026 -27.02.2026 (14)" xfId="5"/>
    <cellStyle name="Плохой" xfId="2" builtinId="27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workbookViewId="0">
      <selection activeCell="G19" sqref="G19"/>
    </sheetView>
  </sheetViews>
  <sheetFormatPr defaultColWidth="12.5703125" defaultRowHeight="15" x14ac:dyDescent="0.25"/>
  <cols>
    <col min="1" max="1" width="43.42578125" style="2" customWidth="1"/>
    <col min="2" max="2" width="68.42578125" style="2" customWidth="1"/>
    <col min="3" max="3" width="18" style="2" customWidth="1"/>
    <col min="4" max="4" width="18.42578125" style="2" customWidth="1"/>
    <col min="5" max="5" width="8.28515625" style="2" customWidth="1"/>
    <col min="6" max="6" width="7" style="2" customWidth="1"/>
    <col min="7" max="16384" width="12.5703125" style="2"/>
  </cols>
  <sheetData>
    <row r="1" spans="1:6" ht="44.25" customHeight="1" x14ac:dyDescent="0.25">
      <c r="A1" s="28" t="s">
        <v>47</v>
      </c>
      <c r="B1" s="28"/>
      <c r="C1" s="28"/>
      <c r="D1" s="28"/>
      <c r="E1" s="1"/>
      <c r="F1" s="1"/>
    </row>
    <row r="2" spans="1:6" ht="20.25" customHeight="1" x14ac:dyDescent="0.25">
      <c r="A2" s="3" t="s">
        <v>0</v>
      </c>
      <c r="B2" s="4" t="s">
        <v>1</v>
      </c>
      <c r="C2" s="5" t="s">
        <v>2</v>
      </c>
      <c r="D2" s="6" t="s">
        <v>3</v>
      </c>
    </row>
    <row r="3" spans="1:6" ht="32.25" customHeight="1" x14ac:dyDescent="0.25">
      <c r="A3" s="7"/>
      <c r="B3" s="8" t="s">
        <v>4</v>
      </c>
      <c r="C3" s="9">
        <f>SUM(C4:C15)</f>
        <v>28</v>
      </c>
      <c r="D3" s="10">
        <f>SUM(D4:D14)</f>
        <v>18</v>
      </c>
    </row>
    <row r="4" spans="1:6" ht="35.25" customHeight="1" x14ac:dyDescent="0.25">
      <c r="A4" s="12" t="s">
        <v>8</v>
      </c>
      <c r="B4" s="12" t="s">
        <v>9</v>
      </c>
      <c r="C4" s="13">
        <v>1</v>
      </c>
      <c r="D4" s="11">
        <v>1</v>
      </c>
    </row>
    <row r="5" spans="1:6" ht="15.75" x14ac:dyDescent="0.25">
      <c r="A5" s="12" t="s">
        <v>10</v>
      </c>
      <c r="B5" s="12" t="s">
        <v>7</v>
      </c>
      <c r="C5" s="13">
        <v>4</v>
      </c>
      <c r="D5" s="13"/>
    </row>
    <row r="6" spans="1:6" ht="15.75" x14ac:dyDescent="0.25">
      <c r="A6" s="12" t="s">
        <v>11</v>
      </c>
      <c r="B6" s="12" t="s">
        <v>12</v>
      </c>
      <c r="C6" s="13">
        <v>10</v>
      </c>
      <c r="D6" s="13">
        <v>10</v>
      </c>
    </row>
    <row r="7" spans="1:6" ht="15.75" x14ac:dyDescent="0.25">
      <c r="A7" s="12" t="s">
        <v>13</v>
      </c>
      <c r="B7" s="12" t="s">
        <v>14</v>
      </c>
      <c r="C7" s="13">
        <v>5</v>
      </c>
      <c r="D7" s="13">
        <v>5</v>
      </c>
    </row>
    <row r="8" spans="1:6" ht="15.75" x14ac:dyDescent="0.25">
      <c r="A8" s="12" t="s">
        <v>15</v>
      </c>
      <c r="B8" s="12" t="s">
        <v>16</v>
      </c>
      <c r="C8" s="13">
        <v>1</v>
      </c>
      <c r="D8" s="13"/>
    </row>
    <row r="9" spans="1:6" ht="15.75" x14ac:dyDescent="0.25">
      <c r="A9" s="12" t="s">
        <v>15</v>
      </c>
      <c r="B9" s="12" t="s">
        <v>7</v>
      </c>
      <c r="C9" s="13">
        <v>1</v>
      </c>
      <c r="D9" s="13"/>
    </row>
    <row r="10" spans="1:6" ht="31.5" x14ac:dyDescent="0.25">
      <c r="A10" s="12" t="s">
        <v>17</v>
      </c>
      <c r="B10" s="12" t="s">
        <v>18</v>
      </c>
      <c r="C10" s="13">
        <v>1</v>
      </c>
      <c r="D10" s="13"/>
    </row>
    <row r="11" spans="1:6" ht="15.75" x14ac:dyDescent="0.25">
      <c r="A11" s="12" t="s">
        <v>38</v>
      </c>
      <c r="B11" s="12" t="s">
        <v>39</v>
      </c>
      <c r="C11" s="13">
        <v>1</v>
      </c>
      <c r="D11" s="13">
        <v>1</v>
      </c>
    </row>
    <row r="12" spans="1:6" ht="15.75" x14ac:dyDescent="0.25">
      <c r="A12" s="12" t="s">
        <v>5</v>
      </c>
      <c r="B12" s="12" t="s">
        <v>40</v>
      </c>
      <c r="C12" s="13">
        <v>1</v>
      </c>
      <c r="D12" s="13"/>
    </row>
    <row r="13" spans="1:6" ht="15.75" x14ac:dyDescent="0.25">
      <c r="A13" s="12" t="s">
        <v>5</v>
      </c>
      <c r="B13" s="12" t="s">
        <v>41</v>
      </c>
      <c r="C13" s="13">
        <v>1</v>
      </c>
      <c r="D13" s="13">
        <v>1</v>
      </c>
    </row>
    <row r="14" spans="1:6" ht="15.75" x14ac:dyDescent="0.25">
      <c r="A14" s="12" t="s">
        <v>5</v>
      </c>
      <c r="B14" s="12" t="s">
        <v>42</v>
      </c>
      <c r="C14" s="13">
        <v>1</v>
      </c>
      <c r="D14" s="13"/>
    </row>
    <row r="15" spans="1:6" ht="15.75" x14ac:dyDescent="0.25">
      <c r="A15" s="12" t="s">
        <v>6</v>
      </c>
      <c r="B15" s="12" t="s">
        <v>7</v>
      </c>
      <c r="C15" s="13">
        <v>1</v>
      </c>
      <c r="D15" s="13"/>
    </row>
    <row r="16" spans="1:6" ht="15.75" x14ac:dyDescent="0.25">
      <c r="A16" s="14"/>
      <c r="B16" s="15" t="s">
        <v>19</v>
      </c>
      <c r="C16" s="16">
        <f>SUM(C17:C21)</f>
        <v>16</v>
      </c>
      <c r="D16" s="16">
        <f>SUM(D17:D21)</f>
        <v>4</v>
      </c>
    </row>
    <row r="17" spans="1:4" s="27" customFormat="1" ht="15.75" x14ac:dyDescent="0.25">
      <c r="A17" s="17" t="s">
        <v>20</v>
      </c>
      <c r="B17" s="17" t="s">
        <v>21</v>
      </c>
      <c r="C17" s="18">
        <v>1</v>
      </c>
      <c r="D17" s="19">
        <v>1</v>
      </c>
    </row>
    <row r="18" spans="1:4" ht="15.75" x14ac:dyDescent="0.25">
      <c r="A18" s="17" t="s">
        <v>22</v>
      </c>
      <c r="B18" s="17" t="s">
        <v>23</v>
      </c>
      <c r="C18" s="18">
        <v>1</v>
      </c>
      <c r="D18" s="19">
        <v>1</v>
      </c>
    </row>
    <row r="19" spans="1:4" ht="15.75" x14ac:dyDescent="0.25">
      <c r="A19" s="17" t="s">
        <v>24</v>
      </c>
      <c r="B19" s="17" t="s">
        <v>25</v>
      </c>
      <c r="C19" s="18">
        <v>1</v>
      </c>
      <c r="D19" s="19">
        <v>1</v>
      </c>
    </row>
    <row r="20" spans="1:4" ht="15.75" x14ac:dyDescent="0.25">
      <c r="A20" s="17" t="s">
        <v>43</v>
      </c>
      <c r="B20" s="17" t="s">
        <v>44</v>
      </c>
      <c r="C20" s="18">
        <v>1</v>
      </c>
      <c r="D20" s="19">
        <v>1</v>
      </c>
    </row>
    <row r="21" spans="1:4" ht="15.75" x14ac:dyDescent="0.25">
      <c r="A21" s="17" t="s">
        <v>45</v>
      </c>
      <c r="B21" s="17" t="s">
        <v>46</v>
      </c>
      <c r="C21" s="18">
        <v>12</v>
      </c>
      <c r="D21" s="18"/>
    </row>
    <row r="22" spans="1:4" ht="15.75" x14ac:dyDescent="0.25">
      <c r="A22" s="29" t="s">
        <v>26</v>
      </c>
      <c r="B22" s="30"/>
      <c r="C22" s="20">
        <f>SUM(C23:C37)</f>
        <v>15</v>
      </c>
      <c r="D22" s="16"/>
    </row>
    <row r="23" spans="1:4" ht="30.75" customHeight="1" x14ac:dyDescent="0.25">
      <c r="A23" s="12" t="s">
        <v>28</v>
      </c>
      <c r="B23" s="12" t="s">
        <v>27</v>
      </c>
      <c r="C23" s="13">
        <v>1</v>
      </c>
      <c r="D23" s="21"/>
    </row>
    <row r="24" spans="1:4" ht="30.75" customHeight="1" x14ac:dyDescent="0.25">
      <c r="A24" s="12" t="s">
        <v>28</v>
      </c>
      <c r="B24" s="12" t="s">
        <v>27</v>
      </c>
      <c r="C24" s="13">
        <v>1</v>
      </c>
      <c r="D24" s="21"/>
    </row>
    <row r="25" spans="1:4" ht="30.75" customHeight="1" x14ac:dyDescent="0.25">
      <c r="A25" s="12" t="s">
        <v>29</v>
      </c>
      <c r="B25" s="12" t="s">
        <v>27</v>
      </c>
      <c r="C25" s="13">
        <v>1</v>
      </c>
      <c r="D25" s="21"/>
    </row>
    <row r="26" spans="1:4" ht="30.75" customHeight="1" x14ac:dyDescent="0.25">
      <c r="A26" s="12" t="s">
        <v>30</v>
      </c>
      <c r="B26" s="12" t="s">
        <v>27</v>
      </c>
      <c r="C26" s="13">
        <v>1</v>
      </c>
      <c r="D26" s="21"/>
    </row>
    <row r="27" spans="1:4" ht="30.75" customHeight="1" x14ac:dyDescent="0.25">
      <c r="A27" s="12" t="s">
        <v>31</v>
      </c>
      <c r="B27" s="12" t="s">
        <v>27</v>
      </c>
      <c r="C27" s="13">
        <v>1</v>
      </c>
      <c r="D27" s="21"/>
    </row>
    <row r="28" spans="1:4" ht="30.75" customHeight="1" x14ac:dyDescent="0.25">
      <c r="A28" s="12" t="s">
        <v>32</v>
      </c>
      <c r="B28" s="12" t="s">
        <v>27</v>
      </c>
      <c r="C28" s="13">
        <v>1</v>
      </c>
      <c r="D28" s="21"/>
    </row>
    <row r="29" spans="1:4" ht="30.75" customHeight="1" x14ac:dyDescent="0.25">
      <c r="A29" s="12" t="s">
        <v>32</v>
      </c>
      <c r="B29" s="12" t="s">
        <v>27</v>
      </c>
      <c r="C29" s="13">
        <v>1</v>
      </c>
      <c r="D29" s="21"/>
    </row>
    <row r="30" spans="1:4" ht="30.75" customHeight="1" x14ac:dyDescent="0.25">
      <c r="A30" s="12" t="s">
        <v>33</v>
      </c>
      <c r="B30" s="12" t="s">
        <v>27</v>
      </c>
      <c r="C30" s="13">
        <v>1</v>
      </c>
      <c r="D30" s="21"/>
    </row>
    <row r="31" spans="1:4" ht="30.75" customHeight="1" x14ac:dyDescent="0.25">
      <c r="A31" s="12" t="s">
        <v>34</v>
      </c>
      <c r="B31" s="12" t="s">
        <v>27</v>
      </c>
      <c r="C31" s="13">
        <v>1</v>
      </c>
      <c r="D31" s="21"/>
    </row>
    <row r="32" spans="1:4" ht="30.75" customHeight="1" x14ac:dyDescent="0.25">
      <c r="A32" s="12" t="s">
        <v>35</v>
      </c>
      <c r="B32" s="12" t="s">
        <v>27</v>
      </c>
      <c r="C32" s="13">
        <v>1</v>
      </c>
      <c r="D32" s="21"/>
    </row>
    <row r="33" spans="1:4" ht="30.75" customHeight="1" x14ac:dyDescent="0.25">
      <c r="A33" s="12" t="s">
        <v>35</v>
      </c>
      <c r="B33" s="12" t="s">
        <v>27</v>
      </c>
      <c r="C33" s="13">
        <v>1</v>
      </c>
      <c r="D33" s="21"/>
    </row>
    <row r="34" spans="1:4" ht="15.75" x14ac:dyDescent="0.25">
      <c r="A34" s="12" t="s">
        <v>35</v>
      </c>
      <c r="B34" s="12" t="s">
        <v>27</v>
      </c>
      <c r="C34" s="13">
        <v>1</v>
      </c>
      <c r="D34" s="21"/>
    </row>
    <row r="35" spans="1:4" ht="15.75" x14ac:dyDescent="0.25">
      <c r="A35" s="12" t="s">
        <v>35</v>
      </c>
      <c r="B35" s="12" t="s">
        <v>27</v>
      </c>
      <c r="C35" s="13">
        <v>1</v>
      </c>
      <c r="D35" s="21"/>
    </row>
    <row r="36" spans="1:4" ht="15.75" x14ac:dyDescent="0.25">
      <c r="A36" s="12" t="s">
        <v>36</v>
      </c>
      <c r="B36" s="12" t="s">
        <v>27</v>
      </c>
      <c r="C36" s="13">
        <v>1</v>
      </c>
      <c r="D36" s="21"/>
    </row>
    <row r="37" spans="1:4" ht="15.75" x14ac:dyDescent="0.25">
      <c r="A37" s="12" t="s">
        <v>36</v>
      </c>
      <c r="B37" s="12" t="s">
        <v>27</v>
      </c>
      <c r="C37" s="13">
        <v>1</v>
      </c>
      <c r="D37" s="21"/>
    </row>
    <row r="38" spans="1:4" ht="30.75" customHeight="1" x14ac:dyDescent="0.25">
      <c r="A38" s="22" t="s">
        <v>37</v>
      </c>
      <c r="B38" s="23"/>
      <c r="C38" s="24">
        <f>SUM(C3,C16,C22)</f>
        <v>59</v>
      </c>
      <c r="D38" s="24">
        <f>SUM(D3,D16)</f>
        <v>22</v>
      </c>
    </row>
    <row r="46" spans="1:4" x14ac:dyDescent="0.25">
      <c r="B46" s="25"/>
      <c r="C46" s="26"/>
      <c r="D46" s="25"/>
    </row>
    <row r="47" spans="1:4" x14ac:dyDescent="0.25">
      <c r="B47" s="25"/>
      <c r="C47" s="26"/>
      <c r="D47" s="25"/>
    </row>
    <row r="48" spans="1:4" x14ac:dyDescent="0.25">
      <c r="B48" s="25"/>
      <c r="C48" s="26"/>
      <c r="D48" s="25"/>
    </row>
    <row r="49" spans="2:5" x14ac:dyDescent="0.25">
      <c r="B49" s="25"/>
      <c r="C49" s="26"/>
      <c r="D49" s="25"/>
    </row>
    <row r="54" spans="2:5" x14ac:dyDescent="0.25">
      <c r="E54" s="25"/>
    </row>
    <row r="55" spans="2:5" x14ac:dyDescent="0.25">
      <c r="E55" s="25"/>
    </row>
    <row r="56" spans="2:5" x14ac:dyDescent="0.25">
      <c r="E56" s="25"/>
    </row>
    <row r="57" spans="2:5" ht="20.25" customHeight="1" x14ac:dyDescent="0.25">
      <c r="E57" s="25"/>
    </row>
    <row r="62" spans="2:5" ht="21.75" customHeight="1" x14ac:dyDescent="0.25"/>
  </sheetData>
  <mergeCells count="2">
    <mergeCell ref="A1:D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2026-05-06T06:50:47Z</dcterms:modified>
</cp:coreProperties>
</file>